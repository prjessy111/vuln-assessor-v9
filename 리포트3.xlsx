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92.168.122.36\ftp\6. 점검항목\1. 삼성\2025\2. 디스플레이\1. OS\1. 진행\"/>
    </mc:Choice>
  </mc:AlternateContent>
  <bookViews>
    <workbookView xWindow="0" yWindow="0" windowWidth="28800" windowHeight="10350" tabRatio="882" activeTab="5"/>
  </bookViews>
  <sheets>
    <sheet name="Summary" sheetId="1" r:id="rId1"/>
    <sheet name="지원OS" sheetId="2" r:id="rId2"/>
    <sheet name="Checklist" sheetId="3" r:id="rId3"/>
    <sheet name="등급체계" sheetId="4" r:id="rId4"/>
    <sheet name="REPLACETEXT" sheetId="5" r:id="rId5"/>
    <sheet name="HPUX" sheetId="6" r:id="rId6"/>
    <sheet name="AIX" sheetId="7" r:id="rId7"/>
    <sheet name="Solaris" sheetId="8" r:id="rId8"/>
    <sheet name="Linux" sheetId="9" r:id="rId9"/>
    <sheet name="Windows" sheetId="11" r:id="rId10"/>
  </sheets>
  <definedNames>
    <definedName name="_xlnm._FilterDatabase" localSheetId="6" hidden="1">AIX!$A$1:$P$43</definedName>
    <definedName name="_xlnm._FilterDatabase" localSheetId="2" hidden="1">Checklist!$B$3:$S$47</definedName>
    <definedName name="_xlnm._FilterDatabase" localSheetId="5" hidden="1">HPUX!$A$1:$P$43</definedName>
    <definedName name="_xlnm._FilterDatabase" localSheetId="8" hidden="1">Linux!$A$1:$S$48</definedName>
    <definedName name="_xlnm._FilterDatabase" localSheetId="7" hidden="1">Solaris!$A$1:$S$48</definedName>
    <definedName name="_xlnm._FilterDatabase" localSheetId="9" hidden="1">Windows!$A$1:$P$55</definedName>
    <definedName name="Z_02723E5F_B518_4CD3_8E63_DA3404DD4CD8_.wvu.FilterData" localSheetId="9" hidden="1">Windows!$A$1:$P$55</definedName>
    <definedName name="Z_118B26FA_458B_4EBF_A611_352DC7919B8F_.wvu.FilterData" localSheetId="6" hidden="1">AIX!$A$1:$P$43</definedName>
    <definedName name="Z_118B26FA_458B_4EBF_A611_352DC7919B8F_.wvu.FilterData" localSheetId="5" hidden="1">HPUX!$A$1:$P$43</definedName>
    <definedName name="Z_118B26FA_458B_4EBF_A611_352DC7919B8F_.wvu.FilterData" localSheetId="8" hidden="1">Linux!$A$1:$S$43</definedName>
    <definedName name="Z_118B26FA_458B_4EBF_A611_352DC7919B8F_.wvu.FilterData" localSheetId="7" hidden="1">Solaris!$A$1:$S$43</definedName>
    <definedName name="Z_118B26FA_458B_4EBF_A611_352DC7919B8F_.wvu.FilterData" localSheetId="9" hidden="1">Windows!$A$1:$P$55</definedName>
    <definedName name="Z_14D4E44A_4B84_4AF7_A200_264CDA79D910_.wvu.FilterData" localSheetId="6" hidden="1">AIX!$A$1:$P$43</definedName>
    <definedName name="Z_14D4E44A_4B84_4AF7_A200_264CDA79D910_.wvu.FilterData" localSheetId="5" hidden="1">HPUX!$A$1:$P$43</definedName>
    <definedName name="Z_14D4E44A_4B84_4AF7_A200_264CDA79D910_.wvu.FilterData" localSheetId="8" hidden="1">Linux!$A$1:$S$43</definedName>
    <definedName name="Z_14D4E44A_4B84_4AF7_A200_264CDA79D910_.wvu.FilterData" localSheetId="7" hidden="1">Solaris!$A$1:$S$43</definedName>
    <definedName name="Z_173D36D5_56F6_4F44_8AEA_1BCCEB5BEB01_.wvu.FilterData" localSheetId="6" hidden="1">AIX!$A$1:$P$43</definedName>
    <definedName name="Z_173D36D5_56F6_4F44_8AEA_1BCCEB5BEB01_.wvu.FilterData" localSheetId="2" hidden="1">Checklist!$B$3:$S$47</definedName>
    <definedName name="Z_173D36D5_56F6_4F44_8AEA_1BCCEB5BEB01_.wvu.FilterData" localSheetId="5" hidden="1">HPUX!$A$1:$P$43</definedName>
    <definedName name="Z_173D36D5_56F6_4F44_8AEA_1BCCEB5BEB01_.wvu.FilterData" localSheetId="8" hidden="1">Linux!$A$1:$S$43</definedName>
    <definedName name="Z_173D36D5_56F6_4F44_8AEA_1BCCEB5BEB01_.wvu.FilterData" localSheetId="7" hidden="1">Solaris!$A$1:$S$43</definedName>
    <definedName name="Z_173D36D5_56F6_4F44_8AEA_1BCCEB5BEB01_.wvu.FilterData" localSheetId="9" hidden="1">Windows!$A$1:$P$55</definedName>
    <definedName name="Z_1D53D492_EB5D_4C39_8D27_9D314BA20BEE_.wvu.FilterData" localSheetId="8" hidden="1">Linux!$A$1:$S$43</definedName>
    <definedName name="Z_1D53D492_EB5D_4C39_8D27_9D314BA20BEE_.wvu.FilterData" localSheetId="7" hidden="1">Solaris!$A$1:$S$43</definedName>
    <definedName name="Z_1D53D492_EB5D_4C39_8D27_9D314BA20BEE_.wvu.FilterData" localSheetId="9" hidden="1">Windows!$A$1:$P$55</definedName>
    <definedName name="Z_2DB1E318_7147_48DF_A27A_64EE5389D79D_.wvu.FilterData" localSheetId="6" hidden="1">AIX!$A$1:$P$43</definedName>
    <definedName name="Z_2DB1E318_7147_48DF_A27A_64EE5389D79D_.wvu.FilterData" localSheetId="2" hidden="1">Checklist!$B$3:$S$47</definedName>
    <definedName name="Z_2DB1E318_7147_48DF_A27A_64EE5389D79D_.wvu.FilterData" localSheetId="5" hidden="1">HPUX!$A$1:$P$43</definedName>
    <definedName name="Z_2DB1E318_7147_48DF_A27A_64EE5389D79D_.wvu.FilterData" localSheetId="8" hidden="1">Linux!$A$1:$S$43</definedName>
    <definedName name="Z_2DB1E318_7147_48DF_A27A_64EE5389D79D_.wvu.FilterData" localSheetId="7" hidden="1">Solaris!$A$1:$S$43</definedName>
    <definedName name="Z_2DB1E318_7147_48DF_A27A_64EE5389D79D_.wvu.FilterData" localSheetId="9" hidden="1">Windows!$A$1:$P$55</definedName>
    <definedName name="Z_2EEA926C_3156_4AC6_9229_A7AA2DF955D3_.wvu.FilterData" localSheetId="6" hidden="1">AIX!$A$1:$P$43</definedName>
    <definedName name="Z_2EEA926C_3156_4AC6_9229_A7AA2DF955D3_.wvu.FilterData" localSheetId="2" hidden="1">Checklist!$B$3:$S$47</definedName>
    <definedName name="Z_2EEA926C_3156_4AC6_9229_A7AA2DF955D3_.wvu.FilterData" localSheetId="5" hidden="1">HPUX!$A$1:$P$43</definedName>
    <definedName name="Z_2EEA926C_3156_4AC6_9229_A7AA2DF955D3_.wvu.FilterData" localSheetId="8" hidden="1">Linux!$A$1:$S$48</definedName>
    <definedName name="Z_2EEA926C_3156_4AC6_9229_A7AA2DF955D3_.wvu.FilterData" localSheetId="7" hidden="1">Solaris!$A$1:$S$48</definedName>
    <definedName name="Z_2EEA926C_3156_4AC6_9229_A7AA2DF955D3_.wvu.FilterData" localSheetId="9" hidden="1">Windows!$A$1:$P$55</definedName>
    <definedName name="Z_373A3F59_C2A6_4188_B9FC_C75404B2738C_.wvu.FilterData" localSheetId="9" hidden="1">Windows!$A$1:$P$55</definedName>
    <definedName name="Z_7B027B49_7854_4390_9379_5D03BF4D6CD5_.wvu.FilterData" localSheetId="9" hidden="1">Windows!$A$1:$P$55</definedName>
    <definedName name="Z_7E89C46F_A64B_40A0_896B_BA6F5B13D9A1_.wvu.FilterData" localSheetId="6" hidden="1">AIX!$A$1:$P$43</definedName>
    <definedName name="Z_7E89C46F_A64B_40A0_896B_BA6F5B13D9A1_.wvu.FilterData" localSheetId="5" hidden="1">HPUX!$A$1:$P$43</definedName>
    <definedName name="Z_7E89C46F_A64B_40A0_896B_BA6F5B13D9A1_.wvu.FilterData" localSheetId="8" hidden="1">Linux!$A$1:$S$43</definedName>
    <definedName name="Z_7E89C46F_A64B_40A0_896B_BA6F5B13D9A1_.wvu.FilterData" localSheetId="7" hidden="1">Solaris!$A$1:$S$43</definedName>
    <definedName name="Z_7E89C46F_A64B_40A0_896B_BA6F5B13D9A1_.wvu.FilterData" localSheetId="9" hidden="1">Windows!$A$1:$P$55</definedName>
    <definedName name="Z_9CF5E63B_2622_4A38_B6BD_8D3E222ABDA0_.wvu.FilterData" localSheetId="9" hidden="1">Windows!$A$1:$P$55</definedName>
    <definedName name="Z_A05B22AE_8087_4583_A7A5_57D6C4C3DA34_.wvu.FilterData" localSheetId="9" hidden="1">Windows!$A$1:$P$55</definedName>
    <definedName name="Z_A0D7C4ED_EAC7_4F3A_83D0_8EAC42141A4F_.wvu.FilterData" localSheetId="6" hidden="1">AIX!$A$1:$P$43</definedName>
    <definedName name="Z_A0D7C4ED_EAC7_4F3A_83D0_8EAC42141A4F_.wvu.FilterData" localSheetId="5" hidden="1">HPUX!$A$1:$P$43</definedName>
    <definedName name="Z_A0D7C4ED_EAC7_4F3A_83D0_8EAC42141A4F_.wvu.FilterData" localSheetId="8" hidden="1">Linux!$A$1:$S$43</definedName>
    <definedName name="Z_A0D7C4ED_EAC7_4F3A_83D0_8EAC42141A4F_.wvu.FilterData" localSheetId="7" hidden="1">Solaris!$A$1:$S$43</definedName>
    <definedName name="Z_A4ABD9F1_6D33_41FB_86A8_492338F953A6_.wvu.FilterData" localSheetId="6" hidden="1">AIX!$A$1:$P$43</definedName>
    <definedName name="Z_A4ABD9F1_6D33_41FB_86A8_492338F953A6_.wvu.FilterData" localSheetId="5" hidden="1">HPUX!$A$1:$P$43</definedName>
    <definedName name="Z_A4ABD9F1_6D33_41FB_86A8_492338F953A6_.wvu.FilterData" localSheetId="8" hidden="1">Linux!$A$1:$S$43</definedName>
    <definedName name="Z_A4ABD9F1_6D33_41FB_86A8_492338F953A6_.wvu.FilterData" localSheetId="7" hidden="1">Solaris!$A$1:$S$43</definedName>
    <definedName name="Z_A4ABD9F1_6D33_41FB_86A8_492338F953A6_.wvu.FilterData" localSheetId="9" hidden="1">Windows!$A$1:$P$55</definedName>
    <definedName name="Z_A97CC407_D832_4D6B_889F_79EA371F2140_.wvu.FilterData" localSheetId="6" hidden="1">AIX!$A$1:$P$43</definedName>
    <definedName name="Z_A97CC407_D832_4D6B_889F_79EA371F2140_.wvu.FilterData" localSheetId="5" hidden="1">HPUX!$A$1:$P$43</definedName>
    <definedName name="Z_A97CC407_D832_4D6B_889F_79EA371F2140_.wvu.FilterData" localSheetId="8" hidden="1">Linux!$A$1:$S$43</definedName>
    <definedName name="Z_A97CC407_D832_4D6B_889F_79EA371F2140_.wvu.FilterData" localSheetId="7" hidden="1">Solaris!$A$1:$S$43</definedName>
    <definedName name="Z_A97CC407_D832_4D6B_889F_79EA371F2140_.wvu.FilterData" localSheetId="9" hidden="1">Windows!$A$1:$P$55</definedName>
    <definedName name="Z_B95F8ECF_EE4B_497E_8AFD_61960D2C04DE_.wvu.FilterData" localSheetId="6" hidden="1">AIX!$A$1:$P$43</definedName>
    <definedName name="Z_B95F8ECF_EE4B_497E_8AFD_61960D2C04DE_.wvu.FilterData" localSheetId="5" hidden="1">HPUX!$A$1:$P$43</definedName>
    <definedName name="Z_B95F8ECF_EE4B_497E_8AFD_61960D2C04DE_.wvu.FilterData" localSheetId="8" hidden="1">Linux!$A$1:$S$43</definedName>
    <definedName name="Z_B95F8ECF_EE4B_497E_8AFD_61960D2C04DE_.wvu.FilterData" localSheetId="7" hidden="1">Solaris!$A$1:$S$43</definedName>
    <definedName name="Z_B95F8ECF_EE4B_497E_8AFD_61960D2C04DE_.wvu.FilterData" localSheetId="9" hidden="1">Windows!$A$1:$P$55</definedName>
    <definedName name="Z_C6B63A07_204F_4279_B381_DA1FF6E811D9_.wvu.FilterData" localSheetId="9" hidden="1">Windows!$A$1:$P$55</definedName>
    <definedName name="Z_D1303DE8_82E6_497F_898A_86E0FE4EA44C_.wvu.FilterData" localSheetId="6" hidden="1">AIX!$A$1:$P$43</definedName>
    <definedName name="Z_D1303DE8_82E6_497F_898A_86E0FE4EA44C_.wvu.FilterData" localSheetId="2" hidden="1">Checklist!$B$3:$S$47</definedName>
    <definedName name="Z_D1303DE8_82E6_497F_898A_86E0FE4EA44C_.wvu.FilterData" localSheetId="5" hidden="1">HPUX!$A$1:$P$43</definedName>
    <definedName name="Z_D1303DE8_82E6_497F_898A_86E0FE4EA44C_.wvu.FilterData" localSheetId="8" hidden="1">Linux!$A$1:$S$43</definedName>
    <definedName name="Z_D1303DE8_82E6_497F_898A_86E0FE4EA44C_.wvu.FilterData" localSheetId="7" hidden="1">Solaris!$A$1:$S$43</definedName>
    <definedName name="Z_D1303DE8_82E6_497F_898A_86E0FE4EA44C_.wvu.FilterData" localSheetId="9" hidden="1">Windows!$A$1:$P$55</definedName>
    <definedName name="Z_E54B5D21_78A5_49ED_8A41_5B0BD6CF5BF8_.wvu.FilterData" localSheetId="6" hidden="1">AIX!$A$1:$P$43</definedName>
    <definedName name="Z_E54B5D21_78A5_49ED_8A41_5B0BD6CF5BF8_.wvu.FilterData" localSheetId="5" hidden="1">HPUX!$A$1:$P$43</definedName>
    <definedName name="Z_E54B5D21_78A5_49ED_8A41_5B0BD6CF5BF8_.wvu.FilterData" localSheetId="8" hidden="1">Linux!$A$1:$S$43</definedName>
    <definedName name="Z_E54B5D21_78A5_49ED_8A41_5B0BD6CF5BF8_.wvu.FilterData" localSheetId="7" hidden="1">Solaris!$A$1:$S$43</definedName>
    <definedName name="Z_E54B5D21_78A5_49ED_8A41_5B0BD6CF5BF8_.wvu.FilterData" localSheetId="9" hidden="1">Windows!$A$1:$P$55</definedName>
    <definedName name="Z_EB0934FD_2B63_475F_8507_E1E4AF42158C_.wvu.FilterData" localSheetId="9" hidden="1">Windows!$A$1:$P$55</definedName>
    <definedName name="Z_F4FBF36C_70E8_4B40_8B98_7EF6272938D6_.wvu.FilterData" localSheetId="9" hidden="1">Windows!$A$1:$P$55</definedName>
  </definedNames>
  <calcPr calcId="152511"/>
  <customWorkbookViews>
    <customWorkbookView name="Lsware-Jeon Chanyoung - 사용자 보기" guid="{2EEA926C-3156-4AC6-9229-A7AA2DF955D3}" mergeInterval="0" personalView="1" maximized="1" xWindow="-8" yWindow="-8" windowWidth="1936" windowHeight="1056" activeSheetId="9"/>
    <customWorkbookView name="전찬영 - 사용자 보기" guid="{2DB1E318-7147-48DF-A27A-64EE5389D79D}" mergeInterval="0" personalView="1" maximized="1" xWindow="-1928" yWindow="-8" windowWidth="1936" windowHeight="1056" activeSheetId="10"/>
    <customWorkbookView name="andrew - 사용자 보기" guid="{173D36D5-56F6-4F44-8AEA-1BCCEB5BEB01}" mergeInterval="0" personalView="1" maximized="1" xWindow="-8" yWindow="-8" windowWidth="1936" windowHeight="1056" activeSheetId="9"/>
    <customWorkbookView name="andrew Yang - 사용자 보기" guid="{E54B5D21-78A5-49ED-8A41-5B0BD6CF5BF8}" mergeInterval="0" personalView="1" xWindow="60" yWindow="17" windowWidth="1746" windowHeight="937" activeSheetId="10"/>
    <customWorkbookView name="Windows 사용자 - 사용자 보기" guid="{118B26FA-458B-4EBF-A611-352DC7919B8F}" mergeInterval="0" personalView="1" xWindow="2880" windowWidth="960" windowHeight="1040" activeSheetId="9"/>
    <customWorkbookView name="엄태현 - 사용자 보기" guid="{7E89C46F-A64B-40A0-896B-BA6F5B13D9A1}" mergeInterval="0" personalView="1" maximized="1" xWindow="1912" yWindow="-8" windowWidth="1616" windowHeight="916" activeSheetId="10"/>
    <customWorkbookView name="davideom - 사용자 보기" guid="{A97CC407-D832-4D6B-889F-79EA371F2140}" mergeInterval="0" personalView="1" maximized="1" xWindow="1912" yWindow="-8" windowWidth="1616" windowHeight="916" activeSheetId="6"/>
    <customWorkbookView name="tim - 사용자 보기" guid="{B95F8ECF-EE4B-497E-8AFD-61960D2C04DE}" mergeInterval="0" personalView="1" maximized="1" xWindow="1912" yWindow="-8" windowWidth="1936" windowHeight="1096" activeSheetId="10"/>
    <customWorkbookView name="wonsok1119@gmail.com - 사용자 보기" guid="{D1303DE8-82E6-497F-898A-86E0FE4EA44C}" mergeInterval="0" personalView="1" maximized="1" xWindow="1912" yWindow="-8" windowWidth="1936" windowHeight="1056" activeSheetId="1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7" i="3" l="1"/>
  <c r="J47" i="3"/>
  <c r="K47" i="3"/>
  <c r="H47" i="3"/>
  <c r="S54" i="3"/>
  <c r="M6" i="4" l="1"/>
  <c r="M7" i="4" s="1"/>
  <c r="K6" i="4"/>
  <c r="K7" i="4" s="1"/>
  <c r="I6" i="4"/>
  <c r="I7" i="4" s="1"/>
  <c r="G6" i="4"/>
  <c r="G7" i="4" s="1"/>
  <c r="E6" i="4"/>
  <c r="E7" i="4" s="1"/>
  <c r="M5" i="4"/>
  <c r="N6" i="4" s="1"/>
  <c r="K5" i="4"/>
  <c r="L6" i="4" s="1"/>
  <c r="I5" i="4"/>
  <c r="J6" i="4" s="1"/>
  <c r="G5" i="4"/>
  <c r="H6" i="4" s="1"/>
  <c r="E5" i="4"/>
  <c r="F6" i="4" s="1"/>
  <c r="N4" i="4"/>
  <c r="M4" i="4"/>
  <c r="N5" i="4" s="1"/>
  <c r="L4" i="4"/>
  <c r="K4" i="4"/>
  <c r="L5" i="4" s="1"/>
  <c r="J4" i="4"/>
  <c r="I4" i="4"/>
  <c r="J5" i="4" s="1"/>
  <c r="H4" i="4"/>
  <c r="G4" i="4"/>
  <c r="H5" i="4" s="1"/>
  <c r="F4" i="4"/>
  <c r="E4" i="4"/>
  <c r="F5" i="4" s="1"/>
</calcChain>
</file>

<file path=xl/sharedStrings.xml><?xml version="1.0" encoding="utf-8"?>
<sst xmlns="http://schemas.openxmlformats.org/spreadsheetml/2006/main" count="3728" uniqueCount="1665">
  <si>
    <t>구분</t>
  </si>
  <si>
    <t>점검그룹</t>
  </si>
  <si>
    <t>예외</t>
  </si>
  <si>
    <t>점검항목제목</t>
  </si>
  <si>
    <t>내용</t>
  </si>
  <si>
    <t>확인방법</t>
  </si>
  <si>
    <t>기준</t>
  </si>
  <si>
    <t>조치법</t>
  </si>
  <si>
    <t>점수</t>
  </si>
  <si>
    <t>목표</t>
  </si>
  <si>
    <t>N</t>
  </si>
  <si>
    <t>일반적으로 모든 계정은 패스워드가 존재하도록 권장함. 만약 패스워드가 없는 계정이 있다면 조치를 취해야 함. 
또한 공격자가 쉽게 유추 할 수 없는 패스워드를 만들도록 패스워드 규칙을 정해 주는 것이 좋음.</t>
  </si>
  <si>
    <t xml:space="preserve">사용자가 시스템에 접근하려면 사용자 계정이 반드시 필요함. 이때 모든 계정에는 UID가 부여 되는데 이것을 통해 사용자의 이름, 패스워드, 홈 디렉토리등과 같은 사용자에 관련된 정보에 대응시킴. 그러므로 시스템은 로그인 ID가 달라도 동일한 UID를 가진 계정을 같은 사용자로 인식함.
유닉스 시스템에서 root 계정의 UID는 ‘0’으로 설정 되어있는데, 만약 root 이외의 다른 사용자의 UID가 ‘0’일 경우 root 계정과 동일한 권한을 갖게 됨. 그러므로 root를 제외한 모든 사용자의 UID는 ‘0’일 수 없음. 
만일 시스템 관리자라면 다른 UID를 갖는 2개의 계정을 가지는 것이 좋음. 하나는 관리업무를 위한 UID가 '0'인 root 사용자 이고, 다른 하나는 일반적인 일을 하기 위한 것으로 사용함. </t>
  </si>
  <si>
    <t>시스템에 많은 주요 파일들이 존재함. 이 주요한 파일들은 소유자나 퍼미션을 잘 설정해두어야 쉽게 위변조 되거나, 침입에 이용되지 않음.</t>
  </si>
  <si>
    <t xml:space="preserve">컴퓨터에 관한 작업은 로그라는 정보로 저장 함. 로그는 컴퓨터 관련 범죄가 발생 했을시 해킹의 흔적을 찾기 위하여 로그를 분석. 단순히 해킹의 흔적을 찾기 위한 수단만이 아니라 로그분석을 통해 공격기법을 발견하여 시스템 취약점을 제거 할 수 있고, 공격에 대한 근원을 찾을 수 있다면 자산의 손실을 공격자에게 법적인 책임을 물을수 있으므로 로그에 대한 관리와 분석이 중요시 됨. </t>
  </si>
  <si>
    <t>umask 값은 파일이나 디렉토리 생성 시 기본으로 설정되는 권한을 결정. 
관리자가 임의의 파일 또는 디렉토리를 생성했을 때 다른 사용자가 해당파일 또는 디렉토리에 대한 접근이 가능.</t>
  </si>
  <si>
    <t xml:space="preserve">umask는 파일이나 디렉토리 생성 시 기본으로 설정되는 권한을 결정. 
임의의 파일 또는 디렉토리를 생성했을 때 다른 사용자가 해당 파일 또는 디렉토리에 대한 접근이 가능하도록 설정되어 있음. </t>
  </si>
  <si>
    <t>이 보안 설정은 컴퓨터에 로컬로 로그온한 사용자 중에서 시스템 종료 명령을 사용하여 운영 체제를 종료할 수 있는 사용자 및 그룹을 결정하며 해당 권한 부여가 부적절 할 경우 서비스 거부 공격에 이용 될 수 있음.</t>
  </si>
  <si>
    <t>이 보안 설정은 원격에서 네트워크를 사용하여 운영 체제를 종료할 수 있는 사용자 및 그룹을 결정하며 해당 권한 부여가 부적절 할 경우 서비스 거부 공격에 이용 될 수 있음.</t>
  </si>
  <si>
    <t>사용자들은 시스템에서 얼마동안 떨어져있을 경우에는 로그오프하거나 워크스테이션 잠김 설정이 되어있는지 여부를 확인한다.</t>
  </si>
  <si>
    <t>윈도우즈 운영체제는 기본적으로 자체 방화벽 기능을 제공 윈도우즈 운영체제의 자체 방화벽 기능을 이용하거나 IP보안정책 (IPsec), WinUAC 등 3rd-Party 방화벽 제품을 사용하여 공격자의 칩임시도 방어가 필요.</t>
  </si>
  <si>
    <t>시스템의 기본공유 항목이 제거되지 않게 되면 모든 시스템 자원에 접근할 수 있는 위험한 상황이 발생할 수 있음. 최근에 발생한 Nimda 바이러스도 여러 가지 방법 중에서 이러한 공유기능을 침투의 한 경로로 이용한 것임.</t>
  </si>
  <si>
    <t>SNMP 서비스는 시스템 상태를 실시간으로 파악하거나 설정하기 위하여 사용하는 서비스임. 그러나 이 정보를 받기 위한 일종의 패스워드인 Community String이 Default로 public, private로 설정되어 있는 경우가 많으며, 이를 변경하지 않으면 이 String을 악용하여 비인가사용자가 시스템의 주요 정보 및 설정 상황을 파악 할 수 있는 취약성이 존재함.</t>
  </si>
  <si>
    <t>웜, 트로이목마 등의 악성 바이러스로 인한 피해규모가 커지고 있으며 이에 대한 피해를 최소화하기 위해 반드시 바이러스 백신 프로그램을 설치해야 함.
바이러스 백신 프로그램은 바이러스 감염 여부 진단 및 치료, 파일의 보호를 할 수 있으며 예방도 가능함.</t>
  </si>
  <si>
    <t xml:space="preserve">웜, 트로이목마 등의 악성 바이러스로 인한 피해규모가 커지고 있으며 이에 대한 피해를 최소화하기 위해 반드시 바이러스 백신 프로그램을 설치해야 함.
바이러스 백신 프로그램은 바이러스 감염 여부 진단 및 치료, 파일의 보호를 할 수 있으며 예방도 가능함. </t>
  </si>
  <si>
    <t>Solaris</t>
    <phoneticPr fontId="8" type="noConversion"/>
  </si>
  <si>
    <t>Linux</t>
    <phoneticPr fontId="8" type="noConversion"/>
  </si>
  <si>
    <t>필수/선택항목 분류</t>
  </si>
  <si>
    <t>점수가중치</t>
  </si>
  <si>
    <t>보안등급 범의</t>
  </si>
  <si>
    <t>B 등급</t>
    <phoneticPr fontId="8" type="noConversion"/>
  </si>
  <si>
    <t>Unix 점검항목(OS별 다름)</t>
    <phoneticPr fontId="8" type="noConversion"/>
  </si>
  <si>
    <t>Windows 점검 항목</t>
  </si>
  <si>
    <t>점검항목</t>
  </si>
  <si>
    <t>분류</t>
  </si>
  <si>
    <t>Vendor</t>
  </si>
  <si>
    <t>Version</t>
  </si>
  <si>
    <t>MS</t>
    <phoneticPr fontId="8" type="noConversion"/>
  </si>
  <si>
    <t>WINDOWS 2003</t>
  </si>
  <si>
    <t>WINDOWS 2008</t>
  </si>
  <si>
    <t>WINDOWS 2012</t>
  </si>
  <si>
    <t>AIX</t>
  </si>
  <si>
    <t>IBM</t>
  </si>
  <si>
    <t>AIX 5.1</t>
  </si>
  <si>
    <t>AIX 5.2</t>
  </si>
  <si>
    <t>AIX 5.3</t>
  </si>
  <si>
    <t>AIX 6.1</t>
  </si>
  <si>
    <t>AIX 7.1</t>
  </si>
  <si>
    <t>HP-UX</t>
    <phoneticPr fontId="8" type="noConversion"/>
  </si>
  <si>
    <t>HP</t>
    <phoneticPr fontId="8" type="noConversion"/>
  </si>
  <si>
    <t>HPUX 11.11</t>
  </si>
  <si>
    <t>HPUX 11.23</t>
  </si>
  <si>
    <t>HPUX 11.31</t>
  </si>
  <si>
    <t>Oracle</t>
    <phoneticPr fontId="8" type="noConversion"/>
  </si>
  <si>
    <t>Solaris 9</t>
  </si>
  <si>
    <t>Solaris 10</t>
  </si>
  <si>
    <t>Solaris 11</t>
  </si>
  <si>
    <t>RHEL,Oracle,CentOS</t>
    <phoneticPr fontId="8" type="noConversion"/>
  </si>
  <si>
    <t>Linux Redhat5.X</t>
    <phoneticPr fontId="8" type="noConversion"/>
  </si>
  <si>
    <t>Linux Redhat6.X</t>
    <phoneticPr fontId="8" type="noConversion"/>
  </si>
  <si>
    <t>검증 필요 OS:</t>
    <phoneticPr fontId="8" type="noConversion"/>
  </si>
  <si>
    <t>OS Type</t>
    <phoneticPr fontId="8" type="noConversion"/>
  </si>
  <si>
    <t>Windwos</t>
    <phoneticPr fontId="7" type="noConversion"/>
  </si>
  <si>
    <t>Linux Redhat7.X</t>
    <phoneticPr fontId="8" type="noConversion"/>
  </si>
  <si>
    <t>SuSe</t>
    <phoneticPr fontId="7" type="noConversion"/>
  </si>
  <si>
    <t>* 지원 OS 확인 필요함</t>
    <phoneticPr fontId="7" type="noConversion"/>
  </si>
  <si>
    <t>C 등급</t>
    <phoneticPr fontId="8" type="noConversion"/>
  </si>
  <si>
    <t>등급</t>
    <phoneticPr fontId="8" type="noConversion"/>
  </si>
  <si>
    <t>AIX</t>
    <phoneticPr fontId="8" type="noConversion"/>
  </si>
  <si>
    <t>총점</t>
    <phoneticPr fontId="8" type="noConversion"/>
  </si>
  <si>
    <t>1~5점
금융결제원의 위험도와 동일</t>
    <phoneticPr fontId="8" type="noConversion"/>
  </si>
  <si>
    <t xml:space="preserve">A등급: 95% 이상
B등급: 90~94% 
C등급: 80~89%
F등급: 79% 이하
</t>
    <phoneticPr fontId="8" type="noConversion"/>
  </si>
  <si>
    <t>Info/NA 점수 체계</t>
    <phoneticPr fontId="8" type="noConversion"/>
  </si>
  <si>
    <t>Solaris</t>
    <phoneticPr fontId="8" type="noConversion"/>
  </si>
  <si>
    <t>Linux</t>
    <phoneticPr fontId="8" type="noConversion"/>
  </si>
  <si>
    <t>F 등급</t>
    <phoneticPr fontId="8" type="noConversion"/>
  </si>
  <si>
    <t>점수 가중치 미적용</t>
    <phoneticPr fontId="8" type="noConversion"/>
  </si>
  <si>
    <t>History</t>
    <phoneticPr fontId="8" type="noConversion"/>
  </si>
  <si>
    <t>R:255
G:0
B:0</t>
    <phoneticPr fontId="8" type="noConversion"/>
  </si>
  <si>
    <t>내용</t>
    <phoneticPr fontId="8" type="noConversion"/>
  </si>
  <si>
    <t>HP-UX</t>
    <phoneticPr fontId="8" type="noConversion"/>
  </si>
  <si>
    <t>Windows</t>
    <phoneticPr fontId="8" type="noConversion"/>
  </si>
  <si>
    <t>모두 선택</t>
    <phoneticPr fontId="8" type="noConversion"/>
  </si>
  <si>
    <t>A 등급</t>
    <phoneticPr fontId="8" type="noConversion"/>
  </si>
  <si>
    <t>관리자의 PATH 환경변수에 현재 디렉토리 또는 알 수 없는 디렉토리가 포함되어 있음.
사용자가 어떤 명령어를 실행하려 하면 PATH에 지정된 디렉토리를 검색하여 그 명령어를 찾게 되는데, 이 때 PATH에 현재 디렉토리 또는 임의의 디렉토리가 포함되어 있고 실행할 프로그램(예:ls, cd 등)과 같은 이름을 가진 악성 프로그램(예: 트로이 목마)이 그 디렉토리에 숨겨져 있다면 원래 의도된 프로그램 대신 그 악성 프로그램이 실행되게 되어 시스템에 위협을 줄 수 있음.</t>
  </si>
  <si>
    <t>필수유무</t>
  </si>
  <si>
    <t>Info</t>
  </si>
  <si>
    <t>점검기준</t>
  </si>
  <si>
    <t>개발 비고</t>
  </si>
  <si>
    <t>엔지니어 비고</t>
  </si>
  <si>
    <t>테스트 방법</t>
  </si>
  <si>
    <t>테스트 결과</t>
  </si>
  <si>
    <t>조치법 확인</t>
  </si>
  <si>
    <t>* N/A 항목</t>
    <phoneticPr fontId="7" type="noConversion"/>
  </si>
  <si>
    <t>* N/A 항목</t>
    <phoneticPr fontId="7" type="noConversion"/>
  </si>
  <si>
    <t xml:space="preserve">* Information 항목으로 최근 패치 리스트 출력함. </t>
    <phoneticPr fontId="7" type="noConversion"/>
  </si>
  <si>
    <t>2015/07/29 엄태현
 - 2014 점검항목에서  판단항목은 합침
 Info 항목은 유지</t>
    <phoneticPr fontId="7" type="noConversion"/>
  </si>
  <si>
    <t>2015/07/29 엄태현
- 3개 항목 1개로 합쳐짐, 판단:N/A</t>
    <phoneticPr fontId="7" type="noConversion"/>
  </si>
  <si>
    <t>계정 및 권한관리</t>
  </si>
  <si>
    <t>계정 및 권한관리</t>
    <phoneticPr fontId="7" type="noConversion"/>
  </si>
  <si>
    <t>서비스 보호</t>
  </si>
  <si>
    <t>로그 및 패치관리</t>
  </si>
  <si>
    <t>계정 및 권한관리</t>
    <phoneticPr fontId="7" type="noConversion"/>
  </si>
  <si>
    <t>N/A</t>
    <phoneticPr fontId="7" type="noConversion"/>
  </si>
  <si>
    <t>Y</t>
    <phoneticPr fontId="7" type="noConversion"/>
  </si>
  <si>
    <t>서비스 보호</t>
    <phoneticPr fontId="7" type="noConversion"/>
  </si>
  <si>
    <t>로그 및 패치관리</t>
    <phoneticPr fontId="7" type="noConversion"/>
  </si>
  <si>
    <t>1. [접근 권한] : 소유자 [root],  퍼미션[400]
2. 미존재</t>
    <phoneticPr fontId="7" type="noConversion"/>
  </si>
  <si>
    <t>로그 및 패치 관리</t>
  </si>
  <si>
    <t>서비스 보호</t>
    <phoneticPr fontId="7" type="noConversion"/>
  </si>
  <si>
    <t>서비스 보호</t>
    <phoneticPr fontId="7" type="noConversion"/>
  </si>
  <si>
    <t>판단: Info
출력내용:
 - 계정 List 출력</t>
    <phoneticPr fontId="7" type="noConversion"/>
  </si>
  <si>
    <t>판단: OK/BAD
[양호 조건]
root 계정만 GID/UID 0
AND
/etc/group 파일 root 외 GID 0인 계정 없음
[취약 조건]
root 계정외 GID/UID 0 계정 존재
OR
/etc/group 파일 root 외 GID 0인 계정 있음
* 예외 계정:
(daemon, bin, sys, adm, uucp, nuucp, lpuname, nobody, smbnull)</t>
    <phoneticPr fontId="7" type="noConversion"/>
  </si>
  <si>
    <t>판단: OK/BAD
[양호 조건]
[TCB Mode]
Password Aging enable
AND
Password Expiration Time 1~90 
[Standard Mode]
/etc/default/security 파일에 PASSWORD_MAXDAYS 1~90
AND
/etc/shadow 파일에 5번째 토큰 1~90
[취약 조건]
[TCB Mode]
Password Aging disable
OR
Password Expiration Time 0,91 이상
[Standard Mode]
/etc/default/security 파일에 PASSWORD_MAXDAYS 0,91이상
OR
/etc/shadow 파일에 5번째 토큰 0,91이상
* 시스템 계정 예외: daemon, bin, sys, adm, uucp, nuucp, lpuname, nobody, smbnull</t>
    <phoneticPr fontId="7" type="noConversion"/>
  </si>
  <si>
    <t>판단: OK/BAD
[양호 조건]
[TCB Mode]
Unsuccessful login try allowed 5이하
[Standard Mode]
/etc/default/security에서 AUTH_MAXTRIES 5이하
[취약 조건]
[TCB Mode]
Unsuccessful login try allowed 0, 6이상
[Standard Mode]
/etc/default/security에서 AUTH_MAXTRIES 0, 6이상
* 시스템 계정 예외: daemon, bin, sys, adm, uucp, nuucp, lpuname, nobody, smbnull</t>
    <phoneticPr fontId="7" type="noConversion"/>
  </si>
  <si>
    <t>판단: OK/BAD
[양호 조건]
/etc/passwd, /etc/group 권한  644 이하
AND 
소유자 root
[취약 조건]
/etc/passwd, /etc/group 권한  644 초과
OR
소유자 root 아님</t>
    <phoneticPr fontId="7" type="noConversion"/>
  </si>
  <si>
    <t>판단: OK/BAD
[양호 조건]
/etc/hosts 권한  644 이하
AND 
소유자 root
[취약 조건]
/etc/hosts 권한  644 초과
OR
소유자 root 아님</t>
    <phoneticPr fontId="7" type="noConversion"/>
  </si>
  <si>
    <t>판단: OK/BAD
[양호 조건]
/etc/services 권한  644 이하
AND 
소유자 root
[취약 조건]
/etc/services 권한  644 초과
OR
소유자 root 아님</t>
    <phoneticPr fontId="7" type="noConversion"/>
  </si>
  <si>
    <t xml:space="preserve">판단: OK/BAD
[양호 조건]
(/usr/bin/last 권한  700 이하
AND 
소유자 root, sys,bin)
AND
(/usr/sbin/ifconfig 권한 700 이하
AND
소유자 root)
[취약 조건]
(/usr/bin/last 권한  700 초과
OR
소유자 root, sys,bin 아님)
AND
(/usr/sbin/ifconfig 권한 700 초과
AND
소유자 root 아님)
</t>
    <phoneticPr fontId="7" type="noConversion"/>
  </si>
  <si>
    <t>판단: OK/BAD
[양호 조건]
/etc/inetd.conf 권한  600 이하
AND 
소유자 root
[취약 조건]
/etc/inetd.conf 권한  600 초과
OR
소유자 root 아님</t>
    <phoneticPr fontId="7" type="noConversion"/>
  </si>
  <si>
    <t>판단: OK/BAD
[양호 조건]
/etc/ftpusers 권한  600 이하
AND 
소유자 root
[취약 조건]
/etc/ftpusers 권한  600 초과
OR
소유자 root 아님</t>
    <phoneticPr fontId="7" type="noConversion"/>
  </si>
  <si>
    <t>판단: OK/BAD
[양호 조건]
/etc/dfs/dfstab 또는 /etc/exports  Other 에 쓰기권한 없음
AND 
소유자 root
[취약 조건]
/etc/dfs/dfstab 또는 /etc/exports Other 에 쓰기권한 있음
OR 
소유자 root</t>
    <phoneticPr fontId="7" type="noConversion"/>
  </si>
  <si>
    <t>판단: OK/BAD
[양호 조건]
/etc/default/security Other 에 쓰기권한 없음
AND 
소유자 root
[취약 조건]
/etc/default/security Other 에 쓰기권한 있음
OR 
소유자 root</t>
    <phoneticPr fontId="7" type="noConversion"/>
  </si>
  <si>
    <t>판단: OK/BAD
[양호 조건]
/usr/lib/cron/cron.allow, /usr/lib/cron/cron.deny Group,Other 에 쓰기권한 없음
AND 
소유자 root/bin/adm
[취약 조건]
/usr/lib/cron/cron.allow, /usr/lib/cron/cron.deny Group,Other 에 쓰기권한 있음
OR 
소유자 root/bin/adm 아님.</t>
    <phoneticPr fontId="7" type="noConversion"/>
  </si>
  <si>
    <t>판단: OK/BAD
[양호 조건]
주요 백업 파일 권한 600 이하
AND 
소유자 root
[취약 조건]
주요 백업 파일 권한 600 초과
OR
소유자 root 아님.
* 주요 백업 파일:
/etc/passwd* /etc/inetd.conf* /etc/services* /etc/hosts* /var/adm/wtmp* /var/adm/btmp* /var/adm/sulog*</t>
    <phoneticPr fontId="7" type="noConversion"/>
  </si>
  <si>
    <t>판단: OK/BAD
[양호 조건]
(/opt/lsware/unity/service/local/ac_agent 존재
AND
unityd 프로세스 있음)
OR
(/etc/inetd.conf 에서 6번째 필드에 /usr/local/bin/tcpd 있음 
AND
/etc/hosts.deny 에 ALL:ALL 라인 있음)
OR
(itaagtd, itamgrd, collogd 프로세스 있음)
AND
((dtlogin 프로세스 없음
OR
177 port not open)
OR
((dtlogin 프로세스 있음
OR
177 port  open)
AND
(UAC 3.4.5 이상)))
[취약 조건]
양호 조건 만족하지 않음</t>
    <phoneticPr fontId="7" type="noConversion"/>
  </si>
  <si>
    <t>판단:N/A</t>
    <phoneticPr fontId="7" type="noConversion"/>
  </si>
  <si>
    <t xml:space="preserve">판단:OK/BAD
[양호 조건]
[Telnet]
Telnet 프로세스 없음
OR
(Telnet 프로세스 있음
AND
Telnet 배너 있음)
[FTP]
FTP 프로세스 없음
OR
(FTP 프로세스 있음
AND
FTP 배너 있음)
[SSH]
SSH 프로세스 없음
OR
(SSH 프로세스 있음
AND
SSH 배너 있음)
[취약 조건]
 - 양호 조건 만족하지 않음
* 서비스별 배너 판단:
[Telnet]
/etc/inetd.conf 파일에서 telnet 설정중 -b [path] 의 path파일
[FTP]
/etc/inetd.conf 파일에서 ftp 설정중 -a 옵션 설정
/etc/ftpd/ftpaccess 파일에 banner에 설정된 파일
[SSH]
/opt/ssh/etc/sshd_config 파일에서 Banner 설정된 파일
</t>
    <phoneticPr fontId="7" type="noConversion"/>
  </si>
  <si>
    <t>판단:OK/BAD
[양호 조건]
[OTP]
/etc/pam.conf 파일 login * pam_securid.1 * 라인이 있는 경우
[SSH]
sshd 프로세스 실행중
[취약 조건]
[OTP]
/etc/pam.conf 파일 login * pam_securid.1 * 라인 없음
[SSH]
sshd 프로세스 중지중</t>
    <phoneticPr fontId="7" type="noConversion"/>
  </si>
  <si>
    <t xml:space="preserve">판단: OK/BAD
양호:
 - NFS 미사용 
OR
(everyone AND Userhome AND / 공유 없음)
취약:
 - NFS 사용
AND
(everyone OR / OR Userhome 공유 있음)
</t>
    <phoneticPr fontId="7" type="noConversion"/>
  </si>
  <si>
    <t>판단: OK/BAD
[양호 조건]
불필요한 서비스 /etc/inetd.conf 파일 미등록
AND
/etc/services 파일에 등록된 포트 미실행
[취약 조건]
불필요한 서비스 /etc/inetd.conf 파일 등록
OR
/etc/services 파일에 등록된 포트 실행중
* 불필요 서비스:
bootp, chargen, cmsd, daytime, discard, echo, finger, netstat, rusersd, sprayd, systat, tftp, time, ttdbserverd, uucp</t>
    <phoneticPr fontId="7" type="noConversion"/>
  </si>
  <si>
    <t xml:space="preserve">판단: OK/BAD
[양호 조건]
root 계정 PATH 에 . 없음
[취약 조건]
root 계정 PATH 에 . 있음
* 환경 설정 파일
sh: /etc/profile -&gt; $HOME/.profile
ksh: /etc/profile -&gt; $HOME/.profile
csh: /etc/csh.login -&gt; $HOME/.cshrc -&gt; $HOME/.login
bash: /etc/profile -&gt; $HOME/.bash_profile -&gt; $HOME/.bash_login -&gt; $HOME/.profile </t>
    <phoneticPr fontId="7" type="noConversion"/>
  </si>
  <si>
    <t xml:space="preserve">판단: N/A
</t>
    <phoneticPr fontId="7" type="noConversion"/>
  </si>
  <si>
    <t>판단: Info
출력 내용:
swlist -l patch -a install_date | sed 's/#//g' | sed 's/ / /g' | awk -F" " '{print $1" "$2}' | sort -u | sort -r -t' ' -k 2 | head -n 5</t>
    <phoneticPr fontId="7" type="noConversion"/>
  </si>
  <si>
    <t>판단: OK/BAD
[양호 조건]
(/etc/profile 퍼미션 755 이하, 소유자 root)
AND
((사용자 홈 디렉토리내 .sh_history 파일이 존재)
AND
((사용자 홈 디렉토리내 .sh_history 사이즈 0 아님,  퍼미션 600 소유자가 소유자 계정이거나 root)
OR 
(사용자 홈 디렉토리내 .sh_history  사이즈 0, 퍼미션 000 소유자 root)))
AND
(사용자 홈 디렉토리내 .profile 파일 퍼미션 GROUP, OTHER에 쓰기 권한 없음, 소유자가 소유자 계정이거나 root)
[취약 조건]
(/etc/profile 퍼미션 755 초과, 소유자 root 아님)
OR
((사용자 홈 디렉토리내 .sh_history 파일 없음)
OR
((사용자 홈 디렉토리내 .sh_history 사이즈 0 아님,  퍼미션 600 초과 소유자가 소유자 계정이거나 root 아님)
OR 
(사용자 홈 디렉토리내 .sh_history  사이즈 0, 퍼미션 000 초과 소유자 root 아님)))
OR
(사용자 홈 디렉토리내 .profile 파일 퍼미션 GROUP, OTHER에 쓰기 권한 있음, 소유자가 소유자 계정이거나 root 아님)</t>
    <phoneticPr fontId="7" type="noConversion"/>
  </si>
  <si>
    <t>판단: OK/BAD
[양호 조건]
/etc/security/user 파일 HISTSIZE 2이상
[취약 조건]
/etc/security/user 파일 HISTSIZE 0~1
* 예외 계정:
(daemon, bin, sys, adm, uucp, nuucp, lpd, lp, nobody, snapp, ipsec, sshd, guest)</t>
    <phoneticPr fontId="7" type="noConversion"/>
  </si>
  <si>
    <t>판단: OK/BAD
[양호 조건]
/etc/security/user 파일 MAXAGE 1~13
[취약 조건]
/etc/security/user 파일 MAXAGE 0, 14이상
* 예외 계정:
(daemon, bin, sys, adm, uucp, nuucp, lpd, lp, nobody, snapp, ipsec, sshd, guest)</t>
    <phoneticPr fontId="7" type="noConversion"/>
  </si>
  <si>
    <t>판단: OK/BAD
[양호 조건]
/etc/security/user 파일 MINAGE 1이상
[취약 조건]
/etc/security/user 파일 MINAGE 0
* 예외 계정:
(daemon, bin, sys, adm, uucp, nuucp, lpd, lp, nobody, snapp, ipsec, sshd, guest)</t>
    <phoneticPr fontId="7" type="noConversion"/>
  </si>
  <si>
    <t>판단: OK/BAD
[양호 조건]
/etc/security/user 파일 loginretries 1~5
AND
(/etc/security/login.cfg파일
logindisable가 10 이상
logininterval가 60 이상
loginreenable가 30 이상)
[취약 조건]
/etc/security/user 파일 loginretries 0, 6이상
OR
(/etc/security/login.cfg파일
logindisable가 0~9 이상
logininterval가 0~59 이상
loginreenable가 0~29 이상)
* 예외 계정:
(daemon, bin, sys, adm, uucp, nuucp, lpd, lp, nobody, snapp, ipsec, sshd, guest)</t>
    <phoneticPr fontId="7" type="noConversion"/>
  </si>
  <si>
    <t xml:space="preserve">판단:OK/BAD
[양호 조건]
  - 세션 타임아웃 값 1~1800, 1~30(csh) 
[취약 조건]
 - 세션 타임아웃 값 0, 1801이상, 0, 31이상(csh)
* 환경 변수 설정 파일:
sh: /etc/profile -&gt; $HOME/.profile
bsh: /etc/profile -&gt; $HOME/.profile
ksh: /etc/profile -&gt; $HOME/.profile
csh: /etc/csh.login -&gt; $HOME/.cshrc
bash: /etc/profile -&gt; $HOME/.bash_profile -&gt; $HOME/.bash_login -&gt; $HOME/.profile  </t>
    <phoneticPr fontId="7" type="noConversion"/>
  </si>
  <si>
    <t xml:space="preserve">판단:OK/BAD
[양호 조건]
  - 세션 타임아웃 값 1~1800, 1~30(csh) 
[취약 조건]
 - 세션 타임아웃 값 0, 1801이상, 0, 31이상(csh)
* 환경 변수 설정 파일:
sh: /etc/profile -&gt; $HOME/.profile
ksh: /etc/profile -&gt; $HOME/.profile
csh: /etc/csh.login -&gt; $HOME/.cshrc -&gt; $HOME/.login
bash: /etc/profile -&gt; $HOME/.bash_profile -&gt; $HOME/.bash_login -&gt; $HOME/.profile  </t>
    <phoneticPr fontId="7" type="noConversion"/>
  </si>
  <si>
    <t xml:space="preserve">판단:OK/BAD
[양호 조건]
[Telnet]
Telnet 프로세스 없음
OR
(Telnet 프로세스 있음
AND
Telnet 배너 있음)
[FTP]
FTP 프로세스 없음
OR
(FTP 프로세스 있음
AND
FTP 배너 있음)
[SSH]
SSH 프로세스 없음
OR
(SSH 프로세스 있음
AND
SSH 배너 있음)
[취약 조건]
 - 양호 조건 만족하지 않음
* 서비스별 배너 판단:
[Telnet]
/etc/security/login.cfg 파일 내용 
[FTP]
/etc/ftpaccess.ctl 파일에서 herald: 
[SSH]
/opt/ssh/etc/sshd_config 파일에서 Banner 설정된 파일
</t>
    <phoneticPr fontId="7" type="noConversion"/>
  </si>
  <si>
    <t>판단:OK/BAD
[양호 조건]
[OTP]
5.1 이하 /rsa/ace/prog/sdrun.sh 파일 /usr/lib/security/methods.cfg 라인 있음
5.3 이상  /etc/pam.conf  파일 telnet * pam_securid.so  라인 있음
[SSH]
sshd 프로세스 실행중
[취약 조건]
[OTP]
5.1 이하 /rsa/ace/prog/sdrun.sh 파일 /usr/lib/security/methods.cfg 라인 없음
5.3 이상  /etc/pam.conf  파일 telnet * pam_securid.so  라인 없음
[SSH]
sshd 프로세스 중지중</t>
    <phoneticPr fontId="7" type="noConversion"/>
  </si>
  <si>
    <t>판단: OK/BAD
[양호 조건]
불필요한 서비스 /etc/inetd.conf 파일 미등록
AND
/etc/services 파일에 등록된 포트 미실행
[취약 조건]
불필요한 서비스 /etc/inetd.conf 파일 등록
OR
/etc/services 파일에 등록된 포트 실행중
* 불필요 서비스:
bootp, chargen, cmsd, daytime, discard, echo, finger, netstat, rusersd, sprayd, systat, tftp, time, ttdbserverd, uucp</t>
    <phoneticPr fontId="7" type="noConversion"/>
  </si>
  <si>
    <t xml:space="preserve">판단: OK/BAD
[양호 조건]
root 계정 PATH 에 . 없음
[취약 조건]
root 계정 PATH 에 . 있음
* 환경 설정 파일
sh: /etc/profile -&gt; $HOME/.profile
bsh: /etc/profile -&gt; $HOME/.profile
ksh: /etc/profile -&gt; $HOME/.profile
csh: /etc/csh.login -&gt; $HOME/.cshrc
bash: /etc/profile -&gt; $HOME/.bash_profile -&gt; $HOME/.bash_login -&gt; $HOME/.profile </t>
    <phoneticPr fontId="7" type="noConversion"/>
  </si>
  <si>
    <t>판단: Info
출력 내용:
instfix -i | egrep '(ML|SP|TL)' | tail -n 5</t>
    <phoneticPr fontId="7" type="noConversion"/>
  </si>
  <si>
    <t>판단: OK/BAD
[양호 조건]
/etc/default/passwd  파일 PASSLENGTH 8이상
[취약 조건]
/etc/default/passwd  파일 PASSLENGTH  0~7
* 예외 계정:
(daemon, bin, sys, adm, uucp, nuucp, lpuname, nobody, smbnull)</t>
    <phoneticPr fontId="7" type="noConversion"/>
  </si>
  <si>
    <t>판단: OK/BAD
[양호 조건]
/etc/default/passwd 파일 HISTORY 2이상
[취약 조건]
/etc/default/passwd 파일 HISTORY 0~1
* 예외 계정:
(daemon, bin, sys, adm, uucp, nuucp, lpuname, nobody, smbnull)</t>
    <phoneticPr fontId="7" type="noConversion"/>
  </si>
  <si>
    <t>판단: OK/BAD
[양호 조건]
/etc/default/passwd파일 MAXWEEKS 1~13
AND
/etc/shadow 파일 5번재 토큰 1~90
[취약 조건]
/etc/default/passwd파일에서 MAXWEEKS 0, 14이상
OR
/etc/shadow 파일 5번재 토큰 0, 91이상
* 예외 계정:
(daemon, bin, sys, adm, uucp, nuucp, lpuname, nobody, smbnull)</t>
    <phoneticPr fontId="7" type="noConversion"/>
  </si>
  <si>
    <t>판단: OK/BAD
[양호 조건]
/etc/default/passwd파일 MINWEEKS  1이상
AND
/etc/shadow 4번째 토큰 7이상
[취약 조건]
/etc/default/passwd파일 MINWEEKS  0
AND
/etc/shadow 4번째 토큰 0~6
* 예외 계정:
(daemon, bin, sys, adm, uucp, nuucp, lpuname, nobody, smbnull)</t>
    <phoneticPr fontId="7" type="noConversion"/>
  </si>
  <si>
    <t>판단: OK/BAD
[양호 조건]
/etc/default/login 파일 RETRIES 1~5
AND
/etc/default/login 파일 DISABLETIME 1800이상
AND
/etc/security/policy.conf 파일 LOCK_AFTER_RETRIE YES
[취약 조건]
/etc/default/login 파일 RETRIES 0,6이상
AND
/etc/default/login 파일 DISABLETIME 0~1799
AND
/etc/security/policy.conf 파일 LOCK_AFTER_RETRIE NO 
* 예외 계정:
(daemon, bin, sys, adm, uucp, nuucp, lpuname, nobody, smbnull)</t>
    <phoneticPr fontId="7" type="noConversion"/>
  </si>
  <si>
    <t>판단: OK/BAD
[양호 조건]
( /etc/shadow,/etc/security/passwd 권한  400 이하
AND 
소유자 root)
AND
/etc/passwd 에 hash 패스워드 미존재
[취약 조건]
/etc/shadow,/etc/security/passwd 권한  400 초과
OR
소유자 root 아님
OR
/etc/passwd 에 hash 패스워드 존재</t>
    <phoneticPr fontId="7" type="noConversion"/>
  </si>
  <si>
    <t>판단: OK/BAD
[양호 조건]
/etc/default/passwd 권한 444 이하
AND 
소유자 root
[취약 조건]
/etc/default/passwd 권한 444 초과
OR 
소유자 root 아님</t>
    <phoneticPr fontId="7" type="noConversion"/>
  </si>
  <si>
    <t>판단: OK/BAD
[양호 조건]
/etc/dfs/dfstab 또는 /etc/exports  Other 에 쓰기권한 없음
AND 
소유자 root
[취약 조건]
/etc/dfs/dfstab 또는 /etc/exports Other 에 쓰기권한 있음
OR 
소유자 root 아님</t>
    <phoneticPr fontId="7" type="noConversion"/>
  </si>
  <si>
    <t>판단:OK/BAD
[양호 조건]
  - 세션 타임아웃 값 1~1800, 1~30(csh) 
[취약 조건]
 - 세션 타임아웃 값 0, 1801이상, 0, 31이상(csh)
* 환경 변수 설정 파일:
sh: /etc/profile -&gt; $HOME/.profile
ksh: /etc/profile -&gt; $HOME/.profile
csh: /etc/.login -&gt; $HOME/.cshrc -&gt; $HOME/.login
bash: /etc/profile -&gt; $HOME/.bash_profile -&gt; $HOME/.bash_login -&gt; $HOME/.profile</t>
    <phoneticPr fontId="7" type="noConversion"/>
  </si>
  <si>
    <t>판단:OK/BAD
[양호 조건]
[OTP]
/etc/pam.conf 파일 telnet * pam_securid.so 라인 있음
[SSH]
sshd 프로세스 실행중
[취약 조건]
[OTP]
/etc/pam.conf 파일 telnet * pam_securid.so 라인 없음
[SSH]
sshd 프로세스 중지중</t>
    <phoneticPr fontId="7" type="noConversion"/>
  </si>
  <si>
    <t>판단: OK/BAD
[양호 조건]
root 계정 PATH 에 . 없음
[취약 조건]
root 계정 PATH 에 . 있음
* 환경 설정 파일
sh: /etc/profile -&gt; $HOME/.profile
ksh: /etc/profile -&gt; $HOME/.profile
csh: /etc/.login -&gt; $HOME/.cshrc -&gt; $HOME/.login
bash: /etc/profile -&gt; $HOME/.bash_profile -&gt; $HOME/.bash_login -&gt; $HOME/.profile</t>
    <phoneticPr fontId="7" type="noConversion"/>
  </si>
  <si>
    <t xml:space="preserve">판단: OK/BAD
[양호 조건]
/etc/default/passwd 파일 MINALPHA 1이상
AND
/etc/default/passwd 파일 MINDIGIT 1이상
AND
/etc/default/passwd 파일 MINSPECIAL 1이상
AND
/etc/default/passwd 파일 WHITESPACE NO
[양호 조건]
/etc/default/passwd 파일 MINALPHA 0 또는 미설정
OR
/etc/default/passwd 파일 MINDIGIT 0 또는 미설정
OR
/etc/default/passwd 파일 MINSPECIAL 0 또는 미설정
OR
/etc/default/passwd 파일 WHITESPACE YES 또는 미설정
</t>
    <phoneticPr fontId="7" type="noConversion"/>
  </si>
  <si>
    <t>판단: OK/BAD
[양호 조건]
/etc/security/user 파일 MINALPHA 4이상
AND
/etc/security/user 파일 MINOTHER 2미만
[취약 조건]
/etc/security/user 파일 MINALPHA 0~3
AND
/etc/security/user 파일 MINOTHER 0~1 
* 예외 계정:
(daemon, bin, sys, adm, uucp, nuucp, lpd, lp, nobody, snapp, ipsec, sshd, guest)</t>
    <phoneticPr fontId="7" type="noConversion"/>
  </si>
  <si>
    <t xml:space="preserve">판단: OK/BAD
[양호 조건]
/etc/login.defs 파일 PASS_MAX_DAYS 0~90
AND
/etc/shadow 파일 5번재 토큰 1~90
[취약 조건]
/etc/login.defs 파일 PASS_MAX_DAYS 91이상
OR
/etc/shadow 파일 5번재 토큰 0, 91이상
</t>
    <phoneticPr fontId="7" type="noConversion"/>
  </si>
  <si>
    <t>판단: OK/BAD
[양호 조건]
(/usr/bin/last 권한  700 이하
AND 
소유자 root, sys,bin)
AND
(/usr/sbin/ifconfig 권한 700 이하
AND
소유자 root)
[취약 조건]
(/usr/bin/last 권한  700 초과
OR
소유자 root, sys,bin 아님)
AND
(/usr/sbin/ifconfig 권한 700 초과
AND
소유자 root 아님)</t>
    <phoneticPr fontId="7" type="noConversion"/>
  </si>
  <si>
    <t>판단: OK/BAD
[양호 조건]
/etc/vsftpd.ftpusers /etc/vsftpd.user_list, /etc/vsftpd/ftpusers, /etc/vsftpd/user_list 권한  600 이하
AND 
소유자 root
[취약 조건]
/etc/vsftpd.ftpusers /etc/vsftpd.user_list, /etc/vsftpd/ftpusers, /etc/vsftpd/user_list 권한  600 초과
OR
소유자 root 아님</t>
    <phoneticPr fontId="7" type="noConversion"/>
  </si>
  <si>
    <t>판단:OK/BAD
[양호 조건]
[OTP]
/etc/pam.d/remote 파일 auth pam_securid.so 라인 있음
[SSH]
sshd 프로세스 실행중
[취약 조건]
[OTP]
/etc/pam.d/remote 파일 auth pam_securid.so 라인 없음
[SSH]
sshd 프로세스 중지중</t>
    <phoneticPr fontId="7" type="noConversion"/>
  </si>
  <si>
    <t xml:space="preserve">2015/08/03
3개 점검 항목을 하나로 합쳐서 결과를 보여줌. </t>
  </si>
  <si>
    <t xml:space="preserve">2015/08/03
 - SecuMS 참조 경로 : HKEY_CURRENT_USER₩Control Panel₩Desktop₩SCRNSAVE.EXE
- 정책으로 설정 시 참조 경로 :
 - 서버 설정 경로 : HKEY_CURRENT_USER₩Software₩Policies₩Windows₩Control Panel₩Desktop₩SCRNSAVE.EXE
2015 점검 항목에도 정책으로 설정한 레지스트리 경로의 점검이 필요한지 확인 필요.
</t>
  </si>
  <si>
    <t>U1486 IP 및 포트 접근 제어를 수행하는가?(2015)</t>
    <phoneticPr fontId="7" type="noConversion"/>
  </si>
  <si>
    <t xml:space="preserve">U1488 사용자 계정 암호 파일에 대한 접근 권한이 제한되어 있는가?(2015)
- /etc/shadow, /etc/security/passwd 파일 소유자 root가 아니면 취약
퍼미션 400 초과 취약
- /etc/passwd 두번째 컬럼이 *, x, !가 아니면 취약 </t>
    <phoneticPr fontId="7" type="noConversion"/>
  </si>
  <si>
    <t>U1487 IP 및 포트 접근 제어를 수행하는가?(2015)</t>
    <phoneticPr fontId="7" type="noConversion"/>
  </si>
  <si>
    <t>L388 IP 및 포트 접근 제어를 수행하는가?(2015)</t>
    <phoneticPr fontId="7" type="noConversion"/>
  </si>
  <si>
    <t>판단:Info
출력내용:
 - swlist</t>
    <phoneticPr fontId="7" type="noConversion"/>
  </si>
  <si>
    <t>판단:Info
출력내용:
 - lslpp -l</t>
    <phoneticPr fontId="7" type="noConversion"/>
  </si>
  <si>
    <t>판단:Info
출력내용:
 - pkginfo</t>
    <phoneticPr fontId="7" type="noConversion"/>
  </si>
  <si>
    <t>판단:Info
출력내용:
 - rpm -qa</t>
    <phoneticPr fontId="7" type="noConversion"/>
  </si>
  <si>
    <t>2015/07/20 엄태현
 - 해당 항목 협의 사항 회신 필요함( from 편석훈)
 - 8월 10일까지 협의 필요
2015/08/05 엄태현
 - OS 별 설치된 패키지 리스트 출력하는것으로 협의됨(From 편석훈)</t>
    <phoneticPr fontId="7" type="noConversion"/>
  </si>
  <si>
    <t>2015/07/20 엄태현
 - 해당 항목 협의 사항 회신 필요함( from 편석훈)
2015/08/05 엄태현
 - OS 별 설치된 패키지 리스트 출력하는것으로 협의됨(From 편석훈)</t>
    <phoneticPr fontId="7" type="noConversion"/>
  </si>
  <si>
    <t>N</t>
    <phoneticPr fontId="7" type="noConversion"/>
  </si>
  <si>
    <t>N</t>
    <phoneticPr fontId="7" type="noConversion"/>
  </si>
  <si>
    <t>U1489 불필요하거나, 안전하지 않은 어플리케이션이 설치되었는가?(2015)
swlist 결과 출력</t>
    <phoneticPr fontId="7" type="noConversion"/>
  </si>
  <si>
    <t>U1490 불필요하거나, 안전하지 않은 어플리케이션이 설치되었는가?(2015)
lslpp -l 명령 수행 결과</t>
    <phoneticPr fontId="7" type="noConversion"/>
  </si>
  <si>
    <t>U1491 불필요하거나, 안전하지 않은 어플리케이션이 설치되었는가?(2015)
pkginfo 명령 수행 결과</t>
    <phoneticPr fontId="7" type="noConversion"/>
  </si>
  <si>
    <t>1. /etc/inetd.conf 파일에서 해당 서비스 주석 처리 후 inetd 서비스 재시작
2. kill -9 해당프로세스 PID로 프로세스 kill</t>
  </si>
  <si>
    <t>판단: OK/BAD
[양호 조건]
FTP Port not Listen(/etc/services등록된)
OR
ftp/anonymous 계정 없음
[취약 조건]
FTP Port Listen(/etc/services등록된)
AND
ftp/anonymous 계정 존재함</t>
    <phoneticPr fontId="7" type="noConversion"/>
  </si>
  <si>
    <t>39</t>
    <phoneticPr fontId="8" type="noConversion"/>
  </si>
  <si>
    <t>39</t>
    <phoneticPr fontId="8" type="noConversion"/>
  </si>
  <si>
    <t>40</t>
    <phoneticPr fontId="8" type="noConversion"/>
  </si>
  <si>
    <t>41</t>
    <phoneticPr fontId="8" type="noConversion"/>
  </si>
  <si>
    <t>판단: OK/BAD
[양호 조건]
&lt;SNMP V1,2&gt;
SNMP 서비스가 미 설치/미사용 
OR
/etc/snmp/conf/snmpd.conf or /etc/sma/snmp/snmpd.conf or /etc/net-snmp/snmp/snmpd.conf 파일 
community 이 영수 혼합 8자 이상
&lt;SNMP V3&gt;
SNMP 서비스가 미 설치/미사용 
OR
/etc/snmp/conf/snmpd.conf or /etc/sma/snmp/snmpd.conf  or /etc/net-snmp/snmp/snmpd.conf 파일 이 영수 혼합 8자 이상
)
[취약 조건]
* 양호 조건 만족하지 않음</t>
    <phoneticPr fontId="7" type="noConversion"/>
  </si>
  <si>
    <t>2016/02/18 엄태현
 - 내용 수정
 - 기준 오타 수정
 - Redmine: http://project.lsware.co.kr/redmine/issues/4266</t>
    <phoneticPr fontId="7" type="noConversion"/>
  </si>
  <si>
    <t>판단: OK/BAD
[양호 조건]
/etc/shadow,/tcb/files/auth 권한  400 이하
AND 
소유자 root
[취약 조건]
/etc/shadow,/tcb/files/auth 권한  400 초과
OR
소유자 root 아님</t>
    <phoneticPr fontId="7" type="noConversion"/>
  </si>
  <si>
    <t>기준</t>
    <phoneticPr fontId="7" type="noConversion"/>
  </si>
  <si>
    <t>2016/2/18 엄태현
 - 내용 수정
 - Redmine: http://project.lsware.co.kr/redmine/issues/4258</t>
    <phoneticPr fontId="7" type="noConversion"/>
  </si>
  <si>
    <t>2016/02/18 엄태현
 - Solaris 11 버전은 /etc/net-snmp/snmp/snmpd.conf 점검, 조치법 수정 
 - http://project.lsware.co.kr/redmine/issues/4265</t>
    <phoneticPr fontId="7" type="noConversion"/>
  </si>
  <si>
    <t>판단: OK/BAD</t>
    <phoneticPr fontId="7" type="noConversion"/>
  </si>
  <si>
    <t xml:space="preserve">판단: OK/BAD
[양호 조건]
SNMP 서비스가 미 설치/미사용 
OR
/etc/snmpd.conf 파일
get-community-name 이 영수 혼합 8자 이상
[취약 조건]
SNMP 서비스 설치/실행 
AND
(/etc/snmpd.conf 파일
get-community-name  public
OR
get-community-name 커뮤니티명 8자 이하
OR
get-community-name 숫자만 사용
OR
get-community-name 문자만 사용)
</t>
    <phoneticPr fontId="7" type="noConversion"/>
  </si>
  <si>
    <t>판단: OK/BAD
[양호 조건]
&lt;SNMP V1,2&gt;
SNMP 서비스가 미 설치/미사용 
OR
/etc/snmpd.conf 파일 
community 이 영수 혼합 8자 이상
&lt;SNMP V3&gt;
SNMP 서비스가 미 설치/미사용 
OR
/etc/snmpdv3.conf 파일
/etc/snmpd.conf 파일 
COMMUNITY 이 영수 혼합 8자 이상
)
[취약 조건]
* 양호 조건 만족하지 않음</t>
    <phoneticPr fontId="7" type="noConversion"/>
  </si>
  <si>
    <t>2016/2/23 엄태현
 - V1,2 에서 community(소문자)
 - V3 에서 COMMUNITY(대문자)</t>
    <phoneticPr fontId="7" type="noConversion"/>
  </si>
  <si>
    <t>Checklist Summary</t>
    <phoneticPr fontId="8" type="noConversion"/>
  </si>
  <si>
    <t>구분</t>
    <phoneticPr fontId="8" type="noConversion"/>
  </si>
  <si>
    <t>내용</t>
    <phoneticPr fontId="8" type="noConversion"/>
  </si>
  <si>
    <t>원본</t>
    <phoneticPr fontId="8" type="noConversion"/>
  </si>
  <si>
    <t>관련법</t>
    <phoneticPr fontId="8" type="noConversion"/>
  </si>
  <si>
    <t>대상별 항목 개수</t>
    <phoneticPr fontId="8" type="noConversion"/>
  </si>
  <si>
    <t>작성 기준</t>
    <phoneticPr fontId="8" type="noConversion"/>
  </si>
  <si>
    <t>가중치 부여 기준</t>
    <phoneticPr fontId="8" type="noConversion"/>
  </si>
  <si>
    <t>특이사항</t>
    <phoneticPr fontId="8" type="noConversion"/>
  </si>
  <si>
    <t>기타</t>
    <phoneticPr fontId="8" type="noConversion"/>
  </si>
  <si>
    <t>색기준</t>
    <phoneticPr fontId="8" type="noConversion"/>
  </si>
  <si>
    <t>R:0
G:176
B:240</t>
    <phoneticPr fontId="8" type="noConversion"/>
  </si>
  <si>
    <t>내용,조치법 수정</t>
    <phoneticPr fontId="8" type="noConversion"/>
  </si>
  <si>
    <t>R:0
G:176
B:80</t>
    <phoneticPr fontId="8" type="noConversion"/>
  </si>
  <si>
    <t>개발완료</t>
    <phoneticPr fontId="8" type="noConversion"/>
  </si>
  <si>
    <t>R:255
G:255
B:0</t>
    <phoneticPr fontId="8" type="noConversion"/>
  </si>
  <si>
    <t>체크필요(내용/확인방법/조치법 문구수정 필요)</t>
    <phoneticPr fontId="8" type="noConversion"/>
  </si>
  <si>
    <t>체크필요(기준/스캔 ID 수정 필요)</t>
    <phoneticPr fontId="8" type="noConversion"/>
  </si>
  <si>
    <t xml:space="preserve">1. 점수가중치는 1점으로 가중치 부여
  등급은 A(95이상), B(90이상~95미만), C(80이상~89미만)
</t>
    <phoneticPr fontId="8" type="noConversion"/>
  </si>
  <si>
    <t>판단: Info
출력 내용:
[Solaris 9,10 버전]
showrev -p | grep -h PATCH_INFO_ /var/sadm/pkg/SUNW*/pkginfo | sed -e 's/ From:.*//' | sed -e 's/  / /' | sort -u | sort  -r -t' ' -k 7  -M -k 3 -k 4 -k 5 | head -n 5
[Solaris 11버전]
pkg list -nv | grep 'i--' | sed -e 's/ i--//' | awk -F'@' '{printf "%s %s\n",$1,$2 }' | awk -F':' '{printf "%s:%s %s\n",$1,$2, $3 }' | sort -r -t' ' -k 3 | head -n 5</t>
    <phoneticPr fontId="7" type="noConversion"/>
  </si>
  <si>
    <t>2015/07/29 엄태현
 - 기준 변경됨, 수정 필요
 - /etc/security/passwd 기준 추가및 /etc/passwd 파일 내용에 대한 점검 방식이 추가됨</t>
    <phoneticPr fontId="7" type="noConversion"/>
  </si>
  <si>
    <t>2015/07/29 엄태현
 - 2014 점검정책 3개 1개로 합쳐서 점검
2015/08/04 엄태현
 - 점검 기준 변경함
2016/3/25 엄태현
 - "기준" 특수 문자 수정
    Redmine: http://project.lsware.co.kr/redmine/issues/4323</t>
    <phoneticPr fontId="7" type="noConversion"/>
  </si>
  <si>
    <t>2016/04/18 엄태현
 - 기준/점검기준에 btmp 가 잘못들어가잇었음.
실제 /var/adm/loginlog* 파일을 점검하여 수정함.</t>
    <phoneticPr fontId="7" type="noConversion"/>
  </si>
  <si>
    <t xml:space="preserve">판단: OK/BAD
[양호 조건]
/var/adm/wtmp /etc/security/failedlogin 권한 600 이하, 소유자 root
/var/adm/sulog 권한 600이하, 소유자 root
/var/adm/syslog/syslog.log 권한 644 이하, 소유자 root
/var/adm/ras/errlog 권한 644 이하, 소유자 root
[취약 조건]
/var/adm/wtmp /etc/security/failedlogin 권한 600 초과, 소유자 root 아님
/var/adm/sulog 권한 600초과, 소유자 root 아님
/var/adm/syslog/syslog.log 권한 644 초과, 소유자 root 아님
/var/adm/ras/errlog 권한 644 초과, 소유자 root 아님
</t>
    <phoneticPr fontId="7" type="noConversion"/>
  </si>
  <si>
    <t>2015/07/29 엄태현
 - 2014 점검정책 3개 1개로 합쳐서 점검
2016/4/19 엄태현
 - syslog.log 파일 점검 부분 추가됨(편석훈 팀장 요청)
Redmine: http://project.lsware.co.kr/redmine/issues/4367
2016/4/27 엄태현
 - 스캔ID 업데이트 완료</t>
    <phoneticPr fontId="7" type="noConversion"/>
  </si>
  <si>
    <t xml:space="preserve"> U1483 서버 접속로그(보안 로그)에 대한 접근 권한을 제한 하는가?(2015)
검사 파일 리스트
/var/adm/wtmp
/etc/security/failedlogin
/var/adm/sulog
/var/adm/ras/errlog
U1501 서버 접속로그(보안 로그)에 대한 접근 권한을 제한 하는가?(2015)-2
검사 파일 리스트
/var/adm/wtmp
/etc/security/failedlogin
/var/adm/sulog
/var/adm/syslog/syslog.log
/var/adm/ras/errlog</t>
    <phoneticPr fontId="7" type="noConversion"/>
  </si>
  <si>
    <t>로그 및 패치관리</t>
    <phoneticPr fontId="7" type="noConversion"/>
  </si>
  <si>
    <t>U1503    FTP 접근제어 파일에 대한 접근 권한이 제한되어 있는가?(2014)-2</t>
    <phoneticPr fontId="7" type="noConversion"/>
  </si>
  <si>
    <t>U1508    FTP 접근제어 파일에 대한 접근 권한이 제한되어 있는가?(2014)-2</t>
    <phoneticPr fontId="7" type="noConversion"/>
  </si>
  <si>
    <t>2016/4/20 엄태현
 - /etc/ftpd/ftpusers 파일점검 추가 요청(편석훈 팀장)
 - Redmine: http://project.lsware.co.kr/redmine/issues/4375
2016/4/27 엄태현
 - 스캔ID 업데이트 완료(U1108&gt;1508)</t>
    <phoneticPr fontId="7" type="noConversion"/>
  </si>
  <si>
    <t>2016/4/20 엄태현
 - /etc/ftpd/ftpusers 파일점검 추가 요청(편석훈 팀장)
 - Redmine: http://project.lsware.co.kr/redmine/issues/4375
2016/4/27 엄태현
 - 스캔ID 변경 완료(U1109&gt;U1503)</t>
    <phoneticPr fontId="7" type="noConversion"/>
  </si>
  <si>
    <t>판단: OK/BAD
[양호 조건]
[TCB Mode]
Allow Null Password : 체크 안 됨
AND
Use Restriction Rules : 체크 됨 
[Standard Mode]
/etc/default/security 파일에서
PASSWORD_MIN_LOWER_CASE_CHARS: 1이상
PASSWORD_MIN_DIGIT_CHARS : 1이상
PASSWORD_MIN_SPECIAL_CHARS : 1이상
[취약 조건]
[TCB Mode]
Allow Null Password : 체크됨
OR
Use Restriction Rules : 체크 안됨
[Standard Mode]
/etc/default/security 파일에서
PASSWORD_MIN_LOWER_CASE_CHARS 0또는 미설정
PASSWORD_MIN_DIGIT_CHARS 0또는 미설정
PASSWORD_MIN_SPECIAL_CHARS 0또는 미설정
* 예외 계정:
(daemon, bin, sys, adm, uucp, nuucp, lpuname, nobody, smbnull)</t>
    <phoneticPr fontId="7" type="noConversion"/>
  </si>
  <si>
    <t>판단: OK/BAD
[양호 조건]
/etc/default/security 파일PASSWORD_HISTORY_DEPTH 2이상
[취약 조건]
/etc/default/security파일에서 PASSWORD_HISTORY_DEPTH 1이하</t>
    <phoneticPr fontId="7" type="noConversion"/>
  </si>
  <si>
    <t>판단: OK/BAD
[양호 조건]
[TCB Mode]
Time Between Password Changes 7이상
[Standard Mode]
/etc/default/security파일 PASSWORD_MINDAYS 7이상
AND
/etc/shadow 파일에 4번째 토큰 7이상
[취약 조건]
[TCB Mode]
Time Between Password Changes 0~6
[Standard Mode]
/etc/default/security 파일에 PASSWORD_MINDAYS 0~6
OR
/etc/shadow 파일에 4번째 토큰 0~6
* 시스템 계정 예외: daemon, bin, sys, adm, uucp, nuucp, lpuname, nobody, smbnull</t>
    <phoneticPr fontId="7" type="noConversion"/>
  </si>
  <si>
    <t>판단: OK/BAD
[양호 조건]
/etc/default/security 파일MIN_PASSWORD_LENGTH 8이상
[취약 조건]
/etc/default/security파일에서 MIN_PASSWORD_LENGTH 7이하 또는 미설정
* 예외 계정:
(daemon, bin, sys, adm, uucp, nuucp, lpuname, nobody, smbnull)</t>
    <phoneticPr fontId="7" type="noConversion"/>
  </si>
  <si>
    <t>판단: OK/BAD
[양호 조건]
(불필요한 서비스 /etc/inetd.conf 파일 미등록
AND
inetadm 명령어 조회 서비스 disabled)
AND
/etc/services 파일에 등록된 포트 미실행
[취약 조건]
(불필요한 서비스 /etc/inetd.conf 파일 등록
OR
inetadm 명령어 조회 서비스 enable)
OR
/etc/services 파일에 등록된 포트 실행중
* 불필요 서비스:
bootp, chargen, cmsd, daytime, discard, echo, finger, netstat, rusersd, sprayd, systat, tftp, time, ttdbserverd, uucp</t>
    <phoneticPr fontId="7" type="noConversion"/>
  </si>
  <si>
    <t>판단 항목도 합치기가 어렵습니다.
합치기 위해선 점검 항목ID를 새로 따야함
U1485 IP 및 포트 접근 제어를 수행하는가?(2015)</t>
    <phoneticPr fontId="7" type="noConversion"/>
  </si>
  <si>
    <t>2014에 협의 후 아래 파일 검사로 변경됨
/var/adm/utmp* -&gt;
/var/adm/btmp
/var/adm/btmps
U1482 서버 접속로그(보안 로그)에 대한 접근 권한을 제한 하는가?(2015)
검사 파일 리스트
/var/adm/wtmp
/var/adm/wtmps
/var/adm/btmp
/var/adm/btmps
/var/adm/sulog
/var/adm/syslog/syslog.log</t>
    <phoneticPr fontId="7" type="noConversion"/>
  </si>
  <si>
    <t xml:space="preserve">2014 정책에서는 협의됨
/var/adm/utmp* -&gt; /var/adm/loginlog
U1484 서버 접속로그(보안 로그)에 대한 접근 권한을 제한 하는가?(2015)
검사파일리스트
/var/adm/wtmp
/var/adm/wtmpx
/var/adm/loginlog
/var/adm/sulog
/var/adm/messages </t>
    <phoneticPr fontId="7" type="noConversion"/>
  </si>
  <si>
    <t>판단: OK/BAD
[양호 조건]
/etc/ftpusers, /etc/ftpd/ftpusers 권한  600 이하
AND 
소유자 root
[취약 조건]
/etc/ftpusers, /etc/ftpd/ftpusers 권한  600 초과
OR
소유자 root 아님</t>
    <phoneticPr fontId="7" type="noConversion"/>
  </si>
  <si>
    <t>판단: OK/BAD
[양호 조건]
/etc/ftpusers, /etc/ftpd/ftpusers 권한  600 이하
AND 
소유자 root
[취약 조건]
/etc/ftpusers, /etc/ftpd/ftpusers 권한  600 초과
OR
소유자 root 아님</t>
    <phoneticPr fontId="7" type="noConversion"/>
  </si>
  <si>
    <t>판단: OK/BAD
[양호 조건]
주요 백업 파일 권한 600 이하
AND 
소유자 root
[취약 조건]
주요 백업 파일 권한 600 초과
OR
소유자 root 아님.
* 주요 백업 파일:
/etc/passwd* /etc/inetd.conf* /etc/services* /etc/hosts* /var/adm/wtmp* /var/adm/loginlog* /var/adm/sulog*</t>
    <phoneticPr fontId="7" type="noConversion"/>
  </si>
  <si>
    <t xml:space="preserve">2016/9/6 기술지원 엔지니어 의견
 - 판단기준에 대한 고객사 협의 내용은 @hosts/mask에서 mask값이 1이상~31이하 이면 BAD로 처리해주세요(AIX, HP)
2016/9/6 엄태현
 - # showmouont -e 결과 확인하여 접근제어 설정이 특정 호스트, IP 인경우 양호, 클래스단위(0~31)(Ex 10.0.0.0/8, 192.168.100.0/24) 이면 취약으로 판단 
</t>
    <phoneticPr fontId="7" type="noConversion"/>
  </si>
  <si>
    <t>os-hpux-1489</t>
  </si>
  <si>
    <t>os-win-325</t>
  </si>
  <si>
    <t>os-win-329</t>
  </si>
  <si>
    <t>os-win-331</t>
  </si>
  <si>
    <t>os-win-336</t>
  </si>
  <si>
    <t>os-win-338</t>
  </si>
  <si>
    <t>os-win-341</t>
  </si>
  <si>
    <t>os-win-345</t>
  </si>
  <si>
    <t>os-win-348</t>
  </si>
  <si>
    <t>os-win-350</t>
  </si>
  <si>
    <t>os-win-365</t>
  </si>
  <si>
    <t>os-win-496</t>
  </si>
  <si>
    <t>os-linux-180</t>
  </si>
  <si>
    <t>os-linux-182</t>
  </si>
  <si>
    <t>os-linux-191</t>
  </si>
  <si>
    <t>os-linux-194</t>
  </si>
  <si>
    <t>os-linux-199</t>
  </si>
  <si>
    <t>os-linux-202</t>
  </si>
  <si>
    <t>os-linux-206</t>
  </si>
  <si>
    <t>os-linux-208</t>
  </si>
  <si>
    <t>os-linux-211</t>
  </si>
  <si>
    <t>os-linux-214</t>
  </si>
  <si>
    <t>os-linux-216</t>
  </si>
  <si>
    <t>os-linux-221</t>
  </si>
  <si>
    <t>os-linux-458</t>
  </si>
  <si>
    <t>os-hpux-1028</t>
  </si>
  <si>
    <t>os-solaris-1036</t>
  </si>
  <si>
    <t>os-solaris-1033</t>
  </si>
  <si>
    <t>os-aix-1040</t>
  </si>
  <si>
    <t>os-hpux-1052</t>
  </si>
  <si>
    <t>os-hpux-1049</t>
  </si>
  <si>
    <t>os-solaris-1050</t>
  </si>
  <si>
    <t>os-hpux-1054</t>
  </si>
  <si>
    <t>os-aix-1064</t>
  </si>
  <si>
    <t>os-solaris-1066</t>
  </si>
  <si>
    <t>os-solaris-1081</t>
  </si>
  <si>
    <t>os-aix-1087</t>
  </si>
  <si>
    <t>os-hpux-1094</t>
  </si>
  <si>
    <t>os-aix-1099</t>
  </si>
  <si>
    <t>os-aix-1101</t>
  </si>
  <si>
    <t>os-solaris-1103</t>
  </si>
  <si>
    <t>os-solaris-1106</t>
  </si>
  <si>
    <t>os-hpux-1111</t>
  </si>
  <si>
    <t>os-hpux-1114</t>
  </si>
  <si>
    <t>os-hpux-1117</t>
  </si>
  <si>
    <t>os-hpux-1120</t>
  </si>
  <si>
    <t>os-solaris-1502</t>
  </si>
  <si>
    <t>os-hpux-1508</t>
  </si>
  <si>
    <t>os-aix-1545</t>
  </si>
  <si>
    <t>os-aix-837</t>
  </si>
  <si>
    <t>os-aix-842</t>
  </si>
  <si>
    <t>os-linux-1014</t>
  </si>
  <si>
    <t>os-linux-1015</t>
  </si>
  <si>
    <t>os-aix-1625</t>
  </si>
  <si>
    <t>os-hpux-1615</t>
  </si>
  <si>
    <t>os-solaris-1616</t>
  </si>
  <si>
    <t>os-aix-836</t>
  </si>
  <si>
    <t>os-aix-838</t>
  </si>
  <si>
    <t>os-aix-839</t>
  </si>
  <si>
    <t>os-aix-845</t>
  </si>
  <si>
    <t>os-aix-1624</t>
  </si>
  <si>
    <t>os-hpux-1614</t>
  </si>
  <si>
    <t>os-solaris-1615</t>
  </si>
  <si>
    <t>os-hpux-1546</t>
  </si>
  <si>
    <t>os-solaris-1488</t>
  </si>
  <si>
    <t>os-aix-1490</t>
  </si>
  <si>
    <t>os-solaris-1491</t>
  </si>
  <si>
    <t>os-aix-1561</t>
  </si>
  <si>
    <t>os-solaris-1563</t>
  </si>
  <si>
    <t>os-aix-1501</t>
  </si>
  <si>
    <t>os-solaris-1060</t>
  </si>
  <si>
    <t>os-hpux-1102</t>
  </si>
  <si>
    <t>os-aix-1104</t>
  </si>
  <si>
    <t>os-hpux-1105</t>
  </si>
  <si>
    <t>os-aix-1107</t>
  </si>
  <si>
    <t>os-aix-1110</t>
  </si>
  <si>
    <t>os-hpux-1053</t>
  </si>
  <si>
    <t>os-solaris-1112</t>
  </si>
  <si>
    <t>os-aix-1113</t>
  </si>
  <si>
    <t>os-solaris-1115</t>
  </si>
  <si>
    <t>os-aix-1116</t>
  </si>
  <si>
    <t>os-aix-1067</t>
  </si>
  <si>
    <t>os-hpux-1068</t>
  </si>
  <si>
    <t>os-solaris-1118</t>
  </si>
  <si>
    <t>os-aix-1125</t>
  </si>
  <si>
    <t>os-hpux-1126</t>
  </si>
  <si>
    <t>os-solaris-1127</t>
  </si>
  <si>
    <t>os-aix-1082</t>
  </si>
  <si>
    <t>os-hpux-1083</t>
  </si>
  <si>
    <t>os-solaris-1088</t>
  </si>
  <si>
    <t>os-aix-1090</t>
  </si>
  <si>
    <t>os-solaris-1037</t>
  </si>
  <si>
    <t>os-solaris-1038</t>
  </si>
  <si>
    <t>os-aix-1041</t>
  </si>
  <si>
    <t>os-aix-1043</t>
  </si>
  <si>
    <t>os-aix-1093</t>
  </si>
  <si>
    <t>os-solaris-1121</t>
  </si>
  <si>
    <t>os-hpux-1051</t>
  </si>
  <si>
    <t>os-solaris-1095</t>
  </si>
  <si>
    <t>os-aix-1096</t>
  </si>
  <si>
    <t>os-hpux-1056</t>
  </si>
  <si>
    <t>os-hpux-1015</t>
  </si>
  <si>
    <t>os-solaris-1016</t>
  </si>
  <si>
    <t>os-solaris-1029</t>
  </si>
  <si>
    <t>os-solaris-1034</t>
  </si>
  <si>
    <t>os-solaris-1035</t>
  </si>
  <si>
    <t>os-linux-389</t>
  </si>
  <si>
    <t>os-solaris-1030</t>
  </si>
  <si>
    <t>os-solaris-1048</t>
  </si>
  <si>
    <t>os-solaris-1069</t>
  </si>
  <si>
    <t>os-aix-1079</t>
  </si>
  <si>
    <t>os-solaris-1084</t>
  </si>
  <si>
    <t>os-hpux-1097</t>
  </si>
  <si>
    <t>os-linux-275</t>
  </si>
  <si>
    <t>os-solaris-1098</t>
  </si>
  <si>
    <t>os-hpux-1080</t>
  </si>
  <si>
    <t>os-linux-207</t>
  </si>
  <si>
    <t>os-linux-210</t>
  </si>
  <si>
    <t>os-linux-212</t>
  </si>
  <si>
    <t>os-linux-213</t>
  </si>
  <si>
    <t>os-linux-190</t>
  </si>
  <si>
    <t>os-linux-215</t>
  </si>
  <si>
    <t>os-linux-195</t>
  </si>
  <si>
    <t>os-linux-201</t>
  </si>
  <si>
    <t>os-aix-1027</t>
  </si>
  <si>
    <t>os-linux-187</t>
  </si>
  <si>
    <t>os-aix-1005</t>
  </si>
  <si>
    <t>os-solaris-1007</t>
  </si>
  <si>
    <t>os-win-366</t>
  </si>
  <si>
    <t>os-win-372</t>
  </si>
  <si>
    <t>os-win-374</t>
  </si>
  <si>
    <t>os-win-339</t>
  </si>
  <si>
    <t>os-win-342</t>
  </si>
  <si>
    <t>os-win-343</t>
  </si>
  <si>
    <t>os-win-346</t>
  </si>
  <si>
    <t>os-win-347</t>
  </si>
  <si>
    <t>os-win-349</t>
  </si>
  <si>
    <t>os-win-351</t>
  </si>
  <si>
    <t>os-win-352</t>
  </si>
  <si>
    <t>os-win-355</t>
  </si>
  <si>
    <t>os-win-357</t>
  </si>
  <si>
    <t>os-win-358</t>
  </si>
  <si>
    <t>os-win-322</t>
  </si>
  <si>
    <t>os-win-323</t>
  </si>
  <si>
    <t>os-win-360</t>
  </si>
  <si>
    <t>os-win-368</t>
  </si>
  <si>
    <t>os-win-363</t>
  </si>
  <si>
    <t>os-win-326</t>
  </si>
  <si>
    <t>os-win-327</t>
  </si>
  <si>
    <t>os-win-328</t>
  </si>
  <si>
    <t>os-win-330</t>
  </si>
  <si>
    <t>os-win-335</t>
  </si>
  <si>
    <t>os-win-337</t>
  </si>
  <si>
    <t>os-win-340</t>
  </si>
  <si>
    <t>SCAN_ID</t>
  </si>
  <si>
    <t>REPLACETEXT_STRING</t>
  </si>
  <si>
    <t>REPLACETEXT_VALUE</t>
  </si>
  <si>
    <t>os-hpux-1006</t>
    <phoneticPr fontId="7" type="noConversion"/>
  </si>
  <si>
    <t>Y</t>
  </si>
  <si>
    <t>os-hpux-1047</t>
    <phoneticPr fontId="7" type="noConversion"/>
  </si>
  <si>
    <t>판단: OK/BAD
[양호 조건]
/etc/security/user 파일 MINLEN 8이상
[취약 조건]
/etc/security/user 파일 MINLEN 0~7
* 예외 계정:
(daemon, bin, sys, adm, uucp, nuucp, lpd, lp, nobody, snapp, ipsec, sshd, guest)</t>
    <phoneticPr fontId="7" type="noConversion"/>
  </si>
  <si>
    <t>판단: Info
출력내용:
 - 전체 계정 List 출력</t>
  </si>
  <si>
    <t xml:space="preserve">판단: OK/BAD
[양호 조건]
/var/adm/wtmp, /var/adm/wtmps, /var/adm/btmp, /var/adm/btmps권한 600 이하, 소유자 root
/var/adm/sulog 권한 600이하, 소유자 root
/var/adm/syslog/syslog.log 권한 644 이하, 소유자 root
[취약 조건]
/var/adm/wtmp, /var/adm/wtmps, /var/adm/btmp, /var/adm/btmps 권한 600 초과, 소유자 root 아님
/var/adm/sulog 권한 600초과, 소유자 root 아님
/var/adm/syslog/syslog.log 권한 644 초과, 소유자 root 아님
</t>
  </si>
  <si>
    <t xml:space="preserve">판단: N/A
</t>
  </si>
  <si>
    <t>os-hpux-1065</t>
    <phoneticPr fontId="7" type="noConversion"/>
  </si>
  <si>
    <t>os-hpux-1089</t>
    <phoneticPr fontId="7" type="noConversion"/>
  </si>
  <si>
    <t>os-hpux-1091</t>
    <phoneticPr fontId="7" type="noConversion"/>
  </si>
  <si>
    <t>os-hpux-1100</t>
    <phoneticPr fontId="7" type="noConversion"/>
  </si>
  <si>
    <t>os-hpux-1055</t>
    <phoneticPr fontId="7" type="noConversion"/>
  </si>
  <si>
    <t>판단: OK/BAD
[양호 조건]
root 계정만 GID/UID 0
AND
/etc/group 파일 root 외 GID 0인 계정 없음
[취약 조건]
root 계정외 GID/UID 0 계정 존재
OR
/etc/group 파일 root 외 GID 0인 계정 있음
* 예외 계정:
(daemon, bin, sys, adm, uucp, nuucp, lpuname, nobody, smbnull)</t>
    <phoneticPr fontId="7" type="noConversion"/>
  </si>
  <si>
    <t xml:space="preserve">판단: OK/BAD
[양호 조건]
/etc/login.defs 파일 MIN_DAYS  7이상
AND
/etc/shadow 4번째 토큰 7이상
(/etc/shadow 점검. Default 계정을 제외한 user에 대해 점검하는지 확인 필요) -&gt; probe 확인 필요 / Default 계정 확인 필요
[취약 조건]
/etc/login.defs 파일 MIN_DAYS 0~6
AND
/etc/shadow 4번째 토큰 0~6
</t>
    <phoneticPr fontId="7" type="noConversion"/>
  </si>
  <si>
    <t>판단: OK/BAD
[양호 조건]
/etc/passwd, /etc/group 권한  644 이하
AND 
소유자 root
[취약 조건]
/etc/passwd, /etc/group 권한  644 초과
OR
소유자 root 아님</t>
    <phoneticPr fontId="7" type="noConversion"/>
  </si>
  <si>
    <t>판단: OK/BAD
[양호 조건]
/etc/hosts 권한  644 이하
AND 
소유자 root
[취약 조건]
/etc/hosts 권한  644 초과
OR
소유자 root 아님</t>
    <phoneticPr fontId="7" type="noConversion"/>
  </si>
  <si>
    <t>판단: OK/BAD
[양호 조건]
/etc/services 권한  644 이하
AND 
소유자 root
[취약 조건]
/etc/services 권한  644 초과
OR
소유자 root 아님</t>
    <phoneticPr fontId="7" type="noConversion"/>
  </si>
  <si>
    <t xml:space="preserve">판단: OK/BAD
[양호 조건]
(/usr/bin/last 권한  700 이하
AND 
소유자 root, sys,bin)
AND
(/usr/sbin/ifconfig,/sbin/ifconfig 권한 700 이하
AND
소유자 root)
[취약 조건]
(/usr/bin/last 권한  700 초과
OR
소유자 root, sys,bin 아님)
AND
(/usr/sbin/ifconfig,/sbin/ifconfig 권한 700 초과
AND
소유자 root 아님)
</t>
    <phoneticPr fontId="7" type="noConversion"/>
  </si>
  <si>
    <t>판단: OK/BAD
[양호 조건]
(/etc/profile 퍼미션 755 이하, 소유자 root)
AND
((사용자 홈 디렉토리내 .sh_history 파일이 존재)
AND
((사용자 홈 디렉토리내 .sh_history 사이즈 0 아님,  퍼미션 600 소유자가 소유자 계정이거나 root)
OR 
(사용자 홈 디렉토리내 .sh_history  사이즈 0, 퍼미션 000 소유자 root)))
AND
(사용자 홈 디렉토리내 .profile 파일 퍼미션 GROUP, OTHER에 쓰기 권한 없음, 소유자가 소유자 계정이거나 root)
[취약 조건]
(/etc/profile 퍼미션 755 초과, 소유자 root 아님)
OR
((사용자 홈 디렉토리내 .sh_history 파일 없음)
OR
((사용자 홈 디렉토리내 .sh_history 사이즈 0 아님,  퍼미션 600 초과 소유자가 소유자 계정이거나 root 아님)
OR 
(사용자 홈 디렉토리내 .sh_history  사이즈 0, 퍼미션 000 초과 소유자 root 아님)))
OR
(사용자 홈 디렉토리내 .profile 파일 퍼미션 GROUP, OTHER에 쓰기 권한 있음, 소유자가 소유자 계정이거나 root 아님)</t>
    <phoneticPr fontId="7" type="noConversion"/>
  </si>
  <si>
    <t>판단: OK/BAD
[양호 조건]
/etc/xinetd.conf 권한  600 이하
AND 
소유자 root
[취약 조건]
/etc/xinetd.conf 권한  600 초과
OR
소유자 root 아님</t>
    <phoneticPr fontId="7" type="noConversion"/>
  </si>
  <si>
    <t xml:space="preserve">판단:OK/BAD
[양호 조건]
[Telnet]
Telnet 프로세스 없음
OR
(Telnet 프로세스 있음
AND
Telnet 배너 있음)
(/etc/issue.net 파일 내용 확인)
[FTP]
FTP 프로세스 없음
OR
(FTP 프로세스 있음
AND
FTP 배너 있음)
/etc/vsftpd/vsftpd.conf파일에서 ftpd_banner 내용 확인
[SSH]
SSH 프로세스 없음
OR
(SSH 프로세스 있음
AND
SSH 배너 있음)
/etc/ssh/sshd_config 파일에서 Banner 에 등록되어 있는 파일의 내용 확인
* hp, aix, sun: /etc/inetd.conf ftp 옵션 탐지 가능
ftp    stream tcp6 nowait root /usr/lbin/ftpd    ftpd -u 022 -l -a
[취약 조건]
 - 양호 조건 만족하지 않음
* 서비스별 배너 판단:
[Telnet]
/etc/issue 파일 내용 확인 
[FTP]
/etc/vsftpd/vsftpd.conf파일에서 ftpd_banner 내용 확인
[SSH]
/opt/ssh/etc/sshd_config 파일에서 Banner 설정된 파일
</t>
    <phoneticPr fontId="7" type="noConversion"/>
  </si>
  <si>
    <t xml:space="preserve">판단: OK/BAD
양호:
 - NFS 미사용 
OR
(everyone AND Userhome AND / 공유 없음)
취약:
 - NFS 사용
AND
(everyone OR / OR Userhome 공유 있음)
</t>
    <phoneticPr fontId="7" type="noConversion"/>
  </si>
  <si>
    <t xml:space="preserve">판단: OK/BAD
[5.x, 6.x, SUSE 버전]
1. $HOME/.rhosts 파일 속성 확인 
* 시스템 계정 예외: daemon, bin, sync, adm, uucp, mail, halt, lp, operator, news, nobody, sshd, shutdown
2. /etc/hosts.equiv 파일 확인
3. /etc/xinetd.conf 에서 login, shell, exec 주석상태 확인 
4. login,shell,exec의 port LISTEN 상태 확인
[7.x 버전]
1. $HOME/.rhosts 파일 속성 확인 
* 시스템 계정 예외: daemon, bin, sync, adm, uucp, mail, halt, lp, operator, news, nobody, sshd, shutdown
2. /etc/hosts.equiv 파일 확인
3. /etc/xinetd.conf 에서 login, shell, exec 주석상태 확인 
4. login,shell,exec의 port LISTEN 상태 확인
</t>
    <phoneticPr fontId="7" type="noConversion"/>
  </si>
  <si>
    <t>판단: OK/BAD
[양호 조건]
(불필요한 서비스 /etc/xinetd.d 디렉터리 등록 안됨
AND
/etc/services 파일에 등록된 포트 미실행
[취약 조건]
(불필요한 서비스 /etc/xinetd.d 디렉터리 등록됨
OR
/etc/services 파일에 등록된 포트 실행중
* 불필요 서비스:
bootp, chargen, cmsd, daytime, discard, echo, finger, netstat, rusersd, sprayd, systat, tftp, time, ttdbserverd, uucp</t>
    <phoneticPr fontId="7" type="noConversion"/>
  </si>
  <si>
    <t>판단: OK/BAD
[양호 조건]
/etc/snmp/snmpd.conf 파일 
커뮤니티 이 영수 혼합 8자 이상
[취약 조건]
* 양호 조건 만족하지 않음</t>
    <phoneticPr fontId="7" type="noConversion"/>
  </si>
  <si>
    <t xml:space="preserve">판단: N/A
</t>
    <phoneticPr fontId="7" type="noConversion"/>
  </si>
  <si>
    <t xml:space="preserve">판단: Info
출력 내용:
[RHEL 5.x ,6.x, 7.,x, SuSE]
"rpm -qa --last | head -n 5"
</t>
    <phoneticPr fontId="7" type="noConversion"/>
  </si>
  <si>
    <t>판단: OK/BAD
[5.x, 6.x, 7.x 버전]
[양호 조건]
주요 백업 파일 권한 600 이하
AND 
소유자 root
AND
# ls -l /etc/passwd- 퍼미션 [600] 확인
# ls -l /etc/group-   퍼미션 [600] 확인
# ls -l /etc/shadow- /etc/gshadow- 퍼미션[000] 확인
[취약 조건]
주요 백업 파일 권한 600 초과
OR
소유자 root 아님.
* 주요 백업 파일:
/etc/passwd* /etc/xinetd.conf* /etc/services* /etc/hosts* /var/log/wtmp* /var/log/btmp* /var/log/sulog
[SuSE]
[양호 조건]
소유자 [root]
AND
퍼미션[600] 이하
[취약 조건]
주요 백업 파일 권한 600 초과
OR
소유자 root 아님
* 주요 백업 파일:
/etc/passwd* /etc/xinetd.conf* /etc/services* /etc/hosts* /var/log/wtmp* /var/log/btmp* /var/log/sulog /var/log/messages*</t>
    <phoneticPr fontId="7" type="noConversion"/>
  </si>
  <si>
    <t>판단: OK/BAD
[양호 조건]
root 계정 umask 값 022, 027, 033, 037, 077 설정
[취약 조건]
root 계정 umask 값을 022, 027, 033, 037, 077 아님.
* 환경 변수 설정 파일:
* 환경 변수 설정 파일:
sh: /etc/profile -&gt; $HOME/.profile
ksh: /etc/profile -&gt; $HOME/.profile
csh: /etc/.login -&gt; $HOME/.cshrc -&gt; $HOME/.login
bash: /etc/profile  -&gt; $HOME/.bash_profile -&gt; $HOME/.bashrc -&gt; /etc/bashrc -&gt; probe 변경 필요
[7.x 버전]
.bash_login과 .profile은 없는 파일입니다.</t>
    <phoneticPr fontId="7" type="noConversion"/>
  </si>
  <si>
    <t xml:space="preserve">판단:OK/BAD
[양호 조건]
  - 세션 타임아웃 값 1~1800, 1~30(csh) 
[취약 조건]
 - 세션 타임아웃 값 0, 1801이상, 0, 31이상(csh)
* 환경 변수 설정 파일:
sh: /etc/profile -&gt; $HOME/.profile
ksh: /etc/profile -&gt; $HOME/.profile
csh: /etc/.login -&gt; $HOME/.cshrc -&gt; $HOME/.login
bash: /etc/profile  -&gt; $HOME/.bash_profile -&gt; $HOME/.bashrc -&gt; /etc/bashrc 
** 일반 계정이 /etc/profile 파일을 읽을 수 있게 /etc/profile 파일 퍼미션을 644로 변경하시길 바랍니다.** 
</t>
    <phoneticPr fontId="7" type="noConversion"/>
  </si>
  <si>
    <t>판단: OK/BAD
[양호 조건]
root 계정 PATH 에 . 없음
[취약 조건]
root 계정 PATH 에 . 있음
* 환경 설정 파일
sh: /etc/profile -&gt; $HOME/.profile
ksh: /etc/profile -&gt; $HOME/.profile
csh: /etc/.login -&gt; $HOME/.cshrc -&gt; $HOME/.login
bash: /etc/profile  -&gt; $HOME/.bash_profile -&gt; $HOME/.bashrc -&gt; /etc/bashrc 
[7.x 버전]
.bash_login과 .profile은 없는 파일입니다.</t>
    <phoneticPr fontId="7" type="noConversion"/>
  </si>
  <si>
    <t>점수</t>
    <phoneticPr fontId="7" type="noConversion"/>
  </si>
  <si>
    <t xml:space="preserve">판단:OK/BAD
[양호 조건]
[Telnet]
Telnet 프로세스 없음
OR
(Telnet 프로세스 있음
AND
Telnet 배너 있음)
[FTP]
FTP 프로세스 없음
OR
(FTP 프로세스 있음
AND
FTP 배너 있음)
[SSH]
SSH 프로세스 없음
OR
(SSH 프로세스 있음
AND
SSH 배너 있음)
[취약 조건]
 - 양호 조건 만족하지 않음
* 서비스별 배너 판단:
[Telnet]
/etc/issue 파일 내용 확인 
[FTP]
Solairs 8 버전 - /etc/default/ftpd 파일 내용 확인
Solaris 9,10 버전 - /etc/ftpd/ftpaccess 파일에서 banner 에 등록되어 있는 파일의 내용 확인
Solaris 11 버전 - /etc/proftpd.conf 파일의 DisplayConnect 에 등록되어 있는 파일의 내용 확인 
[SSH]
/opt/ssh/etc/sshd_config 파일에서 Banner 설정된 파일
</t>
    <phoneticPr fontId="7" type="noConversion"/>
  </si>
  <si>
    <t>2017/10/9 엄태현
 - Redmine: #5748
 - Solaris 점검 방식 변경으로 Rule 변경함</t>
    <phoneticPr fontId="7" type="noConversion"/>
  </si>
  <si>
    <t>판단: Info
출력내용:
 - 계정 List 출력</t>
    <phoneticPr fontId="7" type="noConversion"/>
  </si>
  <si>
    <t>판단: OK/BAD
[양호 조건]
(/etc/inetd.conf 에서 6번째 필드에 /usr/local/bin/tcpd 있음 
AND
/etc/hosts.deny 에 ALL:ALL 라인 있음)
OR
(itaagtd, itamgrd, collogd, unityd 프로세스 있음)
AND
((dtlogin 프로세스 없음
OR
177 port not open)
OR
((dtlogin 프로세스 있음
OR
177 port  open)
[취약 조건]
양호 조건 만족하지 않음</t>
    <phoneticPr fontId="7" type="noConversion"/>
  </si>
  <si>
    <t>os-hpux-1562</t>
    <phoneticPr fontId="7" type="noConversion"/>
  </si>
  <si>
    <t>판단: OK/BAD
[양호 조건]
root 계정 umask 값 022, 027, 033, 037, 077 
[취약 조건]
root 계정 umask 값을 022, 027, 033, 037, 077 아님.
* 환경 변수 설정 파일:
sh: /etc/profile -&gt; $HOME/.profile
ksh: /etc/profile -&gt; $HOME/.profile
csh: /etc/.login -&gt; $HOME/.cshrc -&gt; $HOME/.login
bash: /etc/profile -&gt; $HOME/.bash_profile -&gt; $HOME/.bash_login -&gt; $HOME/.profile</t>
    <phoneticPr fontId="7" type="noConversion"/>
  </si>
  <si>
    <t>판단: OK/BAD
[양호 조건]
일반 계정 umask 값 022, 027, 033, 037, 077 
[취약 조건]
일반 계정 umask 값을 022, 027, 033, 037, 077 아님.
* 환경 변수 설정 파일:
sh: /etc/profile -&gt; $HOME/.profile
ksh: /etc/profile -&gt; $HOME/.profile
csh: /etc/.login -&gt; $HOME/.cshrc -&gt; $HOME/.login
bash: /etc/profile -&gt; $HOME/.bash_profile -&gt; $HOME/.bash_login -&gt; $HOME/.profile</t>
    <phoneticPr fontId="7" type="noConversion"/>
  </si>
  <si>
    <t xml:space="preserve">판단: OK/BAD
[양호 조건]
일반 계정 umask 값 022, 027, 033, 037, 077 
[취약 조건]
일반 계정 umask 값을 022, 027, 033, 037, 077 아님.
* 환경 변수 설정 파일:
sh: /etc/profile -&gt; $HOME/.profile
bsh: /etc/profile -&gt; $HOME/.profile
ksh: /etc/profile -&gt; $HOME/.profile
csh: /etc/csh.login -&gt; $HOME/.cshrc
bash: /etc/profile -&gt; $HOME/.bash_profile -&gt; $HOME/.bash_login -&gt; $HOME/.profile  </t>
    <phoneticPr fontId="7" type="noConversion"/>
  </si>
  <si>
    <t xml:space="preserve">판단: OK/BAD
[양호 조건]
root 계정 umask 값 022, 027, 033, 037, 077 
[취약 조건]
root 계정 umask 값을 022, 027, 033, 037, 077 아님.
* 환경 변수 설정 파일:
sh: /etc/profile -&gt; $HOME/.profile
bsh: /etc/profile -&gt; $HOME/.profile
ksh: /etc/profile -&gt; $HOME/.profile
csh: /etc/csh.login -&gt; $HOME/.cshrc
bash: /etc/profile -&gt; $HOME/.bash_profile -&gt; $HOME/.bash_login -&gt; $HOME/.profile  </t>
    <phoneticPr fontId="7" type="noConversion"/>
  </si>
  <si>
    <t xml:space="preserve">판단: OK/BAD
[양호 조건]
root 계정 umask 값 022, 027, 033, 037, 077 
[취약 조건]
root 계정 umask 값을 022, 027, 033, 037, 077 아님.
* 환경 변수 설정 파일:
sh: /etc/profile -&gt; $HOME/.profile
ksh: /etc/profile -&gt; $HOME/.profile
csh: /etc/csh.login -&gt; $HOME/.cshrc -&gt; $HOME/.login
bash: /etc/profile -&gt; $HOME/.bash_profile -&gt; $HOME/.bash_login -&gt; $HOME/.profile  </t>
    <phoneticPr fontId="7" type="noConversion"/>
  </si>
  <si>
    <t xml:space="preserve">판단: OK/BAD
[양호 조건]
일반 계정 umask 값 022, 027, 033, 037, 077 
[취약 조건]
일반 계정 umask 값을 022, 027, 033, 037, 077 아님.
* 환경 변수 설정 파일:
sh: /etc/profile -&gt; $HOME/.profile
ksh: /etc/profile -&gt; $HOME/.profile
csh: /etc/csh.login -&gt; $HOME/.cshrc -&gt; $HOME/.login
bash: /etc/profile -&gt; $HOME/.bash_profile -&gt; $HOME/.bash_login -&gt; $HOME/.profile  </t>
    <phoneticPr fontId="7" type="noConversion"/>
  </si>
  <si>
    <t>2018/07/23
 - 2018 신규 항목</t>
    <phoneticPr fontId="7" type="noConversion"/>
  </si>
  <si>
    <t xml:space="preserve">판단: OK/BAD
[양호 조건]
/var/adm/wtmp, /var/adm/wtmpx 권한 600 이하, 소유자 root
/var/adm/sulog 권한 600이하, 소유자 root
/var/adm/messages 권한 644 이하, 소유자 root
[취약 조건]
/var/adm/wtmp, /var/adm/wtmpx 권한 600 초과, 소유자 root 아님
/var/adm/sulog 권한 600초과, 소유자 root 아님
/var/adm/messages 권한 644 초과, 소유자 root 아님
</t>
    <phoneticPr fontId="7" type="noConversion"/>
  </si>
  <si>
    <t>계정 및 권한관리</t>
    <phoneticPr fontId="7" type="noConversion"/>
  </si>
  <si>
    <t>계정 및 권한관리</t>
    <phoneticPr fontId="7" type="noConversion"/>
  </si>
  <si>
    <t>판단: OK/BAD
[5.x, 6.x 버전]
[양호 조건]
/etc/pam.d/system-auth 파일 password sufficient /lib/security/pam_unix.so 라인 있음
AND
remember 2이상
[취약 조건]
/etc/pam.d/system-auth 파일 password sufficient /lib/security/pam_unix.so 라인 없음
OR
remember 1이하
[7.x 버전]
[양호조건]
/etc/pam.d/system-auth 와 password-auth 파일 안의 pam_pwhistory.so 설정 및 remember 2 이상
ex) password     requisite    pam_pwhistory.so remember=2
[취약조건]
/etc/pam.d/system-auth와 password-auth 파일 안의
pam_pwhistory.so 미설정 및 remeber 2 미만
[SuSE]
[양호 조건]
/etc/pam.d/common-password  password required pam.unix2.so 라인있음
OR
/etc/pam.d/common-password  password required pam_pwhistory.so 라인 있음
AND
remembe 2이상
[취약 조건]
/etc/pam.d/common-password  password required pam.unix2.so 라인없음 
AND
/etc/pam.d/common-password  password required pam_pwhistory.so 라인없음
OR
remembe 1 이하</t>
    <phoneticPr fontId="7" type="noConversion"/>
  </si>
  <si>
    <t>판단: OK/BAD
[양호 조건]
FTP Port not Listen(/etc/services등록된)
OR
ftp/anonymous 계정 없음
[취약 조건]
FTP Port Listen(/etc/services등록된)
AND
ftp/anonymous 계정 존재함</t>
    <phoneticPr fontId="7" type="noConversion"/>
  </si>
  <si>
    <t>2015/08/18 엄태현
 - 점검기준 변경
 - 해당 점검항목 FTP 미사용시 양호 판단 요청(편석훈)
2015/09/15 엄태현
 - 고객 요청사항 반영 고객사 컨폼 받음
 - Redmine: http://project.lsware.co.kr/redmine/issues/4046
2018/08/09
 - 삼성반도체 vsftpd.conf 파일 점검 내용이 있어 신규 점검항목 생성
 - os-solaris-1494 -&gt; os-solaris-2041</t>
    <phoneticPr fontId="7" type="noConversion"/>
  </si>
  <si>
    <t>2015/08/18 엄태현
 - 점검기준 변경
 - 해당 점검항목 FTP 미사용시 양호 판단 요청(편석훈)
2015/09/15 엄태현
 - 고객 요청사항 반영 고객사 컨폼 받음
 - Redmine: http://project.lsware.co.kr/redmine/issues/4046
2018/08/09
 - 삼성반도체 vsftpd.conf 파일 점검 내용이 있어 신규 점검항목 생성
 - os-aix-1492 -&gt; os-aix-2038</t>
    <phoneticPr fontId="7" type="noConversion"/>
  </si>
  <si>
    <t>2015/08/18 엄태현
 - 점검기준 변경
 - 해당 점검항목 FTP 미사용시 양호 판단 요청(편석훈)
2015/09/15 엄태현
 - 고객 요청사항 반영 고객사 컨폼 받음
 - Redmine: http://project.lsware.co.kr/redmine/issues/4046
2018/08/09
 - 삼성반도체 vsftpd.conf 파일 점검 내용이 있어 신규 점검항목 생성
 - os-hpux-1439 -&gt; os-hpux-2039</t>
    <phoneticPr fontId="7" type="noConversion"/>
  </si>
  <si>
    <t>os-linux-2040</t>
    <phoneticPr fontId="7" type="noConversion"/>
  </si>
  <si>
    <t>판단: OK/BAD
[양호 조건]
/etc/shadow 권한  400 이하
AND 
소유자 root
AND
/etc/security/opasswd 퍼미션 [000]
[취약 조건]
/etc/shadow 권한  400 초과
OR
소유자 root 아님
OR
/etc/security/opasswd 퍼미션 [000] 아님</t>
    <phoneticPr fontId="7" type="noConversion"/>
  </si>
  <si>
    <t>os-linux-2046</t>
    <phoneticPr fontId="7" type="noConversion"/>
  </si>
  <si>
    <t>os-linux-2047</t>
    <phoneticPr fontId="7" type="noConversion"/>
  </si>
  <si>
    <t>os-linux-2043</t>
    <phoneticPr fontId="7" type="noConversion"/>
  </si>
  <si>
    <t>os-linux-2044</t>
    <phoneticPr fontId="7" type="noConversion"/>
  </si>
  <si>
    <t>판단: OK/BAD
[양호 조건]
/etc/cron.allow, /etc/cron.deny, /etc/at.allow, /etc/at.deny Group,Other 에 쓰기권한 없음
AND 
소유자 root/bin/adm
[취약 조건]
/etc/cron.allow, /etc/cron.deny, /etc/at.allow, /etc/at.deny Group,Other 에 쓰기권한 있음
OR 
소유자 root/bin/adm 아님.</t>
    <phoneticPr fontId="7" type="noConversion"/>
  </si>
  <si>
    <t xml:space="preserve">판단: OK/BAD
[5.x, 6.x, 7.x]
[양호 조건]
/var/log/wtmp /var/log/btmp 권한 600 이하, 소유자 root
[권한 상승 로그] 권한 600이하, 소유자 root
/var/log/messages 권한 644 이하, 소유자 root
/var/log/secure*,sulog 소유자 [root]. 권한 [600] 
[취약 조건]
/var/log/wtmp* /var/log/btmp 권한 600 초과, 소유자 root 아님
[권한 상승 로그] 권한 600초과, 소유자 root 아님
/var/log/messages 권한 644 초과, 소유자 root 아님
/var/log/secure*,sulog 소유자 [root]. 권한 [600] 아님
[권한 상승 로그]
/etc/syslog.conf 파일에서 authpriv.* 적용된 파일속성 확인
</t>
    <phoneticPr fontId="7" type="noConversion"/>
  </si>
  <si>
    <t>2015/07/29 엄태현
 - 2014 점검정책 3개 1개로 합쳐서 점검
2015/08/04 엄태현 
 - 점검 기준 확인 필요함
2015/09/04 엄태현
 - loginlog 를 /var/adm/utmp 점검
 Redmine: http://project.lsware.co.kr/redmine/issues/4071
2018.7.25 엄태현
 - /var/adm/utmp,/var/adm/utmpx  점검 제거
 - os-solaris-1484 -&gt; os-solaris-2030</t>
  </si>
  <si>
    <t>os-linux-1860</t>
  </si>
  <si>
    <t>os-linux-1970</t>
  </si>
  <si>
    <t>2018/08/23 정진영 책임 요청
 - 고객사 기준 변경 요청(ScanID 변경)
 - 기존 os-linux-193</t>
  </si>
  <si>
    <t>2018/08/23 정진영 책임 요청
 - 고객사 기준 변경 요청(ScanID 변경)
 - 이전 os-linux-192</t>
  </si>
  <si>
    <t>2018/08/23 정진영 책임 요청
 - 고객사 기준 변경 요청(ScanID 변경)
 - 이전 os-linux-396</t>
  </si>
  <si>
    <t>2018/08/23 정진영 책임 요청
 - 고객사 기준 변경 요청(ScanID 변경)
 - 이전 os-linux-217</t>
  </si>
  <si>
    <t>2018/08/23 정진영 책임 요청
 - 고객사 기준 변경 요청(ScanID 변경)
 - 이전 os-linux-218</t>
  </si>
  <si>
    <t>2018/08/23 정진영 책임 요청
 - 고객사 기준 변경 요청(ScanID 변경)
 - 이전 os-linux-219</t>
  </si>
  <si>
    <t>2018/08/23 정진영 책임 요청
 - 고객사 기준 변경 요청(ScanID 변경)
 - 이전 os-linux-387</t>
  </si>
  <si>
    <t>2018/03/09  양원석
- SEP 점검 추가로 ScanID 변경됨
- 기존 os-win-376</t>
  </si>
  <si>
    <t>판단: OK/BAD
[양호 조건]
/etc/pam.d/system-auth(common-auth) Other 에 쓰기권한 없음
AND 
소유자 root
[취약 조건]
/etc/pam.d/system-auth(common-auth) Other 에 쓰기권한 있음
OR 
소유자 root 아님
/etc/pam.d/system-auth-ac 원본파일 소유자 [root], 타 사용자 [쓰기권한 없음] 추가 확인 필요</t>
    <phoneticPr fontId="7" type="noConversion"/>
  </si>
  <si>
    <t>악성코드 감염 이력이 존재하는가?</t>
    <phoneticPr fontId="7" type="noConversion"/>
  </si>
  <si>
    <t>판단: OK/BAD
양호: 
/etc/securetty 파일 console 라인 있음
취약:
/etc/securetty 파일 console 라인 없음</t>
    <phoneticPr fontId="8" type="noConversion"/>
  </si>
  <si>
    <t>판단: OK/BAD
양호기준:
 - /etc/security/user 파일 root: rlogin=false 설정
취약 기준:
  - /etc/security/user 파일 root: rlogin=false 미설정</t>
  </si>
  <si>
    <t xml:space="preserve">판단:OK/BAD
[양호 조건] 
 - /etc/default/login CONSOLE 설정
취약:
 - /etc/default/login CONSOLE 미 설정
</t>
    <phoneticPr fontId="7" type="noConversion"/>
  </si>
  <si>
    <t>1.삼성 디스플레이 2020 OS 체크리스트는 2020년 4월 삼성 디스플레이로 제공 받은 정책을 삼성 2019 Checklist 와 비교하여 동일한 부분은 유지, 변경될 부분은 협의하여 Checklist 정리
 - 파일명: (SSC-E2-05)_삼성보안지수-IT보안-별첨4)_서버_20200110.xlsx
 - 제공사: 삼성 디스플레이(정진영 책임)</t>
    <phoneticPr fontId="8" type="noConversion"/>
  </si>
  <si>
    <t>1.항목: HPUX: 42
       AIX: 42
       Solaris: 42
       Linux: 42
       Windows: 47</t>
    <phoneticPr fontId="8" type="noConversion"/>
  </si>
  <si>
    <t>1. 작성기준은 삼성 에서 제공한 Checklist 를 따름, 삼성 2019 에 있는 내용은 대부분 유지됨.</t>
    <phoneticPr fontId="8" type="noConversion"/>
  </si>
  <si>
    <t>2020/04 정책 분석</t>
    <phoneticPr fontId="8" type="noConversion"/>
  </si>
  <si>
    <t>WINDOWS 2016</t>
    <phoneticPr fontId="7" type="noConversion"/>
  </si>
  <si>
    <t>WINDOWS 2019</t>
    <phoneticPr fontId="7" type="noConversion"/>
  </si>
  <si>
    <t>AIX 7.2</t>
    <phoneticPr fontId="7" type="noConversion"/>
  </si>
  <si>
    <t>os-solaris-2030</t>
  </si>
  <si>
    <t>NFS 서비스는 원격지의 시스템에 위치한 파일을 마치 자신의 컴퓨터에 있는 것처럼 검색하고, 마음대로 저장하거나 수정하도록 해주는 서비스임.
본 시스템의 NFS 서비스는 외부에 공개된 NFS 디렉토리의 접근 권한을 잘못 설정 하여, 임의의 시스템이 해당 디렉토리에 접근할 수 있음.</t>
    <phoneticPr fontId="7" type="noConversion"/>
  </si>
  <si>
    <t>실제 사용하지 않는 서비스가 동작할 경우 기본 서비스 중 실제 필요하지 않은 서비스는 시스템의 성능 저하를 야기할 수 있고, 잠재적인 위협이 존재</t>
    <phoneticPr fontId="7" type="noConversion"/>
  </si>
  <si>
    <t xml:space="preserve">SNMP 서비스는 네트웍 관리 및 네트웍 장치와 그들의 동작을 감시, 통할하는 SNMP 프로토콜을 기반으로 하는 서비스임.
본 시스템의 SNMP 서비스는 SNMP community string이 기본 community 이름인 public 이므로, 공격자는 SNMP 서비스를 이용하여 시스템의 정보를 획득할 수 있음. </t>
    <phoneticPr fontId="7" type="noConversion"/>
  </si>
  <si>
    <t xml:space="preserve">SNMP 서비스는 네트웍 관리 및 네트웍 장치와 그들의 동작을 감시, 통할하는 SNMP 프로토콜을 기반으로 하는 서비스임.
본 시스템의 SNMP 서비스는 SNMP community string이 기본 community 이름인 public 이므로, 공격자는 SNMP 서비스를 이용하여 시스템의 정보를 획득할 수 있음. </t>
    <phoneticPr fontId="7" type="noConversion"/>
  </si>
  <si>
    <t>telnet과 ftp 서비스는 외부 침입자로부터 공격을 받을 수 있는 서비스임.
보안이 강화된 ssh, sftp를 사용하는 것을 권장함.</t>
    <phoneticPr fontId="7" type="noConversion"/>
  </si>
  <si>
    <t>중요도가 높은 대상들은 기본 보안 인증 외 추가적인 복합 인증 적용이 필요함</t>
    <phoneticPr fontId="7" type="noConversion"/>
  </si>
  <si>
    <t>일반적으로 모든 계정은 패스워드가 존재하도록 권장함. 만약 패스워드가 없는 계정이 있다면 조치를 취해야 함. 
또한 공격자가 쉽게 유추할 수 없는 패스워드를 만들도록 패스워드 규칙을 정해 주는 것이 좋음.</t>
    <phoneticPr fontId="7" type="noConversion"/>
  </si>
  <si>
    <t>일반적으로 모든 계정은 패스워드가 존재하도록 권장함. 만약 패스워드가 없는 계정이 있다면 조치를 취해야 함. 
또한 공격자가 쉽게 유추할 수 없는 패스워드를 만들도록 패스워드 규칙을 정해 주는 것이 좋음.</t>
    <phoneticPr fontId="7" type="noConversion"/>
  </si>
  <si>
    <t>일반적으로 모든 계정은 패스워드가 존재하도록 권장함. 만약 패스워드가 없는 계정이 있다면 조치를 취해야 함.
또한 공격자가 쉽게 유추할 수 없는 패스워드를 만들도록 패스워드 규칙을 정해 주는 것이 좋음.</t>
    <phoneticPr fontId="7" type="noConversion"/>
  </si>
  <si>
    <t>일반적으로 모든 계정은 패스워드가 존재하도록 권장함. 만약 패스워드가 없는 계정이 있다면 조치를 취해야 함. 
또한 공격자가 쉽게 유추할 수 없는 패스워드를 만들도록 패스워드 규칙을 정해 주는 것이 좋음.</t>
    <phoneticPr fontId="7" type="noConversion"/>
  </si>
  <si>
    <t>2015/08/18 엄태현
 - 점검기준 변경
 - 해당 점검항목 FTP 미사용시 양호 판단 요청(편석훈)
2015/09/15 엄태현
 - 고객 요청사항 반영 고객사 컨폼 받음
 - Redmine: http://project.lsware.co.kr/redmine/issues/4046</t>
    <phoneticPr fontId="7" type="noConversion"/>
  </si>
  <si>
    <t>판단: OK/BAD
[양호 조건]
FTP Port not Listen(/etc/services등록된)
OR
(ftp/anonymous 계정 없음
[취약 조건]
FTP Port Listen(/etc/services등록된)
AND
(ftp/anonymous 계정 존재함</t>
    <phoneticPr fontId="7" type="noConversion"/>
  </si>
  <si>
    <t>Scan ID</t>
    <phoneticPr fontId="8" type="noConversion"/>
  </si>
  <si>
    <t xml:space="preserve">판단: OK/BAD
[양호 조건]
/etc/login.defs  파일 PASS_MIN_LEN 8이상
[취약 조건]
/etc/login.defs  파일 PASS_MIN_LEN  0~7
[SuSE]
[양호 조건]
/etc/pam.d/common-password 파일 minlen  8이상
password required pam_cracklib.so minlen=8 
[취약 조건]
/etc/pam.d/common-password 파일 minlen   0~7
password        required        pam_cracklib.so try_first_pass minlen=8 
</t>
    <phoneticPr fontId="7" type="noConversion"/>
  </si>
  <si>
    <t>중요도가 높은 대상들은 기본 보안 인증 외 추가적인 복합 인증 적용이 필요함</t>
  </si>
  <si>
    <t>* N/A 항목</t>
  </si>
  <si>
    <t>일반적으로 모든 계정은 패스워드가 존재하도록 권장함.
만약 패스워드가 없는 계정이 있다면 조치를 취해야 함. 
또한 공격자가 쉽게 유추할 수 없는 패스워드를 만들도록 패스워드 규칙을 정해 주는 것이 좋음.</t>
  </si>
  <si>
    <t>일반적으로 모든 계정은 패스워드가 존재하도록 권장함.
만약 패스워드가 없는 계정이 있다면 조치를 취해야 함.
또한 공격자가 쉽게 유추할 수 없는 패스워드를 만들도록 패스워드 규칙을 정해 주는 것이 좋음.</t>
  </si>
  <si>
    <t>1. [last] : 소유자 [root] 또는 [sys], [bin],  퍼미션 [700]
2. [ifconfig] : 소유자 [root] 퍼미션 [700]</t>
  </si>
  <si>
    <t>원격지에서 서버를 관리 하기 위해서는 통제가 가능하고 안전한 접속 방법이 필요함. 
접근 제한 서비스는 이러한 서비스가 제공 되고 있는지 판단함.</t>
  </si>
  <si>
    <t>서버에서 외부 인터넷 접속이 여과없이 가능할 경우 각종 악성 프로그램에 노출될 위험이 있으므로 접속을 관리함.</t>
  </si>
  <si>
    <t xml:space="preserve">서버에는 꼭 필요한 프로그램만 설치하고 설치된 프로그램을 관리자가 안전하게 관리해야함.
</t>
  </si>
  <si>
    <t>telnet, ssh, ftp 접속시 환경 배너가 나타남.
이 배너에는 버전 정보가 포함되어 있으며, 이 정보는 크래커가 시스템 약점을 찾아내는데 유용하게 사용됨.</t>
  </si>
  <si>
    <t>telnet과 ftp 서비스는 외부 침입자로부터 공격을 받을 수 있는 서비스임.
보안이 강화된 ssh, sftp를 사용하는 것을 권장함.</t>
  </si>
  <si>
    <t>중요 서버 접근 시 불필요한 접속 권한 제공으로 인한 보안 위협 요인이 있으며, 적절한 보안 절차를 통해 원격 접속을 허용해야 함.</t>
  </si>
  <si>
    <t>NFS 서비스는 원격지의 시스템에 위치한 파일을 마치 자신의 컴퓨터에 있는 것처럼 검색하고, 마음대로 저장하거나 수정하도록 해주는 서비스임.
본 시스템의 NFS 서비스는 외부에 공개된 NFS 디렉토리의 접근 권한을 잘못 설정 하여, 임의의 시스템이 해당 디렉토리에 접근할 수 있음.</t>
  </si>
  <si>
    <t xml:space="preserve">양호 
 - 공유 디렉토리가 '/' 가 아니고 'user home' 이 없는 경우
 - 공유 디렉토리중 접근 hostname이 (everyone)이 없는 경우
취약 
 - 공유 디렉토리가 '/' 이거나 'user home' 이 있는 경우 
 - 공유 디렉토리중 접근 hostname이 (everyone)이 있는 경우 
</t>
  </si>
  <si>
    <t>1. [실행 결과] : r 계열 서비스 [disable] = YES
2. 소유자 [root],. 퍼미션 [000]</t>
  </si>
  <si>
    <t>실제 사용하지 않는 서비스가 동작할 경우 기본 서비스 중 실제 필요하지 않은 서비스는 시스템의 성능 저하를 야기할 수 있고, 잠재적인 위협이 존재함.</t>
  </si>
  <si>
    <t>SNMP 서비스는 시스템 상태를 실시간으로 파악하거나 설정하기 위하여 사용하는 서비스임. 
그러나 이 정보를 받기 위한 일종의 패스워드인 Community String이 Default로 public, private로 설정되어 있는 경우가 많으며, 이를 변경하지 않으면 이 String을 악용하여 비인가사용자가 시스템의 주요 정보 및 설정 상황을 파악 할 수 있는 취약성이 존재함.</t>
  </si>
  <si>
    <t>SNMP 서비스 사용시 Default Community String 값 변경 여부
(#more /etc/snmp/snmpd.conf 명령으로 확인)
* 변경된 Community String은 패스워드 사용 규칙 준수해야 함
※ 패스워드 사용규칙은 영/수 혼합, 최소 8자리 이상</t>
  </si>
  <si>
    <t>보안패치를 안 했을 경우에는 외부의 공격에 매우 취약함. 그렇기 때문에 정기적으로 최신 패치인지 확인하여야 함. 
각종 물리적 접근, 계정 도용, 파일 시스템 비밀성 및 무결성 침해, 비 인가된 네트워크 접근 등의 다양한 공격들에 의하여 침입을 당할 위험이 있으므로 정기적인 점검이 필요 함.</t>
  </si>
  <si>
    <t>1. 설정값 존재 확인(주석처리 삭제 확인)
2. pts/0 ~ pts/x 설정 제거</t>
    <phoneticPr fontId="7" type="noConversion"/>
  </si>
  <si>
    <t xml:space="preserve">1. TMOUT 값 수정 (default)
#vi /etc/profile
TMOUT=1800
export TMOUT
2. TMOUT 값 수정 (사용자)
#vi [user home]/.profile
TMOUT=1800
export TMOUT
* C쉘 : set autologout=30
</t>
    <phoneticPr fontId="7" type="noConversion"/>
  </si>
  <si>
    <t>양호 - 원격 서비스를 사용하지 않거나, 사용 시 root 직접 접속을 차단한 경우
취약 - root 직접 접속을 허용하고 원격 서비스를 사용하는 경우</t>
    <phoneticPr fontId="7" type="noConversion"/>
  </si>
  <si>
    <t>1. OTP(one time password) 사용하거나 ssh를 사용하게 함.</t>
    <phoneticPr fontId="7" type="noConversion"/>
  </si>
  <si>
    <t>방문지원이 원칙이나 원격접속이 불가피한 경우 다음의 기준 운영 여부 확인
1. 원격접속 대상 장비 및 방화벽 해제 등에 대한 승인절차 운영
 - 접속허용 대상 및 기간 최소화 여부 확인
2. 원격접속 대상 장비의 보안업데이트 및 최신 백신 여부 확인
3. 원격접속 작업내역 모니터링 및 작업완료 후 보안예외 사항 원상복구 확인</t>
    <phoneticPr fontId="7" type="noConversion"/>
  </si>
  <si>
    <t>중요도가 높은 대상들은 기본 보안 인증 외 추가적인 복합 인증 적용이 필요함.</t>
    <phoneticPr fontId="7" type="noConversion"/>
  </si>
  <si>
    <t>중요 서버 접근 시 불필요한 접속 권한 제공으로 인한 보안 위협 요인이 있으며 적절한 보안 절차를 통해 원격 접속을 허용해야 함.</t>
    <phoneticPr fontId="7" type="noConversion"/>
  </si>
  <si>
    <t xml:space="preserve">서버에는 꼭 필요한 프로그램만 설치하고 설치된 프로그램을 관리자가 안전하게 관리해야함.
</t>
    <phoneticPr fontId="7" type="noConversion"/>
  </si>
  <si>
    <t>1. 데이터센터 및 사업장 서버룸 내 서버 등 중요 서버 대상</t>
    <phoneticPr fontId="7" type="noConversion"/>
  </si>
  <si>
    <t>양호 - 원격 서비스를 사용하지 않거나, 사용 시 root 직접 접속을 차단한 경우
취약 - root 직접 접속을 허용하고 원격 서비스를 사용하는 경우</t>
    <phoneticPr fontId="7" type="noConversion"/>
  </si>
  <si>
    <t xml:space="preserve">서버 內 관리자 권한 및 특권을 부여하는 다음 항목에 대하여 기본 제공되는 관리자계정만 존재하는지 확인
1. UID 또는 GID “0”을 가진 계정 점검 </t>
    <phoneticPr fontId="7" type="noConversion"/>
  </si>
  <si>
    <t>보안 업데이트 적용 현황을 확인 (최소 연간 1회 이상 적용)
1. 서버의 OS 및 중요 SW에 대한 보안 업데이트 적용여부 확인
 - OS 및 SW의 보안 업데이트 주관부서 지정여부
 - OS 및 SW의 최신 보안 업데이트 적용여부 
2. 판매중지, 유지보수 서비스 중지여부로 인한 보안패치 불가 여부 확인
3. 서버 OS 및 백신 업데이트용 내부서버 구축
※ 명령어를 실행하여 가장 최근 패치리스트를 출력 (INFORMATION 항목)
 - cmd : swlist -l patch -a install_date | sed 's/#//g' | sed 's/	/	/g' | awk -F" " '{print $1" "$2}' | sort -u | sort -r -t' ' -k 2 | head -n 5</t>
    <phoneticPr fontId="7" type="noConversion"/>
  </si>
  <si>
    <t>현재 설치된 프로그램을 확인하여 운영 목적에 부합하지 않는 프로그램이 존재하는지 확인
1. 원격 접속 프로그램, 웹하드, P2P, 토렌트, 파일 전송 프로그램, 해킹 프로그램, 패킷캡쳐 프로그램 설치 시 관련 근거 문서 확보여부 확인</t>
    <phoneticPr fontId="7" type="noConversion"/>
  </si>
  <si>
    <t xml:space="preserve">세션 타임아웃은 시스템과 사용자 클라이언트 사이에서 클라이언트의 요청이 없는 상태로 서버가 기다릴 수 있는 최대 시간을 의미함. (즉, 세션 타임아웃으로 설정된 시간이 지날 때까지 클라이언트의 요청이 없다면 시스템에서 자동으로 세션을 종료하게 됨)
시스템에 접속한 사용자의 활동이 없다면 자동으로 세션을 끊어야 보안상 안전함. </t>
    <phoneticPr fontId="7" type="noConversion"/>
  </si>
  <si>
    <t>서버에서 외부 인터넷 접속이 여과없이 가능할 경우 각종 악성 프로그램에 노출될 위험이 있으므로 접속을 관리함.</t>
    <phoneticPr fontId="7" type="noConversion"/>
  </si>
  <si>
    <t xml:space="preserve">서버에는 꼭 필요한 프로그램만 설치하고 설치된 프로그램을 관리자가 안전하게 관리해야함.
</t>
    <phoneticPr fontId="7" type="noConversion"/>
  </si>
  <si>
    <t>telnet, ssh, ftp 접속시 환경 배너가 나타남.
이 배너에는 버전 정보가 포함되어 있으며, 이 정보는 크래커가 시스템 약점을 찾아내는데 유용하게 사용됨.</t>
    <phoneticPr fontId="7" type="noConversion"/>
  </si>
  <si>
    <t>익명 FTP는 특정한 패스워드를 요구하지 않으며, 모든 사용자들이 같은 로그인 명을 사용할 수 있음. 따라서, 모든 사용자들에게 접속이 허용되기 때문에 쓰기 권한이 통제되지 않았을 경우 불법 파일의 삽입등을 통한 공격에 노출되는 취약성이 있음.</t>
    <phoneticPr fontId="7" type="noConversion"/>
  </si>
  <si>
    <t xml:space="preserve">로그인이 가능한 사용자 계정들은 로그인을 통해서 시스템에 접근이 가능하기 때문에 로그인 계정의 패스워드 부재로 인한 패스워드 유출이나 패스워드 추측 공격으로 인한 패스워드 유출가능성이 있음.
오랫동안 로그인 하지 않은 계정은 계정만 만들어지고 관리가 되지 않는 계정일 가능성이 높으며, 이런 경우 계정을 악의적인 사용자가 불법적으로 사용해도 알 수 없으며, 패스워드 변경이 없으므로 패스워드 유출가능성이 존재함. 반복된 로그인 실패 기록이 남아있음.는 계정도 패스워드 추측에 의한 불법적인 로그인 시도 가능성이 있음.
그러므로 사용 목적이 만료된 관리자, Guest, 테스트 계정, 무자격 사용자(예&gt;퇴직자) 등 시스템에 불필요한 계정을 주기적으로 삭제 조치 취해야 함. </t>
  </si>
  <si>
    <t>1. /etc/inetd.conf 파일에서 해당 서비스 주석 처리 후 inetd 서비스 재시작
2. kill -9 해당프로세스 PID로 프로세스 kill</t>
    <phoneticPr fontId="7" type="noConversion"/>
  </si>
  <si>
    <t>1. TMOUT 값 수정 (default)
#vi /etc/profile
TMOUT=1800
export TMOUT
2. TMOUT 값 수정 (사용자)
#vi [user home]/.profile
TMOUT=1800
export TMOUT
* C쉘 : set autologout=30</t>
    <phoneticPr fontId="7" type="noConversion"/>
  </si>
  <si>
    <t>서버 內 모든 계정의 상태(Active/Expire/Lock)와 계정 근거 일치 여부 확인
1. 계정관리대장 또는 시스템 내 서버별 [계정 리스트] 확인
2. 계정별 생성 근거 문서 확인
3. 계정신청서 내 필수포함 항목들
 1) 실제 사용자 
 2) 사용목적 및 계정구분(개인계정/서비스용/관리자용 등)
 3) 사용기간  
 4) 신청구분 : 신규/변경/삭제 
 5) 보안예외필요항목, 추가 권한부여 항목 등 포함
4. 결재경로 : 고객사 합의(필수포함)
5. 관리자 권한계정 신청 시 관리자 권한이 필요한 사유에 대한 명시 필요</t>
    <phoneticPr fontId="7" type="noConversion"/>
  </si>
  <si>
    <t>일반적으로 모든 계정은 패스워드가 존재하도록 권장함. 만약 패스워드가 없는 계정이 있다면 조치를 취해야 함. 
또한 공격자가 쉽게 유추할 수 없는 패스워드를 만들도록 패스워드 규칙을 정해 주는 것이 좋음.</t>
  </si>
  <si>
    <t>일반적으로 모든 계정은 패스워드가 존재하도록 권장함. 만약 패스워드가 없는 계정이 있다면 조치를 취해야 함.
또한 공격자가 쉽게 유추할 수 없는 패스워드를 만들도록 패스워드 규칙을 정해 주는 것이 좋음.</t>
  </si>
  <si>
    <t xml:space="preserve">SNMP community NAME 변경
1. $ vi /etc/snmpd.conf (다른 경로에 위치가능)
2. /etc/snmpd.conf의 community NAME을 public이 아닌 다른 이름으로 변경함.
&lt;변경 전&gt;
 - get-community-name public
&lt;변경 후 (예)&gt;
 - get-community-name (다른이름)
3. /etc/snmpd.conf 파일을 저장.
</t>
    <phoneticPr fontId="7" type="noConversion"/>
  </si>
  <si>
    <t xml:space="preserve">양호 
 - 커뮤니티명이 추측하기 어려운 커뮤니티명으로 변경된 경우
 - 커뮤니티명이 영수 혼합하여 8자리 이상으로 세팅한 경우
취약 
 - 커뮤니티명이 public 으로 세팅된 경우
 - 커뮤니티명이 8자리 이하거나 혼합하여 사용하지 않은 경우 </t>
    <phoneticPr fontId="7" type="noConversion"/>
  </si>
  <si>
    <t>1. [last] : 소유자 [root] 또는 [sys], [bin], 퍼미션 [700]
2. [ifconfig] : 소유자 [root] 퍼미션 [700]</t>
    <phoneticPr fontId="7" type="noConversion"/>
  </si>
  <si>
    <t>[telnet]
/etc/inetd.conf 파일 내용 확인
[ftp]
/etc/inetd.conf 파일 내용 확인
/etc/ftpd/ftpaccess 파일에서 banner에 등록되어 있는 파일의 내용 확인
[ssh]
/opt/ssh/etc/sshd_config 파일에서 Banner에 등록되어 있는 파일의 내용 확인</t>
    <phoneticPr fontId="7" type="noConversion"/>
  </si>
  <si>
    <t>OTP 설정 확인
 - #cat /etc/pam.conf | grep ^login | grep pam_securid.1 | grep -v grep | grep -v "^#"
sshd 프로세스 확인
 - #ps -ef | grep sshd</t>
    <phoneticPr fontId="7" type="noConversion"/>
  </si>
  <si>
    <t>양호
 - /etc/passwd 파일에서 root 계정만 UID, GID '0'을 가진 경우
 - /etc/group 파일에서 gid가 '0'인 그룹에 포함된 계정이 없는 경우
* 시스템 계정은 제외
취약
 - root 계정 외 다른 계정이 UID, GID '0'을 가진 경우
 - /etc/group 파일에서 gid가 '0'인 그룹에 포함된 계정이 있는 경우</t>
    <phoneticPr fontId="7" type="noConversion"/>
  </si>
  <si>
    <t>양호 - /etc/cron.allow, /etc/cron.deny 파일의 소유자가 root, bin, adm 이고, 퍼미션 GROUP, OTHER에 쓰기권한(2, 3, 6, 7)이 존재하지 않을 경우
취약 - /etc/cron.allow, /etc/cron.deny 파일의 소유자가 root, bin, adm 이 아니거나, 퍼미션 GROUP, OTHER에 쓰기권한(2, 3, 6, 7)이 존재할 경우</t>
    <phoneticPr fontId="7" type="noConversion"/>
  </si>
  <si>
    <t>서버에서 외부 인터넷 접속이 여과없이 가능할 경우 각종 악성 프로그램에 노출될 위험이 있으므로 접속을 관리함.</t>
    <phoneticPr fontId="7" type="noConversion"/>
  </si>
  <si>
    <t xml:space="preserve">서버에는 꼭 필요한 프로그램만 설치하고 설치된 프로그램을 관리자가 안전하게 관리해야함.
</t>
    <phoneticPr fontId="7" type="noConversion"/>
  </si>
  <si>
    <t>1. 명령어를 실행하여 가장 최근 패치리스트를 출력 (INFORMATION 항목)
cmd : instfix -i | egrep '(ML|SP|TL)' | tail -n 5</t>
    <phoneticPr fontId="7" type="noConversion"/>
  </si>
  <si>
    <t>실제 사용하지 않는 서비스가 동작할 경우 기본 서비스 중 실제 필요하지 않은 서비스는 시스템의 성능 저하를 야기할 수 있고, 잠재적인 위협이 존재함.</t>
    <phoneticPr fontId="7" type="noConversion"/>
  </si>
  <si>
    <t xml:space="preserve">판단: OK/BAD
[양호 조건]
(/usr/bin/last 권한  700
AND 
소유자 root, sys,bin)
AND
(/usr/sbin/ifconfig 권한 700
AND
소유자 root)
[취약 조건]
(/usr/bin/last 권한  700 초과
OR
소유자 root, sys,bin 아님)
AND
(/usr/sbin/ifconfig 권한 700 초과
AND
소유자 root 아님)
</t>
    <phoneticPr fontId="7" type="noConversion"/>
  </si>
  <si>
    <t>판단: OK/BAD
[양호 조건]
/etc/security/passwd 권한  400
AND 
소유자 root
[취약 조건]
/etc/security/passwd 권한  400 아님
OR
소유자 root 아님</t>
    <phoneticPr fontId="7" type="noConversion"/>
  </si>
  <si>
    <t>1. [접근 권한] : [/etc/profile] 소유자 [root], 퍼미션[755]
2. [접근 권한] : [각계정의 홈디렉토리 .profile] 
 - 소유자 [소유자 계정], 퍼미션 [소유자 이외 쓰기 권한 없음]
3. [접근 권한] : [각 계정의 홈디렉토리 .sh_history]
 - 사용 시 :  소유자 [소유자 계정], 퍼미션 [600]
 - 미 사용 시 : 소유자 [root], 퍼미션 [000]</t>
    <phoneticPr fontId="7" type="noConversion"/>
  </si>
  <si>
    <t>1. [접근 권한] : [/etc/profile]
 - 소유자 [root], 퍼미션[755]
2. [접근 권한] : [각계정의 홈디렉토리 .profile] 
 - 소유자 [소유자 계정], 퍼미션 [소유자 이외 쓰기 권한 없음]
3. [접근 권한] : [각 계정의 홈디렉토리 .sh_history]
    - 사용 시 : 소유자 [소유자 계정], 퍼미션 [600]
    - 미 사용 시 : 소유자 [root], 퍼미션 [000]</t>
    <phoneticPr fontId="7" type="noConversion"/>
  </si>
  <si>
    <t xml:space="preserve">1. OTP 설정 확인
&lt;5.1 이하&gt;
 - grep "/rsa/ace/prog/sdrun.sh" /usr/lib/security/methods.cfg | grep -v grep |  grep -v "^#"
&lt;5.3 이상&gt;
 - cat /etc/pam.conf | grep ^telnet | grep pam_securid.so | grep -v grep | grep -v "^#"
2. sshd 프로세스 확인
 - ps -ef|grep sshd
</t>
    <phoneticPr fontId="7" type="noConversion"/>
  </si>
  <si>
    <t>[telnet]
/etc/security/login.cfg 파일 내용 확인
[ftp]
/etc/ftpaccess.ctl 파일에서 herald : 확인
[ssh]
/etc/ssh/sshd_config 파일에서 Banner 에 등록되어 있는 파일의 내용 확인</t>
    <phoneticPr fontId="7" type="noConversion"/>
  </si>
  <si>
    <t>서버 內 모든 계정의 상태(Active/Expire/Lock)와 계정 근거 일치 여부 확인
1. 계정관리대장 또는 시스템 내 서버별 [계정 리스트] 확인
2. 계정별 생성 근거 문서 확인
3. 계정신청서 내 필수포함 항목들
 1) 실제 사용자 
 2) 사용목적 및 계정구분(개인계정/서비스용/관리자용 등)
 3) 사용기간  
 4) 신청구분: 신규/변경/삭제 
 5) 보안예외필요항목, 추가 권한부여 항목 등 포함
4. 결재경로 : 고객사 합의(필수포함)
5. 관리자 권한계정 신청 시 관리자 권한이 필요한 사유에 대한 명시 필요</t>
    <phoneticPr fontId="7" type="noConversion"/>
  </si>
  <si>
    <t xml:space="preserve">서버 內 관리자 권한 및 특권을 부여하는 다음 항목에 대하여 기본 제공되는 관리자계정만 존재하는지 확인
1. UID 또는 GID “0”을 가진 계정 점검 </t>
    <phoneticPr fontId="7" type="noConversion"/>
  </si>
  <si>
    <t>서버 內 관리자 권한 및 특권을 부여하는 다음 항목에 대하여 기본 제공되는 관리자계정만 존재하는지 확인
1. UID 또는 GID “0”을 가진 계정 점검
[비고]
시스템 계정(daemon, bin, sys, adm, uucp, nuucp, lpuname, nobody, smbnull)은 제외 함.</t>
    <phoneticPr fontId="7" type="noConversion"/>
  </si>
  <si>
    <t>서버 內 관리자 권한 및 특권을 부여하는 다음 항목에 대하여 기본 제공되는 관리자계정만 존재하는지 확인
1. UID 또는 GID “0”을 가진 계정 점검</t>
    <phoneticPr fontId="7" type="noConversion"/>
  </si>
  <si>
    <t>1. [last] : 소유자 [root] 또는 [sys], [bin], 퍼미션 [700]
2. [ifconfig] : 소유자 [root] 퍼미션 [700]</t>
    <phoneticPr fontId="7" type="noConversion"/>
  </si>
  <si>
    <t>1. [접근 권한] : [/etc/profile] 
 - 소유자 [root], 
 - 퍼미션[755]
2. [접근 권한] : [각계정의 홈디렉토리 .profile] 
 - 소유자 [소유자 계정], 
 - 퍼미션 [소유자 이외 쓰기 권한 없음]
3. [접근 권한] : [각 계정의 홈디렉토리 .sh_history]
 - 사용 시 : 소유자 [소유자 계정], 퍼미션 [600]
 - 미 사용 시 : 소유자 [root], 퍼미션 [000]</t>
    <phoneticPr fontId="7" type="noConversion"/>
  </si>
  <si>
    <t>1. [접근 권한] : 소유자 [root], 퍼미션[600]</t>
    <phoneticPr fontId="7" type="noConversion"/>
  </si>
  <si>
    <t>1. [접근 권한] : 소유자 [root], 퍼미션[600]</t>
    <phoneticPr fontId="7" type="noConversion"/>
  </si>
  <si>
    <t>1. [접근 권한] : 소유자 [root], 타 사용자 [쓰기권한 없음]</t>
    <phoneticPr fontId="7" type="noConversion"/>
  </si>
  <si>
    <t>1. [접근 권한] : 소유자 [root], 퍼미션[444]</t>
    <phoneticPr fontId="7" type="noConversion"/>
  </si>
  <si>
    <t>1. [접근 권한] : 소유자 [root], 퍼미션 [소유자 이외 쓰기 권한 없음]</t>
    <phoneticPr fontId="7" type="noConversion"/>
  </si>
  <si>
    <t>1. [접근 권한] : 소유자 [root], 퍼미션[600]</t>
    <phoneticPr fontId="7" type="noConversion"/>
  </si>
  <si>
    <t>다음과 같이 설정
1. [RETRIES] : [5] 이하 
2. [DISABLETIME] : 1800
3. [LOCK_AFTER_RETRIES] : YES</t>
    <phoneticPr fontId="7" type="noConversion"/>
  </si>
  <si>
    <t xml:space="preserve">1. 사용자 환경설정 파일에서 PATH 변수에서 .을 제거 </t>
    <phoneticPr fontId="7" type="noConversion"/>
  </si>
  <si>
    <t>1. 현재 설치된 프로그램을 확인하여 운영 목적에 부합하지 않는 프로그램 존재시 제거
 - 원격 접속 프로그램, 웹하드, P2P, 토렌트, 파일 전송 프로그램, 해킹 프로그램, 패킷캡쳐 프로그램 설치 시, 관련 근거 문서 확보여부 확인</t>
    <phoneticPr fontId="7" type="noConversion"/>
  </si>
  <si>
    <t>1. 현재 설치된 프로그램을 확인하여 운영 목적에 부합하지 않는 프로그램이 존재하는시 제거
 - 원격 접속 프로그램, 웹하드, P2P, 토렌트, 파일 전송 프로그램, 해킹 프로그램, 패킷캡쳐 프로그램 설치 시, 관련 근거 문서 확보여부 확인</t>
    <phoneticPr fontId="7" type="noConversion"/>
  </si>
  <si>
    <t>1. 현재 설치된 프로그램을 확인하여 운영 목적에 부합하지 않는 프로그램 존재 시 제거
 - 원격 접속 프로그램, 웹하드, P2P, 토렌트, 파일 전송 프로그램, 해킹 프로그램, 패킷캡쳐 프로그램 설치 시, 관련 근거 문서 확보여부 확인</t>
    <phoneticPr fontId="7" type="noConversion"/>
  </si>
  <si>
    <t>1. 현재 설치된 프로그램을 확인하여 운영 목적에 부합하지 않는 프로그램이 존재하는 경우 제거
 - 원격 접속 프로그램, 웹하드, P2P, 토렌트, 파일 전송 프로그램, 해킹 프로그램, 패킷캡쳐 프로그램 설치 시, 관련 근거 문서 확보여부 확인</t>
    <phoneticPr fontId="7" type="noConversion"/>
  </si>
  <si>
    <t xml:space="preserve">1. telnet, ftp 서비스 접속시 아이디/패스워드 전송 암호화(ssh, sftp 等)
또는 OTP(one time password) 를 사용하는지 확인
&lt;OTP 설정 확인&gt;
#cat /etc/pam.conf | grep ^telnet | grep pam_securid.so | grep -v grep | grep -v "^#"
&lt;sshd 프로세스 확인&gt;
#ps -ef|grep sshd
</t>
    <phoneticPr fontId="7" type="noConversion"/>
  </si>
  <si>
    <t>서버에서 외부 인터넷 접속이 여과없이 가능할 경우 각종 악성 프로그램에 노출될 위험이 있으므로 접속을 관리함.</t>
    <phoneticPr fontId="7" type="noConversion"/>
  </si>
  <si>
    <t>1. /etc/default/passwd 파일에서 HISTORY의 값을 '2'이상으로 설정</t>
    <phoneticPr fontId="7" type="noConversion"/>
  </si>
  <si>
    <t>양호
 - /etc/passwd 파일에서 root 계정만 UID, GID '0'을 가진 경우
 - /etc/group 파일에서 gid가 '0'인 그룹에 포함된 계정이 없는 경우
* 시스템 계정은 제외
취약
 - root 계정 외 다른 계정이 UID, GID '0'을 가진 경우
 - /etc/group 파일에서 gid가 '0'인 그룹에 포함된 계정이 있는 경우</t>
    <phoneticPr fontId="7" type="noConversion"/>
  </si>
  <si>
    <t>AM01</t>
  </si>
  <si>
    <t>SV01</t>
  </si>
  <si>
    <t>LM01</t>
  </si>
  <si>
    <t>No.</t>
    <phoneticPr fontId="7" type="noConversion"/>
  </si>
  <si>
    <t>점검그룹</t>
    <phoneticPr fontId="7" type="noConversion"/>
  </si>
  <si>
    <t>내용</t>
    <phoneticPr fontId="7" type="noConversion"/>
  </si>
  <si>
    <t>항목중요도</t>
    <phoneticPr fontId="7" type="noConversion"/>
  </si>
  <si>
    <t>항목코드</t>
    <phoneticPr fontId="7" type="noConversion"/>
  </si>
  <si>
    <t>HPUX</t>
    <phoneticPr fontId="7" type="noConversion"/>
  </si>
  <si>
    <t>AIX</t>
    <phoneticPr fontId="7" type="noConversion"/>
  </si>
  <si>
    <t>Solaris</t>
    <phoneticPr fontId="7" type="noConversion"/>
  </si>
  <si>
    <t>AC01</t>
  </si>
  <si>
    <t>AC02</t>
  </si>
  <si>
    <t>AC03</t>
  </si>
  <si>
    <t>AC05</t>
  </si>
  <si>
    <t>AC04</t>
  </si>
  <si>
    <t>AC06</t>
  </si>
  <si>
    <t>AC07</t>
  </si>
  <si>
    <t>SS01</t>
  </si>
  <si>
    <t>SS02</t>
  </si>
  <si>
    <t>SS03</t>
  </si>
  <si>
    <t>SS04</t>
  </si>
  <si>
    <t>SS05</t>
  </si>
  <si>
    <t>LP01</t>
  </si>
  <si>
    <t>LP02</t>
  </si>
  <si>
    <t>LP03</t>
  </si>
  <si>
    <t>LP04</t>
  </si>
  <si>
    <t>windows</t>
    <phoneticPr fontId="7" type="noConversion"/>
  </si>
  <si>
    <t>AM01_계정에 생성 근거가 존재하는가?</t>
  </si>
  <si>
    <t>AM01_특권 그룹에 적절한 사용자만 포함되어 있는가?</t>
  </si>
  <si>
    <t>AM01_중요서버 보안강화를 위해 복합인증이 적용되었는가?</t>
  </si>
  <si>
    <t>AC01_패스워드 복잡도 설정이 적용되었는가?</t>
  </si>
  <si>
    <t>AC01_패스워드 최소 암호 길이가 설정되었는가?</t>
  </si>
  <si>
    <t>AC02_패스워드 최근 암호 기억이 설정되었는가?</t>
  </si>
  <si>
    <t>AC02_패스워드 최대 사용기간이 설정되었는가?</t>
  </si>
  <si>
    <t>AC02_패스워드 최소 사용기간이 설정되었는가?</t>
  </si>
  <si>
    <t>AC03_계정 잠금 임계값이 설정되었는가?</t>
  </si>
  <si>
    <t>AC04_사용자 계정, 그룹 리스트 정보 파일에 대한 접근 권한이 제한되어 있는가?</t>
  </si>
  <si>
    <t>AC04_사용자 계정 암호 파일에 대한 접근 권한이 제한되어 있는가?</t>
  </si>
  <si>
    <t>AC04_/etc/hosts 파일에 대한 접근 권한이 제한되어 있는가?</t>
  </si>
  <si>
    <t>AC04_/etc/services 파일에 대한 접근 권한이 제한되어 있는가?</t>
  </si>
  <si>
    <t>AC04_일반 사용자가 중요 명령어를 실행하지 못하도록 설정되었는가?</t>
  </si>
  <si>
    <t xml:space="preserve">AC04_사용자 환경 설정 파일에 대한 접근 권한이 제한되어 있는가? </t>
  </si>
  <si>
    <t>AC04_네트워크 서비스 설정 파일에 대한 접근 권한이 제한되어 있는가?</t>
  </si>
  <si>
    <t>AC04_FTP 접근제어 파일에 대한 접근 권한이 제한되어 있는가?</t>
  </si>
  <si>
    <t>AC04_NFS 설정 파일에 대한 접근 권한이 제한되어 있는가?</t>
  </si>
  <si>
    <t>AC04_패스워드 규칙 설정 파일에 대한 접근 권한이 제한되어 있는가?</t>
  </si>
  <si>
    <t>AC04_cron 설정 파일에 대한 접근 권한이 제한되어 있는가?</t>
  </si>
  <si>
    <t>AC04_주요 백업 파일 접근 권한이 제한되어 있는가?</t>
  </si>
  <si>
    <t>AC05_root 계정의 UMASK 설정이 적절한가?</t>
  </si>
  <si>
    <t>AC05_일반 계정의 UMASK 설정이 적절한가?</t>
  </si>
  <si>
    <t>AC05_root계정의 원격접속은 제한되어 있는가?</t>
  </si>
  <si>
    <t>AC06_Session Timeout을 적용하고 있는가?</t>
  </si>
  <si>
    <t>SV01_IP 및 PORT 접근 제어를 수행하는가?</t>
  </si>
  <si>
    <t>SV01_서버에서 외부 인터넷 접속을 차단 설정이 적용되어 있으며 주기적으로 차단유무를 점검 하는가?</t>
  </si>
  <si>
    <t>SV01_불필요하거나, 안전하지 않은 어플리케이션이 설치되었는가?</t>
  </si>
  <si>
    <t>SV01_원격데스크탑, Telnet, ssh, FTP 접속 시 경고 배너를 적용하고 있는가?</t>
  </si>
  <si>
    <t>SV01_서버 접속용 서비스에 대해 암호화 전송이 되고 있는가?</t>
  </si>
  <si>
    <t>SV01_중요서버에 유지보수 작업 등을 위한 원격접속 기준이 운영되고 있는가?</t>
  </si>
  <si>
    <t>SS01_NFS 사용 시 안전한 설정을 적용 하였는가?</t>
  </si>
  <si>
    <t>SS02_원격에서 인증없이 접속하여 명령 실행이 가능한 서비스 사용을 중지하였는가?</t>
  </si>
  <si>
    <t>SS02_불필요한 서비스가 제거되어 있는가?</t>
  </si>
  <si>
    <t>SS03_SNMP Default Community String이 변경되었는가?</t>
  </si>
  <si>
    <t>SS03_Anonymous FTP가 중지되어 있는가?</t>
  </si>
  <si>
    <t>SS04_root 계정의 PATH 설정이 안전하게 적용되어 있는가?</t>
  </si>
  <si>
    <t>LM01_서버 접속로그(보안 로그)에 대한 관리는 하고 있는가?</t>
  </si>
  <si>
    <t>LM01_보안 업데이트가 적용되었는가?</t>
  </si>
  <si>
    <t>LP01_서버 접속 로그에 대한 접근 권한을 제한 하는가?</t>
  </si>
  <si>
    <t>Linux</t>
    <phoneticPr fontId="7" type="noConversion"/>
  </si>
  <si>
    <t>O</t>
    <phoneticPr fontId="7" type="noConversion"/>
  </si>
  <si>
    <t>AC01_Guest 계정이 존재하고 활성화되어 있는가?</t>
  </si>
  <si>
    <t>AC01_Administrator 계정 명이 변경되는가?</t>
  </si>
  <si>
    <t>AC02_패스워드 복잡도 설정이 적용되었는가?</t>
  </si>
  <si>
    <t>AC02_패스워드 최소 암호 길이가 설정되었는가?</t>
  </si>
  <si>
    <t>AC03_최근 사용한 암호 기억 설정이 적용되었는가?</t>
  </si>
  <si>
    <t>AC03_패스워드 최소 사용기간이 설정되었는가?</t>
  </si>
  <si>
    <t>AC03_패스워드 최대 사용기간이 설정되었는가?</t>
  </si>
  <si>
    <t>AC04_패스워드 입력 실패 시 계정 잠금 기간이 설정되었는가?</t>
  </si>
  <si>
    <t>AC04_패스워드 입력 실패 시 계정 잠금을 수행할 임계값이 설정되었는가?</t>
  </si>
  <si>
    <t>AC05_복구 가능한 LMHash 패스워드를 저장하지 않는가?</t>
  </si>
  <si>
    <t>AC06_감사 및 보안 로그 관리 권한이 적절한 사용자에게 부여되었는가?</t>
  </si>
  <si>
    <t>AC06_네트워크에서 이 컴퓨터 엑세스 권한이 적절한 사용자에게 부여되었는가?</t>
  </si>
  <si>
    <t>AC06_로컬 로그온 권한이 적절한 사용자에게 부여되었는가?</t>
  </si>
  <si>
    <t>AC06_시스템 종료 권한이 적절한 사용자에게 부여되었는가?</t>
  </si>
  <si>
    <t>AC06_원격 시스템에서 강제로 시스템 종료 권한이 적절한 사용자에게 부여되었는가?</t>
  </si>
  <si>
    <t>AC06_파일 또는 다른 개체의 소유권 가져오기 권한이 적절한 사용자에게 부여되었는가?</t>
  </si>
  <si>
    <t>AC06_보안감사생성 권한이 적절한 사용자에게 부여되었는가?</t>
  </si>
  <si>
    <t>AC07_사용자 계정 DB 파일에 대한 접근 권한이 설정되어 있는가?</t>
  </si>
  <si>
    <t>AC07_cmd.exe 파일에 대한 접근 권한이 설정되어 있는가?</t>
  </si>
  <si>
    <t>AC07_command.com 파일에 대한 접근 권한이 설정되어 있는가?</t>
  </si>
  <si>
    <t>AC07_PowerShell.exe 파일에 대한 접근 권한이 설정되어 있는가?</t>
  </si>
  <si>
    <t>AC07_PowerShell.exe 로 실행 가능한 파일에 대한 제한 설정이 되어 있는가?</t>
  </si>
  <si>
    <t>SS01_화면보호기 설정 및 대기 시간 설정이 되어 있는가?</t>
  </si>
  <si>
    <t>SS02_디폴트 공유 폴더를 제거하였는가?</t>
  </si>
  <si>
    <t>SS02_각 공유 폴더에 대한 접근 권한이 적절하게 적용되었는가?</t>
  </si>
  <si>
    <t>SS02_Null Session을 차단하고 있는가?</t>
  </si>
  <si>
    <t>SS02_원격에서 사용자 인증 없이 시스템 공유 디렉토리에 접속하는 것이 차단되는지 확인하는가?</t>
  </si>
  <si>
    <t>SS03_사용하지 않는 서비스는 제거 또는 중지 설정되어 있는가?</t>
  </si>
  <si>
    <t>SS03_넷바이오스 설정이 사용 안함 설정되어 있는가?</t>
  </si>
  <si>
    <t>SS04_SNMP Default Community String이 변경되었는가?</t>
  </si>
  <si>
    <t>SS04_Anonymous FTP가 운영되고 있는가?</t>
  </si>
  <si>
    <t>SS05_마지막 로그온 사용자 정보가 노출되고 있지 않은가?</t>
  </si>
  <si>
    <t>SS05_로그온 상태에서만 시스템 종료가 가능한가?</t>
  </si>
  <si>
    <t>LP01_Windows 감사 정책이 적용되었는가?</t>
  </si>
  <si>
    <t>LP02_보안 로그에 대한 이벤트 덮어쓰기 설정이 적절하게 설정되어 있는가?</t>
  </si>
  <si>
    <t>LP02_로그 파일의 접근 권한이 제한되었는가?</t>
  </si>
  <si>
    <t>LP03_백신 프로그램의 최신 업데이트가 적용되어 있는가?</t>
  </si>
  <si>
    <t xml:space="preserve">LP03_백신 프로그램의 실시간 감시 기능이 사용되고 있는가?  </t>
  </si>
  <si>
    <t>LP04_zeroday 공격 위험을 최소화하기 위하여 DEP 기능을 사용하고 있는가?</t>
  </si>
  <si>
    <t>NO.</t>
    <phoneticPr fontId="7" type="noConversion"/>
  </si>
  <si>
    <t>O</t>
    <phoneticPr fontId="7" type="noConversion"/>
  </si>
  <si>
    <t>각 계정별로 로그인을 위해서는 아이디와 패스워드가 존재함. 이 때 계속적으로 로그인을 시도하여 패스워드를 찾아내는 공격을 시도 할 수 있음. 따라서 실패 횟수의 제한 설정을 통해 이를 방지해야 함.</t>
  </si>
  <si>
    <t>*root는 시스템을 관리하는 매우 중요한 계정임. 
root 계정으로 직접 로그인하도록 허용하면 불법적인 침입자의 목표가 될 수 있으므로 root 계정 접속에 대한 관리가 필요함. 
root 계정의 원격 접속 허용은 공격자에게 더 좋은 기회를 제공할 수 있으므로 root의 원격 접속은 금지하여야 함.
* root 계정 : 여러 사용자가 사용하는 컴퓨터에서 전체적으로 관리할 수 있는 총괄 권한을 가진 유일한 특별 계정. 유닉스 시스템의 루트(root)는 시스템 관리자인 운용 관리자(Super User)로서 윈도우의 관리자(Administrator)에 해당하며, 사용자 계정을 생성하거나 소프트웨어를 설치하고, 환경 및 설정을 변경하거나 시스템의 동작을 감시 및 제어할 수 있음.</t>
  </si>
  <si>
    <t xml:space="preserve">세션 타임아웃은 시스템과 사용자 클라이언트 사이에서 클라이언트의 요청이 없는 상태로 서버가 기다릴 수 있는 최대 시간을 의미함. (즉, 세션 타임아웃으로 설정된 시간이 지날 때까지 클라이언트의 요청이 없다면 시스템에서 자동으로 세션을 종료하게 됨)
시스템에 접속한 사용자의 활동이 없다면 자동으로 세션을 끊어야 보안상 안전함. </t>
  </si>
  <si>
    <t>원격지에서 서버를 관리 하기 위해서는 통제가 가능하고 안전한 접속 방법이 필요함. 접근 제한 서비스는 이러한 서비스가 제공 되고 있는지 판단함.</t>
  </si>
  <si>
    <t>중요 서버 접근 시 불필요한 접속 권한 제공으로 인한 보안 위협 요인이 있으며 적절한 보안 절차를 통해 원격 접속을 허용해야 함.</t>
  </si>
  <si>
    <t xml:space="preserve">hosts.equiv 파일 안에 등록된 시스템이나 사용자는 시스템 접근 시 인증절차 없이 r계열 명령어(rexec, rlogin등)를 사용하여 접근 가능함. 특히 hosts.equiv 파일 안에 '+ +' 존재 시 모든 시스템 root를 제외한 모든 사용자가 인증절차 없이 R계열 명령어를 실행할 수 있어, 시스템의 자료를 인증 없이 삭제 및 유출이 가능하며, 이 시스템을 기반으로 다른 시스템에 접근 할 수 있는 경로가 됨.
rlogin, rsh, rcp 는 패스워드를 입력하지 않고 원격서버로 신뢰받는 원격로그인을 하기 위한 명령어임. 참고로 이와 같이 원격에서 수행되는 명령어들을 원격명령어, r-commands라고 함. 
이들 명령어들이 모두 원격에서 신뢰된 로그인 또는 접근을 할 수 있기 위해서는 접근할 원격서버의 /etc/hosts.equiv 또는 홈 디렉토리내에 있는 .rhosts파일의 접근허용설정이 있어야 정상적인 수행됨.
따라서 rlogin과 함께 rsh, rcp등의 명령어 사용시에는 /etc/hosts.equiv, 그리고 홈디렉토리내에 있는 .rhosts파일의 설정을 확인해야 함. 
또한 이들 명령어들은 모두 원격에서 패스워드 인증과정 없이 바로 실행이 될 수 있기 때문에 서버자체의 보안문제도 심각하게 고려해야 함. </t>
  </si>
  <si>
    <t>실제 사용하지 않는 서비스가 동작할 경우 기본 서비스 중 실제 필요하지 않은 서비스는 시스템의 성능 저하를 야기할 수 있고, 잠재적인 위협이 존재</t>
  </si>
  <si>
    <t xml:space="preserve">SNMP 서비스는 네트웍 관리 및 네트웍 장치와 그들의 동작을 감시, 통할하는 SNMP 프로토콜을 기반으로 하는 서비스임.
본 시스템의 SNMP 서비스는 SNMP community string이 기본 community 이름인 public 이므로, 공격자는 SNMP 서비스를 이용하여 시스템의 정보를 획득할 수 있음. </t>
  </si>
  <si>
    <t>익명 FTP는 특정한 패스워드를 요구하지 않으며, 모든 사용자들이 같은 로그인 명을 사용할 수 있음. 따라서, 모든 사용자들에게 접속이 허용되기 때문에 쓰기 권한이 통제되지 않았을 경우 불법 파일의 삽입등을 통한 공격에 노출되는 취약성이 있음.</t>
  </si>
  <si>
    <t>신규_info</t>
    <phoneticPr fontId="7" type="noConversion"/>
  </si>
  <si>
    <t>2명 이상이 1개의 계정을 공유하여 사용할 경우 실제 사용자를 특정하기 어려워 악용될 가능성이 있으므로 관리가 필요함.</t>
  </si>
  <si>
    <t>Administrators그룹은 관리자 계정의 관리를 위한 목적으로 구성되어 있음. 
일반유저 그룹이 아닌 administrators 그룹에 계정이 발견되었을 경우 이 계정은 관리자 계정의 구성원으로 올바른지 확인해야 함.
발견된 계정이 Administrators 그룹의 구성원으로서 올바르지 않을 경우 그룹에서 사용자를 제거해야 함.
Power Users의 그룹은 관리자와 같은 권한을 제공하며 신뢰할 수 있는 사용자에게 계정권한을 부여해야 함. 악의적인 사용자가 이 그룹에 포함되어 있을 경우 상당한 손상을 일으킬 수 있음. 
Power Users 그룹의 구성원을 검토 하고 최소한의 계정만 가지고 신뢰할 수 있는지 확인해야 함.
Backup Operators 그룹에 속한 계정은 관리자 권한을 가지고 있는 사용자의 데이터를 복원할 수 있음. 
백업된 데이터에서 암호화 되지 않은 데이터들을 볼 수 있음. 
Backup Operators 그룹에는 신뢰 할 수 있는 계정인지 확인해야 함.</t>
  </si>
  <si>
    <t>중요도가 높은 대상들은 기본 보안 인증 외 추가적인 복합 인증 적용이 필요함.</t>
  </si>
  <si>
    <t>Guest 계정은 시스템에 임시로 액세스해야 하는 사용자용임. 
이 계정을 사용하면 권한 없는 사용자가 이 계정을 통해 시스템에 익명으로 액세스할 수 있기 때문에 보안 위험이 따를 수 있음.</t>
  </si>
  <si>
    <t>관리자 계정으로 설정되어져 있는 "Administrator" 계정을 다른 이름으로 바꾸고 "Administrator"라는 가짜 계정을 만들어 아무런 권한도 주지 않는 방법을 사용할 수 있는데, 이러한 방법은 "모호함을 통한 보안(Security through obscurity)"의 한 예임.
즉 Bogus 계정을 만드는 것임.
Administrator 계정은 로그온 시 몇 번이고 실패해도 절대 접속을 차단하지 않기 때문에 시스템을 공격하려는 사람들은 이 계정의 패스워드 유추를 계속 시도할 수 있음. 
따라서 관리자 계정의 이름을 바꿈으로써 공격자는 패스워드뿐만 아니라 계정이름도 유추 하여야 하는 어려움을 줄 수 있음.
또 하나의 방법은 보안정책 설정에서 로그온 실패 횟수에 따른 계정 잠금을 설정함으로써 brute force 공격이나 사전공격에 대응할 수 있음.</t>
  </si>
  <si>
    <t>영숫자만으로 이루어진 암호는 공개되어 있는 유틸리티를 사용하여 아주 쉽게 공격할 수 있기 때문에 암호가 공격당하는 것을 방지하려면 암호에 광범위한 문자가 있어야함.
암호 복잡성 정책을 사용하면 아래의 최소 요구 사항을 만족 해야 함.
1. 사용자의 계정 이름이나 연속되는 문자 2개를 초과하는 사용자 전체 이름의 일부를 포함하지 않음.
2. 길이가 최소한 8자 이상이어야 함.
3. 다음 네 가지 범주 중 세 가지의 문자를 포함해야 함 - 영문 대문자(A - Z)  - 영문 소문자(a - z)  - 기본 10개 숫자(0 - 9)  - 알파벳 이외의 문자(예: !, $, #, %)</t>
  </si>
  <si>
    <t>특정 사용자 계정의 암호를 알아내기 위해 수행할 수 있는 암호 공격의 유형은 일반적인 단어와 구 사용을 시도하는 사전 공격과 가능한 모든 문자의 조합을 시도하는 무작위 공격이 있음.
대부분의 환경에서 8자리의 암호를 사용하면 적절한 보안이 제공될 뿐만 아니라 사용자가 쉽게 기억할 수 있으며 무작위 공격을 적절히 방어할 수 있음.</t>
  </si>
  <si>
    <t>특정 계정에 같은 암호를 오래 사용할수록 공격자가 무작위 공격을 통해 암호를 확인할 수 있는 가능성이 커지며 손상된 계정은 암호를 바꾸지 않는 한 계속 악용될 수 있음.
암호를 변경해야 할 경우 암호를 다시 사용하는 것을 금지하지 않거나 적은 수의 암호를 계속해서 다시 사용할 수 있도록 허용하면 좋은 암호 정책의 효과가 크게 반감됨.</t>
  </si>
  <si>
    <t>사용자가 암호를 계속 바꿔서 이전에 즐겨 쓰던 암호를 다시 사용할 수 있다면 암호를 정기적으로 바꾸도록 요구하는 것은 효과가 없음.
정책 설정을 최근 암호 기억 설정과 함께 사용하면 이전 암호를 다시 사용하는 것을 막을 수 있음.
최근 암호 기억 설정을 유효하게 하려면 최소 암호 사용 기간 정책 설정을 0보다 큰 값으로 구성해야 함.
특정 계정에 같은 암호를 오래 사용할수록 공격자가 무작위 공격을 통해 암호를 확인할 수 있는 가능성이 커지며 손상된 계정은 암호를 바꾸지 않는 한 계속 악용될 수 있음.
암호를 변경해야 할 경우 암호를 다시 사용하는 것을 금지하지 않거나 적은 수의 암호를 계속해서 다시 사용할 수 있도록 허용하면 좋은 암호 정책의 효과가 크게 반감 됨.</t>
  </si>
  <si>
    <t>사용자가 암호를 계속 바꿔서 이전에 즐겨 쓰던 암호를 다시 사용할 수 있다면 암호를 정기적으로 바꾸도록 요구하는 것은 효과가 없음.
정책 설정을 최근 암호 기억 설정과 함께 사용하면 이전 암호를 다시 사용하는 것을 막을 수 있음.
최근 암호 기억 설정을 유효하게 하려면 최대 암호 사용 기간 정책 설정을 90이하 값으로 구성해야 함.
특정 계정에 같은 암호를 오래 사용할수록 공격자가 무작위 공격을 통해 암호를 확인할 수 있는 가능성이 커지며 손상된 계정은 암호를 바꾸지 않는 한 계속 악용될 수 있음.
암호를 변경해야 할 경우 암호를 다시 사용하는 것을 금지하지 않거나 적은 수의 암호를 계속해서 다시 사용할 수 있도록 허용하면 좋은 암호 정책의 효과가 크게 반감 됨.</t>
  </si>
  <si>
    <t xml:space="preserve">이 보안 설정은 잠긴 계정이 자동으로 잠금 해제되기 전에 잠금 상태를 유지하는 시간(분)을 결정.
사용 가능한 시간(분) 범위는 0에서 99,999분 사이임.
계정 잠금 기간을 0으로 설정하면 관리자가 명시적으로 잠금을 해제할 때까지 계정이 잠겨있게 됨.
계정 잠금 기간을 설정하지 않으면 사전공격 같은 무차별 공격에 아이디와 패스워드를 획득이 가능함. </t>
  </si>
  <si>
    <t>이 설정은 사용자 계정이 잠기는 로그온 실패 횟수를 결정함. 
잠긴 계정은 관리자가 재설정하거나 해당 계정의 잠금 유지 시간이 만료되어야 사용할 수 있음.
로그온 실패 회수를 제한하지 않으면 사전공격 같은 무차별 공격에 아이디와 패스워드를 획득이 가능함.</t>
  </si>
  <si>
    <t>Windows에서는 일반 텍스트로 사용자 계정 암호를 저장하는 대신 일반적으로 "해시"라고 하는 두 가지 다른 암호 표현을 사용하여 사용자 계정 암호를 저장함.
사용자 계정의 암호를 15자 미만인 암호로 설정하거나 변경하면 Windows에서는 암호의 LM 해시(LAN Manager 해시)뿐만 아니라 NT 해시(Windows NT 해시)도 생성함. 
이러한 해시는 로컬 SAM(보안 계정 관리자) 데이터베이스나 Active Directory에 저장됨. LM 해시는 NT 해시에 비해 비교적 약하므로 빠른 암호 해독 공격에 취약함. 따라서 Windows에서 암호의 LM 해시를 저장하지 못하게 할 수 있음.</t>
  </si>
  <si>
    <t>이 보안 설정은 파일, Active Directory 개체 및 레지스트리 키와 같은 개별 리소스에 대해 개체 액세스 감사 옵션을 지정할 수 있는 사용자를 결정함. 이 보안 설정은 사용자에게 일반적인 파일 및 개체 액세스 감사를 허용하지 않음.
이러한 감사를 활성화하려면 Computer Configuration\Windows Settings\Security Settings\Local Policies\Audit Policies에 개체 액세스 감사 설정을 구성해야 함.
감사로그 관리 그룹이 Administrators 그룹외의 그룹에 할당되었을 경우 악의적인 사용자에 의해 로그가 위변조 될 수 있음.</t>
  </si>
  <si>
    <t>자신의 컴퓨터에서 네트워크에 연결할 수 있는 사용자는 사용 권한을 가진 대상 컴퓨터의 리소스에 액세스할 수 있음.
예를 들어 네트워크에서 이 컴퓨터 액세스 권한은 사용자가 공유 프린터 및 폴더에 연결하는 데 필요한 권한임.
이 사용자 권한이 Everyone 그룹에 할당되고 동일한 그룹이 읽기 권한을 갖도록 일부 공유 폴더에 공유 및 NTFS(NTFS 파일 시스템) 사용 권한이 구성되면 이 그룹의 모든 사람이 해당 공유 폴더에 있는 파일을 볼 수 있음.
그러나 Windows Server 2003의 기본 공유 및 NTFS 사용 권한에는 Everyone 그룹이 포함되지 않으므로 Microsoft Windows Server 2003 SP1(서비스 팩 1)을 새로 설치하는 경우에는 이러한 상황이 거의 발생하지 않음.
Windows NT 4.0 또는 Windows 2000을 업그레이드한 시스템의 경우는 이러한 운영 체제의 기본 사용 권한이 Windows Server 2003의 기본 사용 권한만큼 제한적이지 않으므로 이 취약점의 수준이 더 높아질 수 있음.</t>
  </si>
  <si>
    <t>이 정책 설정은 사용자가 컴퓨터에서 대화형 세션을 시작할 수 있는지 여부를 결정함.
터미널 서비스를 통한 로그온 허용 권한이 있으면 이 권한이 없는 사용자도 컴퓨터에서 원격 대화형 세션을 시작할 수 있음.
로컬로 로그온 허용 사용자 권한이 있는 계정은 컴퓨터의 콘솔에서 로그온할 수 있음.
컴퓨터 콘솔에 로그온해야 하는 적법한 사용자로 이 사용 권한을 제한하지 않으면 권한이 없는 사용자가 자신의 사용 권한 향상을 위해 악의적인 코드를 다운로드하여 실행할 수 있음.</t>
  </si>
  <si>
    <t>이 정책 설정은 사용자가 Active Directory 개체, NTFS(NTFS 파일 시스템) 파일 및 폴더, 프린터, 레지스트리 키, 서비스, 프로세스, 스레드를 비롯하여 컴퓨터에 있는 보안 가능한 모든 개체의 소유권을 가져올 수 있는지 여부를 결정함.
* 전역 개체 만들기 설정에 사용할 수 있는 값은 다음과 같음
1. 사용자 정의 계정 목록 
2. 정의되지 않음 파일 또는 다른 개체의 소유권 가져오기 사용자 권한을 가진 사용자는 개체에 대한 사용 권한에 관계 없이 해당 개체를 제어하고 원하는 대로 변경할 수 있음.
이러한 변경으로 인해 데이터 노출, 데이터 손상 또는 DoS 상황이 발생할 수 있음.</t>
  </si>
  <si>
    <t>이 정책 설정은 프로세스가 보안 로그에 감사 레코드를 생성할 수 있는지 여부를 결정함. 보안 로그의 정보를 사용하여 무단 컴퓨터 액세스를 추적할 수 있음. 
* 보안 감사 생성 설정에 사용할 수 있는 값은 다음과 같다 * 
1. 사용자 정의 계정 목록 
2. 미정의된 공격자는 보안 로그에 기록할 수 있는 계정을 사용하여 해당 로그를 의미 없는 이벤트로 채울 수 있음.
필요 할 때 이벤트를 덮어쓰도록 컴퓨터가 구성된 경우 공격자는 이 방법을 사용하여 자신의 무단 작업에 대한 증거를 제거할 수 있음.
컴퓨터가 보안 로그에 기록할 수 없고 로그 파일을 자동으로 백업하도록 구성되어 있 지 않을 때 종료되도록 구성된 경우에는 이 방법을 사용하여 DoS(서비스 거부) 상황을 만들 수 있음.</t>
  </si>
  <si>
    <t>Windows NT SAM(Security Accounts Manager) 파일에는 공격자가 시스템에 대한 추가 액세스 권한을 얻기 위해 오프라인에서 해독할 수 있는 암호화된 계정 및 패스워드 정보가 포함되어 있음. 사용자/그룹 계정 정보에 대한 데이터베이스 관리하여 사용자 입력정보와 SAM 데이터베이스 정보를 비교하여 인증 여부를 결정함.
SAM 파일 권한은 Administrators, System 권한 계정만 접근 가능해야 함.</t>
  </si>
  <si>
    <t>cmd.exe 등의 시스템 명령어도 Administrator 계정외에는 접근을 제한함. 실제로 서버관리자를 제외하고는 대부분의 사용자들은 위의 파일을 실행시킬 필요성이 없음.
각종 웜바이러스 및 코드 레드의 경우 cmd.exe 파일을 복제하여 권한을 획득하는 경우가 다반사이기 때문에 근본적으로 접근자를 제외하고 나머지는 권한은 제거해주는 것이 좋음.</t>
  </si>
  <si>
    <t>command.com 등의 시스템 명령어도 Administrator 계정외에는 접근을 제한함. 실제로 서버관리자를 제외하고는 대부분의 사용자들은 위의 파일을 실행시킬 필요성이 없음.
각종 웜바이러스 및 코드 레드의 경우 command.com 파일을 복제하여 권한을 획득하는 경우가 다반사이기 때문에 근본적으로 접근자를 제외하고 나머지는 권한은 제거해주는 것이 좋음.</t>
  </si>
  <si>
    <t>PowerShell은 마이크로소프트사(Microsoft)의 시스템 관리용으로 특별히 설계된 작업 기반 명령줄 쉘 및 스크립트 언어임. PowerShell을 사용하여 윈도우와 응용 프로그램의 관리를 쉽게 제어하고 자동화할 수 있음.</t>
  </si>
  <si>
    <t>서버에서 외부 인터넷 접속이 여과없이 가능할 경우 각종 악성 프로그램에 노출될 위험이 있음으로 접속을 관리함.</t>
  </si>
  <si>
    <t>대화형 로그온: 로그온 시도하는 사용자에 대한 메시지 텍스트 및 대화형 로그온: 로그온 시도하는 사용자에 대한 메시지 제목 설정은 밀접하게 연관되어 있음.
'대화형 로그온 : 로그온을 시도하는 사용자에 대한 메시지 텍스트 정책 설정'은 사용자가 로그온할 때 표시되는 텍스트 메시지를 지정하며, 
'대화형 로그온: 로그온을 시도하는 사용자에 대한 메시지 제목 정책 설정'은 해당 텍스트 메시지를 포함하는 창의 제목 표시줄에 표시되는 제목을 지정함. 
여러 조직에서 이 텍스트를 법적인 이유로 사용함.
예를 들어 사용자에게 회사 정보를 올바르지 않은 용도로 사용할 경우 생기는 문제에 대해 경고하거나 사용자의 동작이 감사될 수 있음을 경고하기 위해 이 텍스트 를 사용할 수 있음.
로그온 전에 경고 메시지가 표시되도록 하면 공격자가 공격을 시작하기 전에 경고함으로써 공격을 막을 수 있음. 또한 직원들에게 로그온 프로세스 중에 적절한 정책에 대해 알림으로써 회사 정책을 강화할 수 있음.</t>
  </si>
  <si>
    <t xml:space="preserve">디폴트 공유인 C$, D$, Admin$, IPC$ 등을 제외한 공유폴더를 everyone 그룹으로 공유가 금지되었는지 여부를 점검함. 
Everyone이 공유계정에 포함 되어 있을 경우 익명 사용자의 접근이 가능하므로 접근을 확인하여 제어하게 되면 익명 사용자에 의한 접근을 차단 할 수 있음. </t>
  </si>
  <si>
    <t>널 세션 접속은 윈도우 NT/2000의 인증 받지 않은 접속을 말함. 널 세션 접근을 하게 되면 컴퓨터에 대한 다양한 정보를 획득할 수 있음. 널 세션으로 API를 호출할 수 있고 정보를 가져가기 위해 RPC(Remote Procedure Call) 호출을 사용함. 
윈도우 NT/2000은 기본적으로 NetBIOS 프로토콜을 사용하기 때문에 몇 가지 취약점을 가지고 있음. 널 세션을 허용할 경우, 이를 이용하여 윈도우에 승인을 받지 않은 자도 시스템에 접근을 할 수 있게 됨.
널 세션이란 사용자가 ID와 패스워드를 입력하지 않고도 공유 대상인 IPC$(Inter Process Communication)에 연결하는 것임. 일반적으로 NetBIOS를 사용하는 시스템에서는 IPC$, C$, Admin$은 항상 공유되어 있음. 
원격지에서 널 세션을 이용하여 접속이 가능하다면, 공격자에게 시스템의 사용자 계정과 공유파일, 프린터에 대한 정보를 제공해 주게 됨. 널 세션 포트는 TCP/UDP 135~139번임. 
널 세션으로 아래와 같은 정보를 수집할 수 있음. 
 - 패스워드 정보
 - 그룹 정보
 - 서비스 정보
 - 운영 중인 프로세서 정보 
널 세션 접근은 권한을 확대하거나 DoS 공격을 할 때도 사용될 수 있음.</t>
  </si>
  <si>
    <t>SAM(보안 계정 관리자) 계정과 공유의 익명 열거가 허용될 경우 Windows에서는 익명 사용자가 도메인 계정(사용자, 컴퓨터 및 그룹)과 네트워크 공유의 이름 열거를 통해 악의적인 사용자가 계정 이름 목록을 익명으로 표시 한 다음 이 정보를 사용하여 암호를 추측하거나 사회 공학적 기술 공격을 수행 할 수 있음.</t>
  </si>
  <si>
    <t>무슨 일을 하고 있는지 확인 할수 없는 서비스는 종료 삭제 시킬 필요가 있음.
* 주의 : 본 항목은 상황에 따라 필요에 의해 사용되는 서비스를 검사할 수도 있음.</t>
  </si>
  <si>
    <t>NetBIOS(Network Basic Input/Output System)는 IBM PC를 위한 네트워크 인터페이스 체계로 네임, 세션, 데이터 그램의 세 가지 서비스를 제공하고 있음.
윈도우 NT 시스템이 인터넷에 직접 연결되어 있으면 공격자가 쉽게 파일시스템을 사용할 수 있으므로 NetBIOS에 대한 접근 통제가 적용되어야 함.</t>
  </si>
  <si>
    <t>기본적인 FTP 서비스는 계정과 패스워드가 암호화 되지 않은 채로 전송 되므로 간단한 Sniffer 에 의해서도 스니핑이 가능하므로 FTP 사용 하지 않을 것을 권고.불가피 하게 FTP 서비스를 이용해야 할 경우 Default 설정으로 되어 있는 익명연결 허용을 금지FTP 를 위한 계정을 따로 만들어서 사용.
Password는 복잡도를 높이고 또한 권한은 해당 디렉터리에 대한 Read 권한만을 부여. Home Directory는 Default로 설정하지 말고, 임의의 폴더를 생성하여 설정하는 것이 바람직함.</t>
  </si>
  <si>
    <t>이 정책 설정은 컴퓨터에 마지막으로 로그온한 사용자의 이름을 Windows 로그온 대화 상자에 표시할지 여부를 결정함.
이 정책 설정을 사용하면 마지막으로 로그온한 사용자의 이름이 표시되지 않음.
이 정책 설정을 사용하지 않으면 마지막으로 로그온한 사용자의 이름이 표시됨.
실제로 콘솔에 액세스할 수 있는 사용자 또는 터미널 서비스를 통해 서버에 연결할 수 있는 사용자 등 콘솔에 액세스할 수 있는 공격자는 서버에 마지막으로 로그온한 사용자의 이름을 볼 수 있음.
그러면 공격자는 암호를 추측하거나 사전을 사용하거나 무단 공격을 통해 로그온을 시도함.</t>
  </si>
  <si>
    <t>이 정책 설정은 Windows에 로그온하지 않고 컴퓨터를 종료할 수 있는지 여부를 결정함.
이 정책 설정을 사용하면 Windows 로그온 화면에서 시스템 종료 명령을 사용할 수 있음.
이 정책 설정을 사용하지 않으면 Windows 로그온 화면에서 시스템 종료 옵션이 없어짐.
이렇게 구성하는 경우 사용자는 컴퓨터에 로그온하여 시스템 종료 사용자 권한을 받아야 컴퓨터를 종료할 수 있음.
콘솔에 로컬로 액세스할 수 있는 사용자는 시스템을 종료할 수 있음.
공격자도 로컬 콘솔에 액세스하여 서버를 다시 시작할 수 있으므로 일시적인 DoS 상황이 발생할 수 있음.
또한 공격자는 서버를 종료하여 서버의 모든 응용 프로그램 및 서비스를 사용하지 못하도록 할 수 있음.</t>
  </si>
  <si>
    <t>이벤트 로그에 대해서 덮어쓰지 않도록 설정하여 이벤트 로그를 보호함.</t>
  </si>
  <si>
    <t>Hot Fix 는 즉시 교정되어야만 하는 주요한 취약점(주로 보안과 관련된)을 패치하기 위해 배포되는 프로그램임.
Hot Fix는 각각의 Service Pack 이 발표된 이후 패치가 추가될 필요가 있을 때 별도로 발표 됨. 때론, Hot Fix 보다 취약성을 이용한 공격 도구가 먼저 출현 할 수 있으므로 Hot Fix는 발표 후 가능한 빨리 설치 할 것을 권장함.</t>
  </si>
  <si>
    <t>이 정책 설정은 컴퓨터의 각 계정 관리 이벤트를 감사할지 여부를 결정. 다음은 계정 관리 이벤트의 예사용자 계정 또는 그룹을 만들거나 변경하거나 삭제함. 사용자 계정의 이름을 바꾸거나 사용자 계정을 사용 또는 사용하지 않음.
암호를 설정하거나 변경함.
계정 관리 감사 설정을 구성하면 성공한 이벤트를 감사할지, 실패한 이벤트를 감사할지 아니면 모든 이벤트 유형을 감사하지 않을지를 지정할 수 있음.
성공 감사는 계정 관리 이벤트가 성공할 때 감사 항목을 생성하므로 엔터프라이즈의 모든 컴퓨터에서 사용해야 함.
조직이 보안 관련 문제 상황에 대처할 때는 계정을 만들거나 변경하거나 삭제한 사용자를 추적할 수 있어야 함. 실패 감사는 계정 관리 이벤트가 실패할 때 감사 항목을 생성함.</t>
  </si>
  <si>
    <t>시스템 보안 로그 파일등 Administrator 계정외에는 접근을 제한함. 실제적으로 서버관리자를 제외하고는 대부분의 사용자들은 위의 파일을 실행시킬 필요성이 없음.
일반 사용자의 권한이 있을경우 파일을 복제하여 시스템 로그 파일에 문제가 발생 할 수 있으므로 근본적으로 접근자를 제외하고 나머지는 권한은 제거해주는 것이 좋음.</t>
  </si>
  <si>
    <t>DEP(데이터 실행 방지)는 바이러스 및 다른 보안 위험으로부터 컴퓨터가 손상되는 것을 방지해 줄 수 있는 보안 기능임.
위험한 프로그램이 Windows 및 권한이 있는 다른 프로그램에 대해 예약된 컴퓨터 메모리에서 코드 실행을 시도하여 Windows 공격을 시도할 수 있음. 이러한 종류의 공격으로 인해 프로그램 및 파일이 손상될 수 있음.</t>
  </si>
  <si>
    <t>-</t>
    <phoneticPr fontId="7" type="noConversion"/>
  </si>
  <si>
    <t>AC01_패스워드의 숫자, 특수문자 사용 강제 적용이 설정되었는가?</t>
    <phoneticPr fontId="7" type="noConversion"/>
  </si>
  <si>
    <t>일반적으로 모든 계정은 패스워드가 존재하도록 권장함. 만약 패스워드가 없는 계정이 있다면 조치를 취해야 함.
또한 공격자가 쉽게 유추할 수 없는 패스워드를 만들도록 패스워드 규칙을 정해 주는 것이 좋음.</t>
    <phoneticPr fontId="7" type="noConversion"/>
  </si>
  <si>
    <t>일반적으로 모든 계정은 패스워드가 존재하도록 권장함. 만약 패스워드가 없는 계정이 있다면 조치를 취해야 함.
또한 공격자가 쉽게 유추할 수 없는 패스워드를 만들도록 패스워드 규칙을 정해 주는 것이 좋음.</t>
    <phoneticPr fontId="7" type="noConversion"/>
  </si>
  <si>
    <t>AC03_패스워드 대입 공격에 대한 방어를 하고 있는가?</t>
    <phoneticPr fontId="7" type="noConversion"/>
  </si>
  <si>
    <t>각 계정별로 로그인을 위해서는 아이디와 패스워드가 존재함. 이 때 계속적으로 로그인을 시도하여 패스워드를 찾아내는 공격을 시도 할 수 있음. 따라서 실패 횟수의 제한 설정을 통해 이를 방지해야 함.</t>
    <phoneticPr fontId="7" type="noConversion"/>
  </si>
  <si>
    <t>SS04_root 계정의 PATH 설정이 안전하게 적용되었는가?</t>
    <phoneticPr fontId="7" type="noConversion"/>
  </si>
  <si>
    <t>관리자의 PATH 환경변수에 현재 디렉토리 또는 알 수 없는 디렉토리가 포함되어 있음.
사용자가 어떤 명령어를 실행하려 하면 PATH에 지정된 디렉토리를 검색하여 그 명령어를 찾게 되는데, 이 때 PATH에 현재 디렉토리 또는 임의의 디렉토리가 포함되어 있고 실행할 프로그램(예:ls, cd 등)과 같은 이름을 가진 악성 프로그램(예: 트로이 목마)이 그 디렉토리에 숨겨져 있다면 원래 의도된 프로그램 대신 그 악성 프로그램이 실행되게 되어 시스템에 위협을 줄 수 있음.</t>
    <phoneticPr fontId="7" type="noConversion"/>
  </si>
  <si>
    <t>관리자의 PATH 환경변수에 현재 디렉토리 또는 알 수 없는 디렉토리가 포함되어 있음.
사용자가 어떤 명령어를 실행하려 하면 PATH에 지정된 디렉토리를 검색하여 그 명령어를 찾게 되는데, 이 때 PATH에 현재 디렉토리 또는 임의의 디렉토리가 포함되어 있고 실행할 프로그램(예:ls, cd 등)과 같은 이름을 가진 악성 프로그램(예: 트로이 목마)이 그 디렉토리에 숨겨져 있다면 원래 의도된 프로그램 대신 그 악성 프로그램이 실행되게 되어 시스템에 위협을 줄 수 있음.</t>
    <phoneticPr fontId="7" type="noConversion"/>
  </si>
  <si>
    <t>ID</t>
    <phoneticPr fontId="7" type="noConversion"/>
  </si>
  <si>
    <t>ID</t>
    <phoneticPr fontId="7" type="noConversion"/>
  </si>
  <si>
    <t>신규_info</t>
  </si>
  <si>
    <t>양호 - [minlen] 값이 '8'이상으로 설정되어 있을 경우
취약 - [minlen] 값이 '8'미만으로 설정되어 있을 경우</t>
    <phoneticPr fontId="7" type="noConversion"/>
  </si>
  <si>
    <t>양호 - [remember] 값이 '2'이상으로 설정되어 있을 경우
취약 - [remember] 값이 '2'미만으로 설정되어 있을 경우</t>
    <phoneticPr fontId="7" type="noConversion"/>
  </si>
  <si>
    <t>1. [/etc/login.defs] 파일에서 [PASS_MAX_DAYS] 항목의 [90] 확인
※ [90]은 DAY를 말함
2. [#cat /etc/shadow | awk -F: '($5 &gt; 90 || $5 == ""){ print $0 }' 실행]</t>
    <phoneticPr fontId="7" type="noConversion"/>
  </si>
  <si>
    <t>vsftp 애플리케이션 사용 시
1. 소유자 [root], 퍼미션 [600] 확인
 - [#ls -l /etc/vsftpd.ftpusers /etc/vsftpd.user_list],
 - [#ls -l /etc/vsftpd/ftpusers], 
 - [#ls -l /etc/vsftpd/user_list]
※ 파일위치 또는 파일명이 위 기준과 상이할 경우 해당 위치 또는 ftp 접근제어 파일의 권한 확인</t>
    <phoneticPr fontId="7" type="noConversion"/>
  </si>
  <si>
    <t xml:space="preserve">root로 로그인한 후 [#echo $PATH] 명령을 통해
[PATH 환경 변수]에 .(현재 디렉토리)가 포함되어 있는지 확인
[Linux]
sh : /etc/profile → $HOME/.profile
ksh : /etc/profile → $HOME/.profile
csh : /etc/.login → $HOME/.cshrc → $HOME/.login
bash : /etc/profile → $HOME/.bash_profile → $HOME/.bash_login → $HOME/.profile </t>
    <phoneticPr fontId="7" type="noConversion"/>
  </si>
  <si>
    <t>보안 업데이트 적용 현황을 확인 (최소 연간 1회 이상 적용)
1. 서버의 OS 및 중요 SW에 대한 보안 업데이트 적용여부 확인
 - OS 및 SW의 보안 업데이트 주관부서 지정여부
 - OS 및 SW의 최신 보안 업데이트 적용여부 
2. 판매중지, 유지보수 서비스 중지여부로 인한 보안패치 불가 여부 확인
3. 서버 OS 및 백신 업데이트용 내부서버 구축</t>
    <phoneticPr fontId="7" type="noConversion"/>
  </si>
  <si>
    <t>서버 內 관리자 권한 및 특권을 부여하는 다음 항목에 대하여 기본 제공되는 관리자계정만 존재하는지 확인
1. 시작 → 실행 → LUSRMGR.MSC → 그룹 → Administrators → 속성 확인
2. 시작 → 실행 → LUSRMGR.MSC → 그룹 → Power Users → 속성 확인
3. 시작 → 실행 → LUSRMGR.MSC → 그룹 → Backup Operators → 속성 확인</t>
  </si>
  <si>
    <t>1. [시작 → 실행 → powershell]에서 [Get-ExecutionPolicy] 명령을 실행</t>
  </si>
  <si>
    <t>1. [제어판 → 관리 도구 → 로컬 보안 정책 → 로컬 정책 → 보안 옵션] : 
 - [SAM 계정과 공유의 익명 연결 열거 허용 안함] 
 - [SAM 계정의 익명열거 허용 안 함] 
 - [Everyone 권한을 익명사용자에게 적용] 
 - [명명된 파이프와 공유에 대한 익명 엑세스 제한]</t>
  </si>
  <si>
    <t>1. [제어판 → 관리 도구 → 인터넷 정보 서비스 → FTP 사이트 → 사이트 별 속성 → 보안계정 탭] : [익명 연결 허용] 체크 박스 확인</t>
  </si>
  <si>
    <t>1. [제어판 → 관리 도구 → 로컬 보안 정책 → 로컬 정책 → 보안 옵션] : [대화형 로그온 : 마지막 사용자 이름 표시 안함] 확인</t>
  </si>
  <si>
    <t>1. [제어판 → 관리 도구 → 로컬 보안 정책 → 로컬 정책 → 보안 옵션] : [로그온하지 않고 시스템 종료 허용] 확인</t>
  </si>
  <si>
    <t>1. [제어판 → 관리 도구 → 컴퓨터 관리 → 시스템 도구 → 이벤트 뷰어 → 보안 → 속성 → [최대 로그 크기에 도달할 때] 확인
* win2008, 2012 : 최대 이벤트 로그 크기에 도달할 때</t>
  </si>
  <si>
    <t xml:space="preserve">1. [내 컴퓨터 → 속성 → 고급 시스템 설정] → [고급] 탭 → [성능] 설정 → [데이터 실행 방지(DEP)] 탭 : [데이터 실행방지 옵션] 으로 설정되어 있는지 확인
</t>
  </si>
  <si>
    <t>중요서버 접속 가능시간 및 실행가능 명령어 제한 여부
 - 사전 승인된 작업 시간에만 서버 접속 허용 여부 확인
 - 권한별 허용 또는 차단 실행 명령어 리스트 확인</t>
    <phoneticPr fontId="7" type="noConversion"/>
  </si>
  <si>
    <t>서버 대역에서 외부 인터넷 접속 불가하도록 정책 적용여부 확인
 ※ 파일 전송이 가능한 사내 시스템 접속 차단
 1) 인터넷 관문 방화벽 정책과 서버 IP 대역을 방화벽 정책 자동 분석 시스템으로 점검
 2) 업무상 필요시 보안검토 후 IP, 서비스 포트 단위로 접속을 허용
 - IP/Port 단위가 아닌 IP/Port 대역 또는 전체 오픈이 필요한 경우 업무 담당 임원의 승인을 득함
 - 인터넷 접속이 허용된 서버는 자동화된 이상행위 탐지시스템을 적용하여 지속 모니터링
 3) 인터넷 미차단 서버 존재여부 및 인터넷 오픈 서버의 업무상 필요여부를 연 1회 이상 점검 내역 확인</t>
    <phoneticPr fontId="7" type="noConversion"/>
  </si>
  <si>
    <t>방문지원이 원칙이나 원격접속이 불가피한 경우 다음의 기준 운영 여부 확인
1. 원격접속 대상 장비 및 방화벽 해제 등에 대한 승인절차 운영
 - 접속허용 대상 및 기간 최소화 여부 확인
2. 원격접속 대상 장비의 보안 업데이트 및 최신 백신 여부 확인
3. 원격접속 작업내역 모니터링 및 작업완료 후 보안예외 사항 원상복구 확인</t>
    <phoneticPr fontId="7" type="noConversion"/>
  </si>
  <si>
    <t>운영체제별 벤더사의 판매중지, 유지보수 서비스 중지로 인한 보안패치 불가 여부 확인</t>
    <phoneticPr fontId="7" type="noConversion"/>
  </si>
  <si>
    <t>1. 벤더사에서 서비스 중인 OS 사용을 원칙으로 하되, 판매가 중지되었을 경우(EOS), 보안 업데이트 적용이 불가능한 상태인지(EOL) 확인하여 장비 및 SW 교체 진행</t>
    <phoneticPr fontId="7" type="noConversion"/>
  </si>
  <si>
    <t>1. 긴급경보 공지에 해당되는 패치의 경우 필수적으로 실시해야 함
 - 보안 패치 미적용 예외의 경우 고객사 합의 필수이며, 패치 적용시 서비스 오류 등과 같은 명확한 사유가 없을 경우 예외 인정하지 않음</t>
    <phoneticPr fontId="7" type="noConversion"/>
  </si>
  <si>
    <t>유사 시 책임 추적을 위해 서버의 로그기록을 1년 이상 유지/관리하는지 확인
1. 접속로그, 권한상승로그, 이벤트 로그 등 보관여부 확인
2. 로그의 보관기간 확인
3. 로그 자체의 신뢰성 확인
 1) 공용계정에 대한 추적성이 보장되는지 여부 확인
 2) 서버 시간이 현재 시간과 정확하게 일치하는지 확인</t>
    <phoneticPr fontId="7" type="noConversion"/>
  </si>
  <si>
    <t>1. UNIX/Linux : 접속성공로그(wtmp), 접속실패로그(btmp, failedlogin(AIX)), 권한상승로그(sulog, secure, authlog), 시스템로그(syslog.log, messages) 보관
 ※ 접속자 계정, 접속자 IP, 접속시간 등을 확인할 수 있어야하며, 별도의 로깅 솔루션 도입시 해당 로그 파일 확인
2. 로그 1년 보관
3. 아래 1), 2) 모두 만족
 1) 공용 계정 미사용 또는 공용 계정 사용자 식별 가능
 2) NTP 서버 연동 등 서버 시간 동기화 설정으로 현재 시간과 일치
 ※ NTP서버는 내부 NTP서버를 사용할 것을 권장</t>
    <phoneticPr fontId="7" type="noConversion"/>
  </si>
  <si>
    <t>DB 존재시, DB內 개인정보, 대외비 등 중요 데이터 존재 여부 추가 확인</t>
    <phoneticPr fontId="7" type="noConversion"/>
  </si>
  <si>
    <t>중요도가 높은 대상들은 접속 가능시간 및 실행가능 명령어를 제한하도록 조치가 필요함</t>
    <phoneticPr fontId="7" type="noConversion"/>
  </si>
  <si>
    <t>유사 시 책임 추적을 위해 서버의 로그기록을 1년 이상 유지/관리하는지 확인
1. 접속로그, 권한상승로그, 이벤트 로그 등 보관여부 확인
2. 로그의 보관기간 확인
3. 로그 자체의 신뢰성 확인
 1) 공용계정에 대한 추적성이 보장되는지 여부 확인
 2) 서버 시간이 현재 시간과 정확하게 일치하는지 확인</t>
    <phoneticPr fontId="7" type="noConversion"/>
  </si>
  <si>
    <t>1. 긴급경보 공지에 해당되는 패치의 경우 필수적으로 실시해야 함
 - 보안 패치 미적용 예외의 경우 고객사 합의 필수이며, 패치 적용시 서비스 오류 등과 같은 명확한 사유가 없을 경우 예외 인정하지 않음</t>
    <phoneticPr fontId="7" type="noConversion"/>
  </si>
  <si>
    <t>1. 벤더사에서 서비스 중인 OS 사용을 원칙으로 하되, 판매가 중지되었을 경우(EOS), 보안 업데이트 적용이 불가능한 상태인지(EOL) 확인하여 장비 및 SW 교체 진행</t>
    <phoneticPr fontId="7" type="noConversion"/>
  </si>
  <si>
    <t>운영체제별 벤더사의 판매중지, 유지보수 서비스 중지로 인한 보안패치 불가 여부 확인</t>
    <phoneticPr fontId="7" type="noConversion"/>
  </si>
  <si>
    <t>서버 대역에서 외부 인터넷 접속 불가하도록 정책 적용여부 확인
 ※ 파일 전송이 가능한 사내 시스템 접속 차단
 1) 인터넷 관문 방화벽 정책과 서버 IP 대역을 방화벽 정책 자동 분석 시스템으로 점검
 2) 업무상 필요시 보안검토 후 IP, 서비스 포트 단위로 접속을 허용
 - IP/Port 단위가 아닌 IP/Port 대역 또는 전체 오픈이 필요한 경우 업무 담당 임원의 승인을 득함
 - 인터넷 접속이 허용된 서버는 자동화된 이상행위 탐지시스템을 적용하여 지속 모니터링
 3) 인터넷 미차단 서버 존재여부 및 인터넷 오픈 서버의 업무상 필요여부를 연 1회 이상 점검 내역 확인</t>
    <phoneticPr fontId="7" type="noConversion"/>
  </si>
  <si>
    <t>N</t>
    <phoneticPr fontId="7" type="noConversion"/>
  </si>
  <si>
    <t>1. UNIX/Linux : 접속성공로그(wtmp), 접속실패로그(btmp, failedlogin(AIX)), 권한상승로그(sulog, secure, authlog), 시스템로그(syslog.log, messages) 보관
 ※ 접속자 계정, 접속자 IP, 접속시간 등을 확인할 수 있어야하며, 별도의 로깅 솔루션 도입시 해당 로그 파일 확인
2. 로그 1년 보관
3. 아래 1), 2) 모두 만족
 1) 공용 계정 미사용 또는 공용 계정 사용자 식별 가능
 2) NTP 서버 연동 등 서버 시간 동기화 설정으로 현재 시간과 일치
 ※ NTP서버는 내부 NTP서버를 사용할 것을 권장</t>
    <phoneticPr fontId="7" type="noConversion"/>
  </si>
  <si>
    <t>1. 벤더사에서 서비스 중인 OS 사용을 원칙으로 하되, 판매가 중지되었을 경우(EOS), 보안 업데이트 적용이 불가능한 상태인지(EOL) 확인하여 장비 및 SW 교체 진행</t>
    <phoneticPr fontId="7" type="noConversion"/>
  </si>
  <si>
    <t>운영체제별 벤더사의 판매중지, 유지보수 서비스 중지로 인한 보안패치 불가 여부 확인</t>
    <phoneticPr fontId="7" type="noConversion"/>
  </si>
  <si>
    <t>1. 벤더사에서 서비스 중인 OS 사용을 원칙으로 하되, 판매가 중지되었을 경우(EOS), 보안 업데이트 적용이 불가능한 상태인지(EOL) 확인하여 장비 및 SW 교체 진행</t>
    <phoneticPr fontId="7" type="noConversion"/>
  </si>
  <si>
    <t>DB 존재시, DB內 개인정보, 대외비 등 중요 데이터 존재 여부 추가 확인</t>
    <phoneticPr fontId="7" type="noConversion"/>
  </si>
  <si>
    <t>중요서버 접속 가능시간 및 실행가능 명령어 제한 여부
 - 사전 승인된 작업 시간에만 서버 접속 허용 여부 확인
 - 권한별 허용 또는 차단 실행 명령어 리스트 확인</t>
    <phoneticPr fontId="7" type="noConversion"/>
  </si>
  <si>
    <t>서버 대역에서 외부 인터넷 접속 불가하도록 정책 적용여부 확인
 ※ 파일 전송이 가능한 사내 시스템 접속 차단
 1) 인터넷 관문 방화벽 정책과 서버 IP 대역을 방화벽 정책 자동 분석 시스템으로 점검
 2) 업무상 필요시 보안검토 후 IP, 서비스 포트 단위로 접속을 허용
 - IP/Port 단위가 아닌 IP/Port 대역 또는 전체 오픈이 필요한 경우 업무 담당 임원의 승인을 득함
 - 인터넷 접속이 허용된 서버는 자동화된 이상행위 탐지시스템을 적용하여 지속 모니터링
 3) 인터넷 미차단 서버 존재여부 및 인터넷 오픈 서버의 업무상 필요여부를 연 1회 이상 점검 내역 확인</t>
    <phoneticPr fontId="7" type="noConversion"/>
  </si>
  <si>
    <t>DB 존재시, DB內 개인정보, 대외비 등 중요 데이터 존재 여부 추가 확인</t>
    <phoneticPr fontId="7" type="noConversion"/>
  </si>
  <si>
    <t xml:space="preserve">양호 - MINLEN 값이 '8'이상인 경우
취약 - MINLEN 값이 '8'미만인 경우 </t>
  </si>
  <si>
    <t>양호 - HISTSIZE값이 '2'이상인 경우
취약 - HISTSIZE값이 '2'미만인 경우</t>
  </si>
  <si>
    <t>양호 - MINAGE값이 '1'이상인 경우
취약 - MINAGE값이 '1'미만인 경우</t>
  </si>
  <si>
    <t>양호 - /usr/lib/cron/cron.allow, /usr/lib/cron/cron.deny 파일의 소유자가 root, bin, adm 이고 퍼미션 GROUP, OTHER에 쓰기권한 (2, 3, 6, 7)이 존재하지 않는 경우
취약 - /usr/lib/cron/cron.allow, /usr/lib/cron/cron.deny 파일의 소유자가 root, bin, adm이 아니거나 퍼미션 GROUP, OTHER에 쓰기권한 (2, 3, 6, 7)이 존재하는 경우</t>
  </si>
  <si>
    <t>양호 
&lt;telnet, ssh, ftp&gt;
 - UAC, TCP Wrapper, ITA 중 하나라도 설정된 경우
&lt;Xmanager&gt;
 - Xmanager 서비스의 상태가 미 실행되거나 uac 3.4.5 버전 이상을 사용하거나 파일에 *로 시작하는 라인이 없는 경우
취약 
&lt;telnet, ssh, ftp&gt;
 - UAC, TCP Wrapper, ITA 모두 설정되어 있지 않은 경우
&lt;Xmanager&gt;
 - Xmanager 서비스의 상태가 실행 중 일 때 uac 3.4.5 버전 이상을 사용하지 않고 파일이 존재하지 않거나 파일에 *로 시작하는 라인이 있는 경우</t>
  </si>
  <si>
    <t>1. HISTSIZE값을 '2'이상으로 설정.
 - [#cat /etc/security/user]</t>
  </si>
  <si>
    <t>1. MAXAGE값을 '13'이하로 설정.
 - [#cat /etc/security/user]</t>
  </si>
  <si>
    <t>1. MINAGE값을 '1'이상으로 설정.
 - [#cat /etc/security/user]</t>
  </si>
  <si>
    <t>[#ls -al /etc/profile] 실행하여 소유자 [root], 퍼미션 [755]
[#awk -F ":" '{print $6"/.profile"}' /etc/passwd | xargs ls -al]실행하여 소유자 [소유자 계정], 퍼미션 [소유자 이외 쓰기 권한 없음]
※ 사용자 디렉토리내에 .sh_history 사용 시, 퍼미션 [600]
※ .sh_history 사용 안할 경우 소유자 [root], 퍼미션 [000]
* 시스템 계정 예외: daemon, bin, sys, adm, uucp, nuucp, lpd, lp, nobody, snapp, ipsec, sshd, guest</t>
    <phoneticPr fontId="7" type="noConversion"/>
  </si>
  <si>
    <t>1. 소유자 [root], 타 사용자[쓰기권한 없음] 확인
 - [#ls -l /etc/dfs/dfstab] 또는 
 - [#ls -l /etc/exports]</t>
    <phoneticPr fontId="7" type="noConversion"/>
  </si>
  <si>
    <t>1. 소유자 [root], 퍼미션 [600] 확인
 - [#ls -al /etc/inetd.conf]</t>
    <phoneticPr fontId="7" type="noConversion"/>
  </si>
  <si>
    <t>1. [접근 권한] : [/etc/profile] 소유자 [root], 퍼미션 [755]
2. [접근 권한] : [각계정의 홈디렉토리 .profile] 
 - 소유자 [소유자 계정], 퍼미션 [소유자 이외 쓰기 권한 없음]
3. [접근 권한] : [각 계정의 홈디렉토리 .sh_history]
 - 사용 시 : 소유자 [소유자 계정], 퍼미션 [600]
 - 미 사용 시 : 소유자 [root], 퍼미션 [000]</t>
  </si>
  <si>
    <t>1. 소유자 [root], 퍼미션 일반사용자(others) [쓰기권한 없음] 확인
 - [#ls -al /etc/security/user]</t>
    <phoneticPr fontId="7" type="noConversion"/>
  </si>
  <si>
    <t>1. 소유자 [root] 또는 [bin], [adm], 퍼미션 [소유자 이외 쓰기 권한 없음]
 - [#ls -al /usr/lib/cron/cron.allow],
 - [#ls -al /usr/lib/cron/cron.deny]</t>
    <phoneticPr fontId="7" type="noConversion"/>
  </si>
  <si>
    <t>1. [공유 디렉토리], [권한]이 적정한지 확인
 - [#showmount -e hostname]
 - [#cat /etc/exports]
 - [#cat /etc/dfs/dfstab]</t>
    <phoneticPr fontId="7" type="noConversion"/>
  </si>
  <si>
    <t>1. 불필요서비스 주석(#) 또는 중지 확인
 - [#cat /etc/inetd.conf]
 - [#rpcinfo -p]
 - [#ps -ef &lt;불필요 서비스&gt;]
 - [netstat -an &lt;불필요 서비스&gt;]
 - [lssrc -a | grep &lt;불필요 서비스&gt;]
※ 불필요 서비스 : bootp, chargen, cmsd, daytime, discard, echo, finger, netstat, rusersd, sprayd, systat, tftp, time, ttdbserverd, uucp</t>
    <phoneticPr fontId="7" type="noConversion"/>
  </si>
  <si>
    <t>1. [community] 값에 private/public 등 default 값이 아닌지 확인
 - [#cat /etc/snmpd.conf]
* /etc/snmpdv3.conf 파일은 /usr/sbin/snmpd 파일이 snmpdv3ne 파일을 링크 하고 있을 때 사용 됨. 
* 현재 서비스되는 snmp 버전의 설정 값 확인(미사용 시 해당 사항 없음)</t>
    <phoneticPr fontId="7" type="noConversion"/>
  </si>
  <si>
    <t>양호
 - Anonymous FTP가 설정되어 있지 않는 경우
 - [anonymous_enable] 설정이 'NO'로 되어있는 경우
취약
 - Anonymous FTP가 설정되어 있는 경우 
 - [anonymous_enable] 설정이 'YES'로 되어있는 경우</t>
    <phoneticPr fontId="7" type="noConversion"/>
  </si>
  <si>
    <t xml:space="preserve">1. root로 로그인한 후 [PATH 환경 변수]에 .(현재 디렉토리)가 포함되어 있는지 확인
 - [#echo $PATH]
[AIX]
sh : /etc/profile → $HOME/.profile
bsh : /etc/profile → $HOME/.profile
ksh : /etc/profile → $HOME/.profile
csh : /etc/csh.login → $HOME/.cshrc
bash : /etc/profile → $HOME/.bash_profile → $HOME/.bash_login → $HOME/.profile </t>
    <phoneticPr fontId="7" type="noConversion"/>
  </si>
  <si>
    <t>양호 - 출력된 PATH에 '.'이 포함되어 있지 않은 경우
취약 - 출력된 PATH에 '.'이 포함되어 있는 경우</t>
    <phoneticPr fontId="7" type="noConversion"/>
  </si>
  <si>
    <t>1. 소유자 [root], 퍼미션 [600] 확인
 - [#ls -al /var/adm/wtmp*]
2. 소유자 [root], 퍼미션 [600] 확인
 - [#ls -al /etc/security/failedlogin]
3. 소유자 [root]. 권한 [600] 확인
 - [#ls -al /var/adm/sulog]
4. 소유자 [root], 퍼미션 [644] 확인
 - [#ls -al /var/adm/syslog/syslog.log]</t>
    <phoneticPr fontId="7" type="noConversion"/>
  </si>
  <si>
    <t>1. [접근 권한] : 소유자 [root],  퍼미션 [600]
2. [접근 권한] : 소유자 [root],  퍼미션 [600]
3. [접근 권한] : 소유자 [root],  퍼미션 [600]
4. [접근 권한] : 소유자 [root],  퍼미션 [644]
* 설정환경에 따라 로그 위치가 다를 경우 /etc/syslog.conf 에서 설정된 위치의 로그를 확인</t>
    <phoneticPr fontId="7" type="noConversion"/>
  </si>
  <si>
    <t>양호 
* tcb 모드
 - Allow Null Password : 체크 안 됨
 - Use Restriction Rules : 체크 됨 
* 일반 모드
 - PASSWORD_MIN_LOWER_CASE_CHARS: 1이상
 - PASSWORD_MIN_DIGIT_CHARS : 1이상
 - PASSWORD_MIN_SPECIAL_CHARS : 1이상
취약 
* tcb 모드
 - Allow Null Password : 체크 됨
 - Use Restriction Rules : 체크 안 됨
* 일반 모드
 - PASSWORD_MIN_LOWER_CASE_CHARS : 1미만
 - PASSWORD_MIN_DIGIT_CHARS : 1미만
 - PASSWORD_MIN_SPECIAL_CHARS : 1미만 
 - 또는 설정되어 있지 않을 경우</t>
    <phoneticPr fontId="7" type="noConversion"/>
  </si>
  <si>
    <t>1. [MIN_PASSWORD_LENGTH] 값 확인
 - [#cat /etc/default/security]</t>
    <phoneticPr fontId="7" type="noConversion"/>
  </si>
  <si>
    <t>1. [PASSWORD_HISTORY_DEPTH] 값 확인
 - [#cat /etc/default/security]</t>
    <phoneticPr fontId="7" type="noConversion"/>
  </si>
  <si>
    <t>[tcb 모드](Default, Local) 
1. 아래의 항목 확인
[SAM → Auditing and Security → System Security Policies → Password Format Policies]
 - Allow Null Password
 - Use Restriction Rules
* 시스템 계정 예외 : daemon, bin, sys, adm, uucp, nuucp, lpuname, nobody, smbnull
[일반 모드]
1. [#cat /etc/default/security] 를 통해 아래 항목 확인
 - PASSWORD_MIN_LOWER_CASE_CHARS
 - PASSWORD_MIN_DIGIT_CHARS 
 - PASSWORD_MIN_SPECIAL_CHARS
 * PASSWORD_MIN_LOWER_CASE_CHARS : 패스워드 내 영소문자의 최소 사용 횟수
 * PASSWORD_MIN_DIGIT_CHARS : 패스워드 내 숫자의 최소 사용 횟수
 * PASSWORD_MIN_SPECIAL_CHARS : 패스워드 내 특수문자의 최소 사용 횟수</t>
    <phoneticPr fontId="7" type="noConversion"/>
  </si>
  <si>
    <t>양호 
&lt;tcb 모드&gt;
 - sam에서 Time Between Password Changes 값이 '7'이상인 경우
&lt;일반 모드&gt;
 - PASSWORD_MINDAYS값이 '7'이상인 경우
 - /etc/shadow 파일에서 '4'번째 토큰이 '7'보다 크게 설정
취약 
&lt;tcb 모드&gt;
 - sam에서 Time Between Password Changes 값이 '7'미만인 경우
&lt;일반 모드&gt;
 - PASSWORD_MINDAYS값이 '7'미만이거나 미존재하는 경우
 - /etc/shadow 파일에서 '4'번째 토큰이 '7'보다 작거나 미설정인 경우</t>
    <phoneticPr fontId="7" type="noConversion"/>
  </si>
  <si>
    <t>중요서버 복합인증 또는 비정상 접속시도 모니터링 여부
 - 로그인 시 FIDO, OTP 등 복합인증 적용 
 - 복합인증 미적용 시 비정상 접속시도 모니터링 적용
* 개인 외부 이메일을 통한 복합인증 금지</t>
  </si>
  <si>
    <t>[tcb 모드](Default, Local) 
SAM 에서 사용자 환경 설정 정보 확인 
* 시스템 계정 예외 : daemon, bin, sys, adm, uucp, nuucp, lpuname, nobody, smbnull
[일반 모드](Default, Local) 
1. PASSWORD_MINDAYS값 확인
 - [#cat /etc/default/security]
2. 4번째 토큰 값 확인
 - [#cat /etc/shadow] 실행</t>
    <phoneticPr fontId="7" type="noConversion"/>
  </si>
  <si>
    <t>[tcb 모드]
 - [SAM → Auditing and Security → System Security Policies → General user account policy] 확인
 - [Unsuccessful login try allowed] 5 이하인지 확인
[일반 모드]
 - [#cat /etc/default/security]에서 AUTH_MAXTRIES 값이 5 이하인지 확인
 * Trust Mode 설정 
/usr/lbin/tsconvert
 * Trust Mode 설정 해제
/usr/lbin/tsconvert -r
 * Trust Mode 설정 여부 확인방법
 - /etc/passwd 파일의 2nd column 이 "*"로 표시
 - /tcb 디렉토리 존재</t>
    <phoneticPr fontId="7" type="noConversion"/>
  </si>
  <si>
    <t>중요서버 접속 가능시간 및 실행가능 명령어 제한 여부
 - 사전 승인된 작업 시간에만 서버 접속 허용 여부 확인
 - 권한별 허용 또는 차단 실행 명령어 리스트 확인</t>
  </si>
  <si>
    <t>[tcb 모드](Default, Local)
1. Unsuccessful login try allowed 값 확인
 - [SAM → Auditing and Security → System Security Policies → General user account policy]
* 시스템 계정 예외 : daemon, bin, sys, adm, uucp, nuucp, lpuname, nobody, smbnull
[일반 모드]
1. AUTH_MAXTRIES 값 확인
 - [#cat /etc/default/security]</t>
    <phoneticPr fontId="7" type="noConversion"/>
  </si>
  <si>
    <t>1. 소유자 [root], 퍼미션 [400] 확인
 - [#ls -al /etc/shadow]
2. 소유자 [root], 퍼미션 [400] 확인
 - [#ls -al /etc/tcb/file/auth]
 * 시스템 관리 계정(adm, bin, sys 등)은 소유자 [root] 적용 제외
3. 계정의 패스워드 해시값이 존재하는 지 확인
 - [#cat /etc/passwd]</t>
    <phoneticPr fontId="7" type="noConversion"/>
  </si>
  <si>
    <t>1. 소유자 [root] 또는 [sys], [bin], 퍼미션 [700] 확인
 - [#ls -l /usr/bin/last]
2. 소유자 [root] 퍼미션 [700] 확인
 - [#ls -l /usr/sbin/ifconfig]
* 링크파일인 경우 링크된 위치의 명령어 권한 확인</t>
    <phoneticPr fontId="7" type="noConversion"/>
  </si>
  <si>
    <t>1. 소유자 [root], 퍼미션 [755]
 - [#ls -al /etc/profile]
2. 소유자 [소유자 계정], 퍼미션 [소유자 이외 쓰기 권한 없음]
 - [#awk -F ":" '{print $6"/.profile"}' /etc/passwd | xargs ls -al] 실행
※ 사용자 디렉토리내
1. &lt; .sh_history 사용 시 &gt;
 - 퍼미션 [600]
2. &lt; .sh_history 미 사용 시 &gt;
 - 파일 생성 후 소유자 [root], 퍼미션 [000]
* 시스템 계정 예외 : daemon, bin, sys, adm, uucp, nuucp, lpuname, nobody, smbnull</t>
    <phoneticPr fontId="7" type="noConversion"/>
  </si>
  <si>
    <t>1. 소유자 [root], 퍼미션 [600] 확인
 - [#ls -al /etc/inetd.conf] 실행</t>
    <phoneticPr fontId="7" type="noConversion"/>
  </si>
  <si>
    <t>1. 소유자 [root], 퍼미션 [600] 확인
 - [#ls -al /etc/ftpd/ftpusers] 실행
 * 파일위치 또는 파일명이 위 기준과 상이할 경우 해당 위치 또는 ftp 접근제어 파일의 권한 확인</t>
    <phoneticPr fontId="7" type="noConversion"/>
  </si>
  <si>
    <t>1. 소유자 [root], 타 사용자 [쓰기권한 없음] 확인
 - [#ls -l /etc/dfs/dfstab] 또는,
 - [#ls -l /etc/exports] 실행</t>
    <phoneticPr fontId="7" type="noConversion"/>
  </si>
  <si>
    <t xml:space="preserve">1. 소유자 [root], 퍼미션 일반사용자(others) [쓰기권한 없음] 확인
 - [#ls -al /etc/default/security] 실행 </t>
    <phoneticPr fontId="7" type="noConversion"/>
  </si>
  <si>
    <t xml:space="preserve">1. 소유자 [root] 또는 [bin], [adm], 퍼미션 [소유자 이외 쓰기 권한 없음] 확인
 - [#ls -al /usr/lib/cron/cron.allow] 실행 </t>
    <phoneticPr fontId="7" type="noConversion"/>
  </si>
  <si>
    <t xml:space="preserve">1. [공유 디렉토리], [권한]이 적정한지 확인
 - [#showmount -e hostname],
 - [#cat /etc/exports] 또는
 - [#catl /etc/dfs/dfstab] 확인
    </t>
    <phoneticPr fontId="7" type="noConversion"/>
  </si>
  <si>
    <t>판단: OK/BAD
[양호 조건]
Guest 계정 사용안함 설정됨
[취약 조건]
Guest 계정 사용함 설정됨</t>
  </si>
  <si>
    <t>1. [제어판 → 관리 도구 → 컴퓨터 관리 → 시스템 도구 → 로컬 사용자 및 그룹 → 사용자] : [컴퓨터/도메인을 관리하도록 기본 제공된 계정] 확인
또는
1. [시작메뉴 → 실행 → cmd]에서 [secedit /export /cfg c:\local.cfg]를 통해 설정 파일 추출
2. [c:\local.cfg] 내의 [NewAdministratorName] 값이 [Administrator] 인지 확인</t>
  </si>
  <si>
    <t>1. community 값에 private/public 등 default 값이 아닌지 확인
 - [#cat /etc/snmpd.conf]
※ 현재 서비스되는 snmp 버전의 설정 값 확인(미사용 시 해당 사항 없음)</t>
    <phoneticPr fontId="7" type="noConversion"/>
  </si>
  <si>
    <t>1. 불필요 서비스 주석(#) 또는 중지 확인
 - [#cat /etc/inetd.conf],
 - [#rpcinfo -p],
 - [#ps -ef &lt;불필요 서비스&gt;],
 - [#netstat -an &lt;불필요 서비스&gt;] 확인  
※ 불필요 서비스 : bootp, chargen, cmsd, daytime, discard, echo, finger, netstat, rusersd, sprayed, systat, tftp, time, ttdbserverd, uucp</t>
    <phoneticPr fontId="7" type="noConversion"/>
  </si>
  <si>
    <t>1, 2 [접근 권한] : 소유자 [root],  퍼미션[600]
3 [접근 권한] : 소유자 [root],  퍼미션[644]
* 설정환경에 따라 로그 위치가 다를 경우 /etc/syslog.conf에서 설정된 위치의 로그를 확인 함</t>
    <phoneticPr fontId="7" type="noConversion"/>
  </si>
  <si>
    <t xml:space="preserve">* Information 항목으로 최근 패치 리스트 출력하는 경우 </t>
  </si>
  <si>
    <t>양호 
&lt;telnet, ssh, ftp&gt;
 - UAC, TCP Wrapper, ITA 중 하나라도 설정된 경우
&lt;Xmanager&gt;
 - Xmanager 서비스의 상태가 미 실행되거나 uac 3.4.5 버전 이상을 사용하거나 파일에 *로 시작하는 라인이 없는 경우
취약 
&lt;telnet, ssh, ftp&gt;
 - UAC, TCP Wrapper, ITA 모두 설정되어 있지 않은 경우 
&lt;Xmanager&gt;
 - Xmanager 서비스의 상태가 실행 중 일 때 uac 3.4.5 버전 이상을 사용하지 않고 파일이 존재하지 않거나 파일에 *로 시작하는 라인이 있는 경우</t>
    <phoneticPr fontId="7" type="noConversion"/>
  </si>
  <si>
    <t>1. [제어판 → 관리 도구 → 로컬 보안 정책 → 계정 정책 → 암호 정책] : [암호는 복잡성을 만족해야 함] 확인
또는
1. [시작메뉴 → 실행 → cmd]에서 [secedit /export /cfg c:\local.cfg]를 통해 설정 파일 추출
2. [c:\local.cfg] 내의 [PasswordComplexity] 값이 1인지 확인</t>
  </si>
  <si>
    <t>1. [제어판 → 관리 도구 → 로컬 보안 정책 → 계정 정책 → 암호 정책] : [최소 암호 길이] 확인
또는
1. [시작메뉴 → 실행 → cmd]에서 [secedit /export /cfg c:\local.cfg]를 통해 설정 파일 추출
2. [c:\local.cfg] 내의 [MinimumPasswordLength] 값이 8이상인지 확인</t>
  </si>
  <si>
    <t>1. MINALPHA, MINDIGIT, MINSPECIAL, WHITESPACE 값을 확인
 - [#cat /etc/default/passwd]</t>
    <phoneticPr fontId="7" type="noConversion"/>
  </si>
  <si>
    <t>1. PASSLENGTH값을 확인
 - [#cat /etc/default/passwd]</t>
    <phoneticPr fontId="7" type="noConversion"/>
  </si>
  <si>
    <t>1. HISTORY의 값을 확인
 - [#cat /etc/default/passwd]</t>
    <phoneticPr fontId="7" type="noConversion"/>
  </si>
  <si>
    <t>1. MAXWEEKS 값을 확인
 - [#cat /etc/default/passwd]
2. 5번째 토큰 값을 확인
 - [#cat /etc/shadow | awk -F: '($5 &gt; 90 || $5 == ""){print $0}'] 실행</t>
    <phoneticPr fontId="7" type="noConversion"/>
  </si>
  <si>
    <t>1. MINWEEKS 값을 확인
 - [#cat /etc/default/passwd]
2. 4번째 토큰 값을 확인
 - [#cat /etc/shadow]</t>
    <phoneticPr fontId="7" type="noConversion"/>
  </si>
  <si>
    <t>1. RETRIES 값을 확인
 - [#cat /etc/default/login]
2. DISABLETIME값을 확인
 - [#cat /etc/default/login]
3. LOCK_AFTER_RETRIES값을 확인
 - [#cat /etc/security/policy.conf]
4. [usermod -K lock_after_retries=yes &lt;계정명&gt;] : 계정별 잠금 정책 설정</t>
    <phoneticPr fontId="7" type="noConversion"/>
  </si>
  <si>
    <t>1. 소유자 [root], 퍼미션 [400] 확인
 - [#ls -al /etc/shadow]
 - [#ls -al /etc/security/passwd]
2. 계정의 패스워드 해시값이 존재하는 지 확인
 - [#cat /etc/passwd]</t>
    <phoneticPr fontId="7" type="noConversion"/>
  </si>
  <si>
    <t>1. 소유자 [root], 퍼미션 [644] 또는 [600] 확인
 - [#ls -al /etc/passwd]
 - [#ls -al /etc/group]</t>
    <phoneticPr fontId="7" type="noConversion"/>
  </si>
  <si>
    <t>1. 소유자 [root], 퍼미션 [644] 또는 [600] 확인
 - [#ls -al /etc/hosts]</t>
    <phoneticPr fontId="7" type="noConversion"/>
  </si>
  <si>
    <t>1. 소유자 [root], 퍼미션 [644] 또는 [600] 확인
 - #ls -al /etc/services</t>
    <phoneticPr fontId="7" type="noConversion"/>
  </si>
  <si>
    <t>1. [접근 권한] : 소유자 [root],  퍼미션[644] 또는 [600]</t>
    <phoneticPr fontId="7" type="noConversion"/>
  </si>
  <si>
    <t>1. 소유자 [root] 또는 [sys], [bin], 퍼미션 [700] 확인
 - #ls -l /usr/bin/last
2. 소유자 [root] 퍼미션 [700] 확인
 - #ls -l /usr/sbin/ifconfig
 * 링크파일인 경우 링크된 위치의 명령어 권한 확인</t>
    <phoneticPr fontId="7" type="noConversion"/>
  </si>
  <si>
    <t>1. [#ls -al /etc/profile] 실행하여 소유자 [root], 퍼미션 [755]
 [#awk -F ":" '{print $6"/.profile"}' /etc/passwd | xargs ls -al] 실행하여
 소유자 [소유자 계정], 퍼미션 [소유자 이외 쓰기 권한 없음]
※ 사용자 디렉토리내에 .sh_history 사용 시, 퍼미션 [600]
.sh_history 사용 안할 경우 소유자 [root], 퍼미션 [000]
* 시스템 계정 예외 : daemon, bin, sys, adm, uucp, nuucp, lp, nobody, nobody4, listen</t>
    <phoneticPr fontId="7" type="noConversion"/>
  </si>
  <si>
    <t>1. 소유자 [root], 퍼미션 [600] 확인
 - [#ls -al /etc/inetd.conf]</t>
    <phoneticPr fontId="7" type="noConversion"/>
  </si>
  <si>
    <t>1. 소유자 [root], 퍼미션 [600] 확인
 - [#ls -al /etc/ftpusers]
 - [#ls -al /etc/ftpd/ftpusers]</t>
    <phoneticPr fontId="7" type="noConversion"/>
  </si>
  <si>
    <t>1. 소유자 [root], 타 사용자 [쓰기권한 없음] 확인
 - [#ls -l /etc/dfs/dfstab] 또는
 - [#ls -l /etc/exports]</t>
    <phoneticPr fontId="7" type="noConversion"/>
  </si>
  <si>
    <t>1. 소유자 [root], 퍼미션 일반사용자(others) [쓰기권한 없음] 확인
 - [#ls -al /etc/default/passwd]</t>
    <phoneticPr fontId="7" type="noConversion"/>
  </si>
  <si>
    <t>양호 - umask 값이 '022' 또는 '027'인 경우
취약 - umask 값이 '022' 또는 '027'이 아닌 계정이 존재하는 경우</t>
    <phoneticPr fontId="7" type="noConversion"/>
  </si>
  <si>
    <t>1. umask 값을 '022' 또는 '027' 으로 설정</t>
    <phoneticPr fontId="7" type="noConversion"/>
  </si>
  <si>
    <t>1. [공유 디렉토리], [권한]이 적정한지 확인
 - [#showmount -e hostname],
 - [#cat /etc/exports] 또는 [#catl /etc/dfs/dfstab]</t>
    <phoneticPr fontId="7" type="noConversion"/>
  </si>
  <si>
    <t xml:space="preserve">snmp 프로세스가 동작중 일 때 다음 파일 확인 :
 - [#cat /etc/snmp/conf/snmpd.conf],
 - [#cat /etc/sma/snmp/snmpd.conf],
 - [#cat /etc/net-snmp/snmp/snmpd.conf]
</t>
    <phoneticPr fontId="7" type="noConversion"/>
  </si>
  <si>
    <t>1. UNIX/Linux : 접속성공로그(wtmp), 접속실패로그(btmp, failedlogin(AIX)), 권한상승로그(sulog, secure, authlog), 시스템로그(syslog.log, messages) 보관
 ※ 접속자 계정, 접속자 IP, 접속시간 등을 확인할 수 있어야하며, 별도의 로깅 솔루션 도입시 해당 로그 파일 확인
2. 로그 1년 보관
3. 아래 1), 2) 모두 만족
 1) 공용 계정 미사용 또는 공용 계정 사용자 식별 가능
 2) NTP 서버 연동 등 서버 시간 동기화 설정으로 현재 시간과 일치
 ※ NTP서버는 내부 NTP서버를 사용할 것을 권장</t>
    <phoneticPr fontId="7" type="noConversion"/>
  </si>
  <si>
    <t>유사 시 책임 추적을 위해 서버의 로그기록을 1년 이상 유지/관리하는지 확인
1. 접속로그, 권한상승로그, 이벤트 로그 등 보관여부 확인
2. 로그의 보관기간 확인
3. 로그 자체의 신뢰성 확인
 1) 공용계정에 대한 추적성이 보장되는지 여부 확인
 2) 서버 시간이 현재 시간과 정확하게 일치하는지 확인</t>
    <phoneticPr fontId="7" type="noConversion"/>
  </si>
  <si>
    <t>양호 - /etc/dfs/dfstab 또는 /etc/exports 파일의 소유자가 root이고, 퍼미션 OTHER에 쓰기권한(2, 3, 6, 7)이 존재하지 않는 경우
취약 - /etc/dfs/dfstab 또는 /etc/exports 파일의 소유자가 root가 아니거나, 퍼미션 OTHER에 쓰기권한(2, 3, 6, 7)이 존재함.</t>
  </si>
  <si>
    <t>양호 - /usr/lib/cron/cron.allow, /usr/lib/cron/cron.deny 파일의 소유자가 root, bin, adm이고 퍼미션 GROUP, OTHER에 쓰기권한(2, 3, 6, 7)이 존재하지 않는 경우
취약 - /usr/lib/cron/cron.allow, /usr/lib/cron/cron.deny 파일의 소유자가 root, bin, adm이 아니거나, 퍼미션 GROUP, OTHER에 쓰기권한(2, 3, 6, 7)이 존재함.</t>
  </si>
  <si>
    <t xml:space="preserve">양호 
 - RETRIES 값이 '1~5'사이의 값으로 설정되어 있는 경우
 - DISABLETIME 값이 '1800'이상으로 설정되어 있는 경우 
 - LOCK_AFTER_RETRIES 값이 'YES'로 설정되어 있는 경우 
취약 
 - RETRIES 값이 '0' 또는 '6'이상으로 설정되어 있거나, 존재하지 않는 경우
 - DISABLETIME 값이 '1800'미만으로 설정되어 있거나, 존재하지 않는 경우 
 - LOCK_AFTER_RETRIES 값이 'YES'로 설정되어 있지 않거나, 존재하지 않는 경우 </t>
    <phoneticPr fontId="7" type="noConversion"/>
  </si>
  <si>
    <t>양호
 - /etc/passwd 파일에서 root 계정만 UID, GID '0'을 가진 경우
 - /etc/group 파일에서 gid가 '0'인 그룹에 포함된 계정이 없는 경우
 * 시스템 계정은 제외
취약
 - root 계정 외 다른 계정이 UID, GID '0'을 가진 경우
 - /etc/group 파일에서 gid가 '0'인 그룹에 포함된 계정이 있는 경우</t>
    <phoneticPr fontId="7" type="noConversion"/>
  </si>
  <si>
    <t>양호 
 - /etc/profile 파일의 소유자가 root 이고 퍼미션이 '755'인 경우
 - 사용자 홈 디렉토리내 .sh_history 파일의 사이즈가 '0'이 아닐 때, 소유자가 소유자 계정이거나 root 인 경우
 - 사용자 홈 디렉토리내 .sh_history 파일의 사이즈가 '0'이 아닐 때, 퍼미션이 '600' 이하인 경우
 - 사용자 홈 디렉토리내 .sh_history 파일의 사이즈가 '0'일 때, 소유자가 root인 경우
 - 사용자 홈 디렉토리내 .sh_history 파일의 사이즈가 '0'일 때, 퍼미션이 '000'인 경우
 - 사용자 홈 디렉토리내 .sh_history 파일이 존재하는 경우
 - 사용자 홈 디렉토리내 .profile 파일의 퍼미션 GROUP, OTHER에 쓰기 권한이 존재하지 않는 경우
 - 사용자 홈 디렉토리내 .profile 파일의 소유자가 소유자 계정이거나 root인 경우
취약 
 - /etc/profile 파일의 소유자가 root 가 아니거나 퍼미션 '755'가 아닌 경우
 - 사용자 홈 디렉토리내 .sh_history 파일의 사이즈가 '0'이 아닐 때, 소유자가 소유자 또는 root 가 아닌 경우
 - 사용자 홈 디렉토리내 .sh_history 파일의 사이즈가 '0'이 아닐 때, 퍼미션이 '600' 초과인 경우
 - 사용자 홈 디렉토리내 .sh_history 파일의 사이즈가 '0'일 때, 소유자가 root가 아닌 경우
 - 사용자 홈 디렉토리내 .sh_history 파일의 사이즈가 '0'일 때, 퍼미션이 '000'이 아닌 경우
 - 사용자 홈 디렉토리내 .sh_history 파일이 존재하지 않는 경우
 - 사용자 홈 디렉토리내 .profile 파일의 퍼미션 GROUP, OTHER에 쓰기 권한이 존재하는 경우
 - 사용자 홈 디렉토리내 .profile 파일의 소유자가 root를 제외한 소유자 계정이 아닌 경우</t>
    <phoneticPr fontId="7" type="noConversion"/>
  </si>
  <si>
    <t xml:space="preserve">명령어를 실행하여 가장 최근 패치리스트를 출력 (INFORMATION 항목)
[Solaris 9,10 버전]
 - [#showrev -p | grep -h PATCH_INFO_ /var/sadm/pkg/SUNW*/pkginfo | sed -e 's/ From:.*//' | sed -e 's/  / /' | sort -u | sort  -r -t' ' -k 7  -M -k 3 -k 4 -k 5 | head -n 5]
[Solaris 11버전]
 - [#pkg list -nv | grep 'i--' | sed -e 's/ i--//' | awk -F'@' '{printf "%s %s\n",$1,$2 }' | awk -F':' '{printf "%s:%s %s\n",$1,$2, $3 }' | sort -r -t' ' -k 3 | head -n 5]
</t>
    <phoneticPr fontId="7" type="noConversion"/>
  </si>
  <si>
    <t>양호 - 출력된 PATH에 '.'이 포함되어 있지 않은 경우
취약 - 출력된 PATH에 '.'이 포함되어 있는 경우</t>
    <phoneticPr fontId="7" type="noConversion"/>
  </si>
  <si>
    <t xml:space="preserve">양호
 - Session Timeout 값이 '1800' 이하로 설정된 경우.
 - C쉘인 경우 : autologout 값이 '30' 이하로 설정된 경우
취약
 - Session Timeout 값이 '1800' 초과로 설정된 경우.
 - C쉘인 경우 : autologout 값이 '30' 초과로 설정된 경우 </t>
  </si>
  <si>
    <t>양호 - SNMP Community 이름이 public, private 이 아닌 경우 (영, 수, 특문 혼합하여 8자리 이상)
취약 - SNMP Community 이름이 public, private 인 경우</t>
  </si>
  <si>
    <t>양호 - 화면 보호기에 암호가 설정되어있으며, 대기 시간이 10분 이하인 경우
취약
 - 화면 보호기가 설정되어 있지 않은 경우
 - 암호를 사용하지 않거나 대기시간이 10분 초과인 경우</t>
  </si>
  <si>
    <t>양호 - telnet, ftp, ssh가 기동중이면서 배너에 내용이 존재하는 경우
취약 - telnet, ftp, ssh가 기동중이면서 배너에 내용이 존재하지 않은 경우</t>
    <phoneticPr fontId="7" type="noConversion"/>
  </si>
  <si>
    <t>양호 - OTP 설정이 되어 있거나, sshd 프로세스가 있는 경우
취약 - OTP 설정이 되어있지 않고, sshd 프로세스가 없는 경우</t>
    <phoneticPr fontId="7" type="noConversion"/>
  </si>
  <si>
    <t>양호 - 출력된 PATH에 .(현재 디렉토리)가 포함되어 있지 않은 경우
취약 - 출력된 PATH에 .(현재 디렉토리)가 포함되어 있는 경우</t>
    <phoneticPr fontId="7" type="noConversion"/>
  </si>
  <si>
    <t>양호
 - /etc/passwd 파일에서 root 계정만 UID, GID '0'을 가진 경우
 - /etc/group 파일에서 gid가 '0'인 그룹에 포함된 계정이 없는 경우
취약
 - root 계정 외 다른 계정이 UID, GID '0'을 가진 경우
 - /etc/group 파일에서 gid가' 0'인 그룹에 포함된 계정이 있는 경우
* 시스템 계정은 제외</t>
    <phoneticPr fontId="7" type="noConversion"/>
  </si>
  <si>
    <t>양호 - MIN_PASSWORD_LENGTH가 '8'이상인 경우
취약 - MIN_PASSWORD_LENGTH가 '8'미만인 경우</t>
    <phoneticPr fontId="7" type="noConversion"/>
  </si>
  <si>
    <t>양호 - PASSWORD_HISTORY_DEPTH가 '2'이상인 경우
취약 - PASSWORD_HISTORY_DEPTH가 '2'미만인 경우</t>
    <phoneticPr fontId="7" type="noConversion"/>
  </si>
  <si>
    <t>양호 
&lt;tcb 모드&gt;
 - [Password Expiration Time] 값이 '1'이상 '90'이하인 경우
&lt;일반 모드&gt;
 - [PASSWORD_MAXDAYS] 값이 '1'이상 '90'이하인 경우
 - /etc/shadow 파일에서 '5'번째 토큰이 '90'보다 작게 설정된 경우
취약 
&lt;tcb 모드&gt;
 - [Password Expiration Time] 값이 '0'이거나, '90'초과인 경우
&lt;일반 모드&gt;
 - [PASSWORD_MAXDAYS] 값이 '0'이거나, '90'초과인 경우
 - /etc/shadow 파일에서 '5'번째 토큰이 '90'보다 크거나 미설정인 경우</t>
    <phoneticPr fontId="7" type="noConversion"/>
  </si>
  <si>
    <t>양호 
&lt;tcb 모드&gt;
 - Unsuccessful login try allowed가 '5'이하인 경우
&lt;일반 모드&gt;
 - AUTH_MAXTRIES가 '5'이하인 경우
취약 
&lt;tcb 모드&gt;
 - Unsuccessful login try allowed가 '0'이거나 '5'초과인 경우
&lt;일반 모드&gt;
 - AUTH_MAXTRIES가 '0'이거나 '5'초과인 경우
 - AUTH_MAXTRIES가 미설정인 경우</t>
    <phoneticPr fontId="7" type="noConversion"/>
  </si>
  <si>
    <t>양호 - /etc/passwd, /etc/group 파일의 소유자가 root 이고 퍼미션이 '644' 또는 '600'인 경우
취약 - /etc/passwd, /etc/group 파일의 소유자가 root가 아니거나, 퍼미션이 '644' 또는 '600'이 아닌 경우</t>
    <phoneticPr fontId="7" type="noConversion"/>
  </si>
  <si>
    <t>양호 
 - /etc/shadow 파일의 소유자가 root이고, 퍼미션이 '400'인 경우
 - /tcb/files/auth 폴더의 소유자가 root이고, 퍼미션이 '400'인 경우
취약
 - /etc/shadow 파일의 소유자가 root가 아니거나, 퍼미션이 '400'이 아닌 경우
 - /tcb/files/auth 폴더의 소유자가 root가 아니거나, 퍼미션이 '400'이 아닌 경우</t>
    <phoneticPr fontId="7" type="noConversion"/>
  </si>
  <si>
    <t>양호 
 - /usr/bin/last 파일의 소유자가 root, sys, bin이고, 퍼미션이 '700'인 경우
 - /usr/sbin/ifconfig 파일의 소유자가 root이고, 퍼미션이 '700'인 경우
취약 
 - /usr/bin/last 파일의 소유자가 root, sys, bin이 아니거나, 퍼미션이 '700'이 아닌 경우
 - /usr/sbin/ifconfig 파일의 소유자가 root가 아니거나, 퍼미션이 '700'이 아닌 경우</t>
    <phoneticPr fontId="7" type="noConversion"/>
  </si>
  <si>
    <t>양호 
 - /etc/profile 파일의 소유자가 root 이고, 퍼미션이 '755'인 경우
 - 사용자 홈 디렉토리내 .sh_history 파일의 사이즈가 '0'이 아닐 때, 소유자가 소유자 계정이거나 root인 경우
 - 사용자 홈 디렉토리내 .sh_history 파일의 사이즈가 '0'이 아닐 때, 퍼미션이 '600' 이하인 경우
 - 사용자 홈 디렉토리내 .sh_history 파일의 사이즈가 '0'일 때, 소유자가 root인 경우
 - 사용자 홈 디렉토리내 .sh_history 파일의 사이즈가 '0'일 때, 퍼미션이 '000'인 경우
 - 사용자 홈 디렉토리내 .sh_history 파일이 존재하는 경우
 - 사용자 홈 디렉토리내 .profile 파일의 퍼미션 GROUP, OTHER에 쓰기 권한이 존재하지 않는 경우
 - 사용자 홈 디렉토리내 .profile 파일의 소유자가 소유자 계정이거나 root인 경우
취약 
 - /etc/profile 파일의 소유자가 root 가 아니거나, 퍼미션 '755'가 아닌 경우
 - 사용자 홈 디렉토리내 .sh_history 파일의 사이즈가 '0'이 아닐 때, 소유자가 소유자 또는 root 가 아닌 경우
 - 사용자 홈 디렉토리내 .sh_history 파일의 사이즈가 '0'이 아닐 때, 퍼미션이 '600' 초과인 경우
 - 사용자 홈 디렉토리내 .sh_history 파일의 사이즈가 '0'일 때, 소유자가 root가 아닌 경우
 - 사용자 홈 디렉토리내 .sh_history 파일의 사이즈가 '0'일 때, 퍼미션이 '000'이 아닌 경우
 - 사용자 홈 디렉토리내 .sh_history 파일이 존재하지 않는 경우
 - 사용자 홈 디렉토리내 .profile 파일의 퍼미션 GROUP, OTHER에 쓰기 권한이 존재하는 경우
 - 사용자 홈 디렉토리내 .profile 파일의 소유자가 root를 제외한 소유자 계정이 아닌 경우</t>
    <phoneticPr fontId="7" type="noConversion"/>
  </si>
  <si>
    <t>양호 - umask 값이 '022' 또는 '027'으로 설정된 경우
취약 - umask 값이 '022' 또는 '027'으로 설정되지 않은 경우</t>
    <phoneticPr fontId="7" type="noConversion"/>
  </si>
  <si>
    <t xml:space="preserve">양호
 - Session Timeout 값이 '1800' 이하로 설정된 경우.
 - C쉘인 경우 : autologout 값이 '30' 이하로 설정된 경우
취약
 - Session Timeout 값이 '1800' 초과로 설정된 경우.
 - C쉘인 경우 : autologout 값이 '30' 초과로 설정된 경우 </t>
    <phoneticPr fontId="7" type="noConversion"/>
  </si>
  <si>
    <t>양호 - OTP 설정이 되어 있거나, sshd 프로세스가 있는 경우
취약 - OTP 설정이 되어있지 않고, sshd 프로세스가 없는 경우</t>
    <phoneticPr fontId="7" type="noConversion"/>
  </si>
  <si>
    <t>양호 - MAXAGE값이 '13'이하인 경우
취약 - MAXAGE값이 '13'초과 또는 MAXAGE값이 '0'인 경우</t>
    <phoneticPr fontId="7" type="noConversion"/>
  </si>
  <si>
    <t xml:space="preserve">양호 
 - loginretries가 '5'이하인 경우
 - logindisable가 '10'이상인 경우
 - logininterval가 '60'이상인 경우
 - loginreenable가 '30'이상인 경우
취약
 - loginretries가 '5'초과이거나 '0'인 경우
 - logindisable가 '10'미만인 경우
 - logininterval가 '60'미만인 경우
 - loginreenable가 '30'미만인 경우
</t>
    <phoneticPr fontId="7" type="noConversion"/>
  </si>
  <si>
    <t>양호
 - /etc/profile 파일의 소유자가 root 이고 퍼미션이 '755' 인 경우
 - 사용자 홈 디렉토리내 .sh_history 파일의 사이즈가 '0'이 아닐 때, 소유자가 소유자 계정이거나 root 인 경우
 - 사용자 홈 디렉토리내 .sh_history 파일의 사이즈가 '0'이 아닐 때, 퍼미션이 '600' 이하인 경우
 - 사용자 홈 디렉토리내 .sh_history 파일의 사이즈가 '0'일 때, 소유자가 root인 경우
 - 사용자 홈 디렉토리내 .sh_history 파일의 사이즈가 '0'일 때, 퍼미션이 '000'인 경우
 - 사용자 홈 디렉토리내 .sh_history 파일이 존재하는 경우
 - 사용자 홈 디렉토리내 .profile 파일의 퍼미션 GROUP, OTHER에 쓰기 권한이 존재하지 않는 경우
 - 사용자 홈 디렉토리내 .profile 파일의 소유자가 소유자 계정이거나 root 인 경우
취약 
 - /etc/profile 파일의 소유자가 root 가 아니거나 퍼미션 '755'가 아닌 경우
 - 사용자 홈 디렉토리내 .sh_history 파일의 사이즈가 '0'이 아닐 때, 소유자가 소유자 계정 또는 root 가 아닌 경우
 - 사용자 홈 디렉토리내 .sh_history 파일의 사이즈가 '0'이 아닐 때, 퍼미션이 '600' 초과인 경우
 - 사용자 홈 디렉토리내 .sh_history 파일의 사이즈가 '0'일 때, 소유자가 root가 아닌 경우
 - 사용자 홈 디렉토리내 .sh_history 파일의 사이즈가 '0'일 때, 퍼미션이 '000'이 아닌 경우
 - 사용자 홈 디렉토리내 .sh_history 파일이 존재하지 않는 경우
 - 사용자 홈 디렉토리내 .profile 파일의 퍼미션 GROUP, OTHER에 쓰기 권한이 존재하는 경우
 - 사용자 홈 디렉토리내 .profile 파일의 소유자가 root를 제외한 소유자 계정이 아닌 경우</t>
    <phoneticPr fontId="7" type="noConversion"/>
  </si>
  <si>
    <t xml:space="preserve">양호
 - Session Timeout 값이 '1800'이하로 설정된 경우
 - C쉘인 경우 : autologout 값이 '30' 이하로 설정된 경우
취약
 - Session Timeout 값이 '1800' 초과로 설정된 경우.
 - C쉘인 경우 : autologout 값이 '30' 초과로 설정된 경우 </t>
    <phoneticPr fontId="7" type="noConversion"/>
  </si>
  <si>
    <t>양호 - telnet, ftp, ssh가 기동중이면서, 배너에 내용이 존재하는 경우
취약 - telnet, ftp, ssh가 기동중이면서, 배너에 내용이 존재하지 않은 경우</t>
    <phoneticPr fontId="7" type="noConversion"/>
  </si>
  <si>
    <t>양호 - OTP 설정이 되어 있거나, sshd 프로세스가 있는 경우
취약 - OTP 설정이 되어있지 않고, sshd 프로세스가 없는 경우</t>
    <phoneticPr fontId="7" type="noConversion"/>
  </si>
  <si>
    <t xml:space="preserve">양호 
 - 공유 디렉토리가 / 가 아니고 user home이 없는 경우
 - 공유 디렉터리 접근 가능 IP NW 클래스(0~31) 대역 설정이 없는 경우
 - 공유 디렉토리중 접근 hostname이 (everyone)이 없는 경우
취약
 - 공유 디렉토리가 / 이거나 user home이 있는 경우 
 - 공유 디렉터리 접근 가능 IP NW 클래스(0~31) 대역 접근 설정이 있는 경우
 - 공유 디렉토리중 접근 hostname이 (everyone)이 있는 경우 </t>
    <phoneticPr fontId="7" type="noConversion"/>
  </si>
  <si>
    <t>양호 - 서비스 실행중이지 않고, 포트가 열려 있지 않은 경우
취약 - 서비스 실행중이거나, 포트가 열려 있는 경우</t>
    <phoneticPr fontId="7" type="noConversion"/>
  </si>
  <si>
    <t>양호 - PASSLENGTH가 '8'이상으로 설정되어 있는 경우
취약 - PASSLENGTH가 '8'미만으로 설정되어 있거나, 존재하지 않는 경우</t>
    <phoneticPr fontId="7" type="noConversion"/>
  </si>
  <si>
    <t>양호 - HISTORY값이 '2'이상으로 설정되어 있는 경우
취약 - HISTORY값이 '2'미만으로 설정되어 있거나, 존재하지 않는 경우</t>
    <phoneticPr fontId="7" type="noConversion"/>
  </si>
  <si>
    <t>양호 
&lt;telnet, ssh, ftp&gt;
 - UAC, TCP Wrapper, ITA 중 하나라도 설정된 경우
&lt;Xmanager&gt;
 - Xmanager 서비스의 상태가 미 실행되거나 uac 3.4.5 버전 이상을 사용하거나 파일에 *로 시작하는 라인이 없는 경우
취약 
&lt;telnet, ssh, ftp&gt;
 - UAC, TCP Wrapper, ITA 모두 설정되어 있지 않은 경우 
&lt;Xmanager&gt;
 - Xmanager 서비스의 상태가 실행 중 일 때 uac 3.4.5 버전 이상을 사용하지 않고 파일이 존재하지 않거나 파일에 *로 시작하는 라인이 있는 경우</t>
    <phoneticPr fontId="7" type="noConversion"/>
  </si>
  <si>
    <t>양호 - telnet, ftp, ssh가 기동중이면서, 배너에 내용이 존재하는 경우
취약 - telnet, ftp, ssh가 기동중이면서, 배너에 내용이 존재하지 않는 경우</t>
    <phoneticPr fontId="7" type="noConversion"/>
  </si>
  <si>
    <t>양호 
 - 공유 디렉토리가 / 가 아니고, user home이 없는 경우
 - 공유 디렉토리중 접근 hostname이 (everyone)이 없는 경우
취약 
 - 공유 디렉토리가 / 이거나, user home이 있는 경우
 - 공유 디렉토리중 접근 hostname이 (everyone)이 있는 경우</t>
    <phoneticPr fontId="7" type="noConversion"/>
  </si>
  <si>
    <t>양호 
 - /etc/hosts.equiv 파일의 권한이 '000' 인 경우
 - /etc/hosts.equiv 파일의 소유자가 root 인 경우
 - .rhosts 파일이 존재하고 권한이 '000' 인 경우
 - .rhosts 파일의 소유자가 root 인 경우
 - /etc/inetd.conf 파일에서 login,shell,exec 가 주석 처리되어 있는 경우
 - login,shell,exec 포트상태가 LISTEN이 아닌 경우
취약 
 - /etc/hosts.equiv 파일의 권한이 '000'이 아닌 경우
 - /etc/hosts.equiv 파일의 소유자가 root가 아닌 경우 
 - .rhosts 파일이 존재하고 권한이 '000'이 아닌 경우
 - .rhosts 파일의 소유자가 root가 아닌 경우 
 - .rhosts 파일이 존재하지 않는 경우
 - /etc/inetd.conf 파일에서 login,shell,exec 가 주석 처리되어 있지 않은 경우
 - login,shell,exec 포트상태가 LISTEN인 경우</t>
    <phoneticPr fontId="7" type="noConversion"/>
  </si>
  <si>
    <t>양호 - 서비스 실행중이지 않고 포트가 열려있지 않은 경우
취약 - 서비스 실행중이거나 포트가 열려 있는 경우</t>
    <phoneticPr fontId="7" type="noConversion"/>
  </si>
  <si>
    <t>양호 
 - 커뮤니티명이 추측하기 어려운 커뮤니티명으로 변경된 경우
 - 커뮤니티명이 영수 혼합하여 '8'자리 이상으로 세팅한 경우
취약 
 - 커뮤니티명이 public 으로 세팅된 경우
 - 커뮤니티명이 '8'자리 미만이거나, 혼합하여 사용하지 않은 경우</t>
    <phoneticPr fontId="7" type="noConversion"/>
  </si>
  <si>
    <t>* Information 항목으로 명령어를 실행해 최근 패치 리스트 출력함. 
[RHEL 5.x ,6.x]
 - [#cat /root/install.log | grep kernel | tail -n 5]
[RHEL 7.x]
 - [#rpm -qa --last | head -n 5]</t>
    <phoneticPr fontId="7" type="noConversion"/>
  </si>
  <si>
    <t xml:space="preserve">양호 - 출력된 PATH에 '.'이 포함되어 있지 않은 경우
취약 - 출력된 PATH에 '.'이 포함되어 있는 경우 </t>
    <phoneticPr fontId="7" type="noConversion"/>
  </si>
  <si>
    <t xml:space="preserve">양호 
 - 커뮤니티명이 추측하기 어려운 커뮤니티명으로 변경된 경우
 - 커뮤니티명이 영수 혼합하여 '8'자리 이상으로 세팅한 경우
취약 
 - 커뮤니티명이 public 으로 세팅된 경우
 - 커뮤니티명이 '8'자리 미만이거나 혼합하여 사용하지 않은 경우 </t>
    <phoneticPr fontId="7" type="noConversion"/>
  </si>
  <si>
    <t xml:space="preserve">양호
 - 공유 디렉토리가 / 가 아니고, user home이 없는 경우
 - 공유 디렉터리 접근 가능 IP NW 클래스(0~31) 대역 설정이 없는 경우
 - 공유 디렉토리중 접근 hostname이 (everyone)이 없는 경우
취약
 - 공유 디렉토리가 / 이거나, user home이 있는 경우 
 - 공유 디렉터리 접근 가능 IP NW 클래스(0~31) 대역 접근이 설정된 경우
 - 공유 디렉토리중 접근 hostname이 (everyone)이 있는 경우 </t>
    <phoneticPr fontId="7" type="noConversion"/>
  </si>
  <si>
    <t>양호 - telnet, ftp, ssh가 기동중이면서, 배너에 내용이 존재하는 경우
취약 - telnet, ftp, ssh가 기동중이면서, 배너에 내용이 존재하지 않은 경우</t>
    <phoneticPr fontId="7" type="noConversion"/>
  </si>
  <si>
    <t>양호 - /etc/inetd.conf 파일의 소유자가 root 이고, 퍼미션이 '600'인 경우
취약 - /etc/inetd.conf 파일의 소유자가 root가 아니거나, 퍼미션이 '600'이 아닌 경우</t>
    <phoneticPr fontId="7" type="noConversion"/>
  </si>
  <si>
    <t>양호 - /etc/ftpusers, /etc/ftpd/ftpusers 파일의 소유자가 root이고, 퍼미션이 '600'인 경우
취약 - /etc/ftpusers, /etc/ftpd/ftpusers 파일의 소유자가 root가 아니거나, 퍼미션이 '600'이 아닌 경우</t>
  </si>
  <si>
    <t>양호 - /etc/ftpusers, /etc/ftpd/ftpusers 파일의 소유자가 root이고, 퍼미션이 '600'인 경우
취약 - /etc/ftpusers, /etc/ftpd/ftpusers 파일의 소유자가 root가 아니거나, 퍼미션이 '600'이 아닌 경우</t>
    <phoneticPr fontId="7" type="noConversion"/>
  </si>
  <si>
    <t>양호 - /etc/dfs/dfstab 또는 /etc/exports 파일의 소유자가 root이고, 퍼미션 OTHER에 쓰기권한(2, 3, 6, 7)이 존재하지 않는 경우
취약 -  /etc/dfs/dfstab 또는 /etc/exports 파일의 소유자가 root가 아니거나, 퍼미션 OTHER에 쓰기권한(2, 3, 6, 7)이 존재하는 경우</t>
    <phoneticPr fontId="7" type="noConversion"/>
  </si>
  <si>
    <t>양호 - /etc/default/security 파일의 소유자가 root이고, 퍼미션 OTHER에 쓰기권한(2, 3, 6, 7)이 존재하지 않는 경우
취약 - /etc/default/security 파일의 소유자가 root가 아니거나, 퍼미션 OTHER에 쓰기권한(2, 3, 6, 7)이 존재하는 경우</t>
    <phoneticPr fontId="7" type="noConversion"/>
  </si>
  <si>
    <t>양호 - /usr/lib/cron/cron.allow, /usr/lib/cron/cron.deny 파일의 소유자가 root, bin, adm이고, 퍼미션 GROUP, OTHER에 쓰기권한(2, 3, 6, 7)이 존재하지 않는 경우
취약 - /usr/lib/cron/cron.allow, /usr/lib/cron/cron.deny 파일의 소유자가 root, bin, adm이 아니거나, 퍼미션 GROUP, OTHER에 쓰기권한(2, 3, 6, 7)이 존재하는 경우</t>
    <phoneticPr fontId="7" type="noConversion"/>
  </si>
  <si>
    <t>양호 - 백업파일의 소유자가 root이고, 퍼미션이 '600'인 경우
취약 - 백업파일의 소유자가 root가 아니거나, 퍼미션이 '600'이 아닌 경우</t>
  </si>
  <si>
    <t>양호 - 백업파일의 소유자가 root이고, 퍼미션이 '600'인 경우
취약 - 백업파일의 소유자가 root가 아니거나, 퍼미션이 '600'이 아닌 경우</t>
    <phoneticPr fontId="7" type="noConversion"/>
  </si>
  <si>
    <t>양호 - /etc/security/user 파일의 소유자가 root이고, 퍼미션 OTHER에 쓰기권한(2, 3, 6, 7)이 존재하지 않는 경우
취약 - /etc/security/user 파일의 소유자가 root가 아니거나, 퍼미션 OTHER에 쓰기권한(2, 3, 6, 7)이 존재하는 경우</t>
  </si>
  <si>
    <t>양호 - /etc/security/passwd 파일의 소유자가 root이고, 퍼미션이 '400'인 경우
취약 - /etc/security/passwd 파일의 소유자가 root가 아니거나, 퍼미션이 '400'이 아닌 경우</t>
  </si>
  <si>
    <t>양호 - /etc/hosts 파일의 소유자가 root이고, 퍼미션이 '644' 또는 '600' 인 경우
취약 - /etc/hosts 파일의 소유자가 root가 아니거나, 퍼미션이 '644' 또는 '600'이 아닌 경우</t>
  </si>
  <si>
    <t>양호 - /etc/services 파일의 소유자가 root이고, 퍼미션이 '644' 또는 '600'인 경우
취약 - /etc/services 파일의 소유자가 root가 아니거나, 퍼미션이 '644' 또는 '600'이 아닌 경우</t>
  </si>
  <si>
    <t>양호 
 - /usr/bin/last 파일의 소유자가 root, sys, bin이고 퍼미션이 '700'인 경우
 - /usr/sbin/ifconfig 파일의 소유자가 root 이고 퍼미션이 '700'인 경우
취약 
 - /usr/bin/last 파일의 소유자가 root, sys, bin이 아니거나 퍼미션이 '700'이 아닌 경우
 - /usr/sbin/ifconfig 파일의 소유자가 root가 아니거나, 퍼미션이 '700'이 아닌 경우</t>
  </si>
  <si>
    <t>양호 - /etc/inietd.conf 파일의 소유자가 root이고, 퍼미션이 '600'인 경우
취약 - /etc/inetd.conf 파일의 소유자가 root가 아니거나, 퍼미션이 '600'이 아닌 경우</t>
  </si>
  <si>
    <t>양호 - /etc/ftpusers 파일의 소유자가 root이고, 퍼미션이 '600'인 경우
취약 - /etc/ftpusers 파일의 소유자가 root가 아니거나, 퍼미션이 '600'이 아닌 경우</t>
  </si>
  <si>
    <t xml:space="preserve">양호 - /etc/dfs/dfstab 또는 /etc/exports 파일의 소유자가 root이고, 퍼미션 OTHER에 쓰기권한(2, 3, 6, 7)이 존재하지 않는 경우
취약 - /etc/dfs/dfstab 또는 /etc/exports 파일의 소유자가 root가 아니거나, 퍼미션 OTHER에 쓰기권한(2, 3, 6, 7)이 존재하는 경우
</t>
  </si>
  <si>
    <t>양호 - 유사 백업파일의 소유자가 root이고, 퍼미션이 '600'인 경우
취약 - 유사 백업파일의 소유자가 root가 아니거나, 퍼미션이 '600'이 아닌 경우</t>
  </si>
  <si>
    <t>양호 
 - /var/adm/wtmp, /etc/security/failedlogin, /var/adm/sulog 파일의 소유자가 root이고, 퍼미션이 '600'인 경우
 - /var/adm/syslog/syslog.log 파일의 소유자가 root 이고 퍼미션이 '644'인 경우
취약
 - /var/adm/wtmp, /etc/security/failedlogin, /var/adm/sulog 파일의 소유자가 root가 아니거나, 퍼미션이 '600'이 아닌 경우 
 - /var/adm/syslog/syslog.log 파일의 소유자가 root가 아니거나, 퍼미션이 '644'가 아닌 경우</t>
  </si>
  <si>
    <t>양호 - /etc/passwd, /etc/group 파일의 소유자가 root이고, 퍼미션이 '644' 또는 '600'인 경우
취약 - /etc/passwd, /etc/group 파일의 소유자가 root가 아니거나, 퍼미션이 '644' 또는 '600'이 아닌 경우</t>
  </si>
  <si>
    <t>양호
 - /etc/shadow, /etc/security/passwd 파일의 소유자가 root이고, 퍼미션이 '400'인 경우
 - /etc/passwd 에 계정의 패스워드 해시값이 존재하지 않는 경우
취약
 - /etc/shadow,/etc/security/passwd  파일의 소유자가 root가 아니거나, 퍼미션이 '400'이 아닌 경우
 - /etc/passwd 에 계정의 패스워드 해시값이 존재하는 경우</t>
  </si>
  <si>
    <t>양호 - /etc/hosts 파일의 소유자가 root이고, 퍼미션이 '644' 또는 '600'인 경우
취약 - /etc/hosts 파일의 소유자가 root가 아니거나, 퍼미션이 '644' 또는 '600'이 아닌 경우</t>
  </si>
  <si>
    <t>양호 - /etc/services 파일의 소유자가 root이고, 퍼미션 '644' 또는 '600'인 경우
취약 - /etc/services 파일의 소유자가 root가 아니거나, 퍼미션이 '644' 또는 '600'이 아닌 경우</t>
  </si>
  <si>
    <t>양호 - /etc/inetd.conf 파일의 소유자가 root이고, 퍼미션이 '600'인 경우
취약 - /etc/inetd.conf 파일의 소유자가 root가 아니거나, 퍼미션이 '600'이 아닌 경우</t>
  </si>
  <si>
    <t>양호 - /etc/default/passwd 파일의 소유자가 root이고, 퍼미션이 '444'인 경우
취약 - /etc/default/passwd 파일의 소유자가 root가 아니거나, 퍼미션이 '444'가 아닌 경우</t>
  </si>
  <si>
    <t>양호 - /etc/xinetd.conf 파일의 소유자가 root 이고 퍼미션이 '600'인 경우
취약 - /etc/xinetd.conf 파일의 소유자가 root가 아니거나, 퍼미션이 '600'이 아닌 경우</t>
  </si>
  <si>
    <t>양호 - 파일의 소유자가 root이고, 퍼미션이 '600'인 경우
취약 - 파일의 소유자가 root가 아니거나, 퍼미션이 '600'이 아닌 경우</t>
  </si>
  <si>
    <t>양호 - 파일의 소유자가 root이고, 퍼미션 OTHER에 쓰기권한(2, 3, 6, 7)이 존재하지 않을 경우
취약 - 파일의 소유자가 root가 아니거나, 퍼미션 OTHER에 쓰기권한(2, 3, 6, 7)이 존재할 경우</t>
  </si>
  <si>
    <t>양호 
 - PASS_MAX_DAYS값이 '0'을 제외한 '90'이하로 설정되어 있을 경우
 - /etc/shadow 파일에서 '5'번째 토큰이 '90'보다 작게 설정되어 있을 경우
취약 
 - PASS_MAX_DAYS값이 '0' 또는 '90'초과로 설정되어 있을 경우
 - /etc/shadow 파일에서 '5'번째 토큰이 '90'보다 크거나 설정이 없을 경우</t>
    <phoneticPr fontId="7" type="noConversion"/>
  </si>
  <si>
    <t>양호 - /etc/hosts 파일의 소유자가 root이고, 퍼미션이 '644' 또는 '600'인 경우
취약 - /etc/hosts 파일의 소유자가 root가 아니거나, 퍼미션이 '644' 또는 '600'이 아닌 경우</t>
    <phoneticPr fontId="7" type="noConversion"/>
  </si>
  <si>
    <t>양호 - /etc/services 파일의 소유자가 root이고, 퍼미션이 '644' 또는 '600'인 경우
취약 - /etc/services 파일의 소유자가 root가 아니거나, 퍼미션이 '644' 또는 '600'이 아닌 경우</t>
    <phoneticPr fontId="7" type="noConversion"/>
  </si>
  <si>
    <t xml:space="preserve">양호
 - Session Timeout 값이 '1800' 이하로 설정된 경우
 - C쉘인 경우 : autologout 값이 '30' 이하로 설정된 경우
취약
 - Session Timeout 값이 '1800' 초과로 설정된 경우
 - C쉘인 경우 : autologout 값이 '30' 초과로 설정된 경우 </t>
    <phoneticPr fontId="7" type="noConversion"/>
  </si>
  <si>
    <t>양호 
 - /etc/hosts.equiv 파일의 권한이 '000' 인 경우
 - /etc/hosts.equiv 파일의 소유자가 root 인 경우
 - .rhosts 파일이 존재하고 권한 '000'인 경우
 - .rhosts 파일의 소유자가 root 인 경우
 - /etc/xinetd.conf 파일에서 login,shell,exec 가 주석 처리되어 있을 경우
 - login,shell,exec포트상태가 LISTEN이 아닌 경우
취약 
 - /etc/hosts.equiv 파일의 권한이 '000'이 아닌 경우
 - /etc/hosts.equiv 파일의 소유자가 root가 아닌 경우 
 - .rhosts 파일이 존재하고 권한 '000'이 아닌 경우
 - .rhosts 파일의 소유자가 root가 아닌 경우 
 - .rhosts 파일이 존재하지 않을 경우
 - /etc/xinetd.conf 파일에서 login,shell,exec 가 주석 처리되어 있지 않을 경우
 - login, shell, exec 포트상태가 LISTEN인 경우</t>
    <phoneticPr fontId="7" type="noConversion"/>
  </si>
  <si>
    <t>양호 - xinetd.d 디렉토리 내에 데몬이 disable로 설정되어 있고, 포트가 열려있지 않은 경우
취약 - xinetd.d 디렉토리 내에 데몬이 disable로 설정되어 있지 않거나, 포트가 열려 있는 경우</t>
    <phoneticPr fontId="7" type="noConversion"/>
  </si>
  <si>
    <t>1. /etc/xinetd.d 파일에서 해당 서비스 disable처리 후 xinetd 서비스 재시작
2. [#kill -9 해당프로세스 PID] : 프로세스 kill</t>
    <phoneticPr fontId="7" type="noConversion"/>
  </si>
  <si>
    <t>1. community 값에 private/public 등 default 값이 아닌지 확인
 - #cat /etc/snmp/snmpd.conf
※ 현재 서비스되는 snmp 버전의 설정 값 확인 (미사용 시 해당 사항 없음)</t>
    <phoneticPr fontId="7" type="noConversion"/>
  </si>
  <si>
    <t>root 계정으로 직접 로그인하도록 허용하면 불법적인 침입자의 목표가 될 수 있으므로 root 계정 접속에 대한 관리가 필요함. 
root 계정의 원격 접속 허용은 공격자에게 더 좋은 기회를 제공할 수 있으므로 root의 원격 접속은 금지하여야 함.</t>
    <phoneticPr fontId="7" type="noConversion"/>
  </si>
  <si>
    <t>root 계정으로 직접 로그인하도록 허용하면 불법적인 침입자의 목표가 될 수 있으므로 root 계정 접속에 대한 관리가 필요함.
root 계정의 원격 접속 허용은 공격자에게 더 좋은 기회를 제공할 수있으므로 root의 원격 접속은 금지하여야 함.</t>
    <phoneticPr fontId="8" type="noConversion"/>
  </si>
  <si>
    <t>root 계정으로 직접 로그인하도록 허용하면 불법적인 침입자의 목표가 될 수 있으므로 root 계정 접속에 대한 관리가 필요함. 
root 계정의 원격 접속 허용은 공격자에게 더 좋은 기회를 제공할 수 있으므로 root의 원격 접속은 금지하여야 함.</t>
    <phoneticPr fontId="8" type="noConversion"/>
  </si>
  <si>
    <t>hosts.equiv 파일에 등록된 시스템이나 사용자는 인증 없이 rexec, rlogin 등의 r계열 명령어로 시스템에 접근할 수 있음.
특히, 파일 내에 "+ +" 설정이 있을 경우, 모든 사용자가 인증 없이 원격 명령어를 실행할 수 있어 자료 삭제, 유출 등 심각한 보안 위험이 발생할 수 있음.
rlogin, rsh, rcp는 원격 서버로 패스워드 없이 신뢰받는 로그인을 하기 위한 명령어임.
원격에서 r-commands를 실행하려면 /etc/hosts.equiv나 사용자의 .rhosts 파일에 접근 허용 설정이 필요함.
이러한 명령어들은 패스워드 없이 실행되므로, 서버 보안에 큰 영향을 미칠 수 있으니 주의가 필요함.</t>
    <phoneticPr fontId="7" type="noConversion"/>
  </si>
  <si>
    <t>hosts.equiv 파일에 등록된 시스템이나 사용자는 인증 없이 rexec, rlogin 등의 r계열 명령어로 시스템에 접근할 수 있음.
특히, 파일 내에 "+ +" 설정이 있을 경우, 모든 사용자가 인증 없이 원격 명령어를 실행할 수 있어 자료 삭제, 유출 등 심각한 보안 위험이 발생할 수 있음.
rlogin, rsh, rcp는 원격 서버로 패스워드 없이 신뢰받는 로그인을 하기 위한 명령어임.
원격에서 r-commands를 실행하려면 /etc/hosts.equiv나 사용자의 .rhosts 파일에 접근 허용 설정이 필요함.
이러한 명령어들은 패스워드 없이 실행되므로, 서버 보안에 큰 영향을 미칠 수 있으니 주의가 필요함.</t>
    <phoneticPr fontId="7" type="noConversion"/>
  </si>
  <si>
    <t>hosts.equiv 파일에 등록된 시스템이나 사용자는 인증 없이 rexec, rlogin 등의 r계열 명령어로 시스템에 접근할 수 있음.
특히, 파일 내에 "+ +" 설정이 있을 경우, 모든 사용자가 인증 없이 원격 명령어를 실행할 수 있어 자료 삭제, 유출 등 심각한 보안 위험이 발생할 수 있음.
rlogin, rsh, rcp는 원격 서버로 패스워드 없이 신뢰받는 로그인을 하기 위한 명령어임.
원격에서 r-commands를 실행하려면 /etc/hosts.equiv나 사용자의 .rhosts 파일에 접근 허용 설정이 필요함.
이러한 명령어들은 패스워드 없이 실행되므로, 서버 보안에 큰 영향을 미칠 수 있으니 주의가 필요함.</t>
    <phoneticPr fontId="7" type="noConversion"/>
  </si>
  <si>
    <t>로그는 컴퓨터 범죄 발생 시 해킹 흔적을 찾기 위해 저장 및 분석됨.
로그 분석을 통해 해킹 흔적뿐 아니라 공격기법을 발견하고, 시스템 취약점을 제거할 수 있음.
공격의 근원을 추적해 법적 책임을 물을 수 있기 때문에, 로그 관리와 분석이 매우 중요함.</t>
    <phoneticPr fontId="7" type="noConversion"/>
  </si>
  <si>
    <t>사용자가 시스템에 접근하려면 사용자 계정과 UID가 필요하며, UID를 통해 사용자의 정보를 식별함.
동일한 UID를 가진 계정은 시스템에서 같은 사용자로 인식됨.
유닉스 시스템에서 root 계정의 UID는 ‘0’인데, 다른 계정의 UID가 ‘0’일 경우 root와 동일한 권한을 가짐.
따라서 root를 제외한 사용자의 UID는 '0'일 수 없으며, 시스템 관리자는 관리업무용 계정과 일반업무용 계정을 나눠
2 개의 계정을 사용하는 것이 좋음.</t>
    <phoneticPr fontId="7" type="noConversion"/>
  </si>
  <si>
    <t>로그인 가능한 계정은 패스워드 유출이나 추측 공격에 취약할 수 있음.
오랫동안 사용하지 않은 계정은 관리되지 않아 악의적으로 사용될 가능성이 높고, 패스워드 변경이 없으면 유출 위험이 커짐.
로그인 실패 기록이 많은 계정은 불법적인 로그인 시도가 있을 수 있음.
따라서 만료된 관리자, Guest, 테스트 계정, 퇴직자 등 불필요한 계정을 주기적으로 삭제해야 함.</t>
    <phoneticPr fontId="7" type="noConversion"/>
  </si>
  <si>
    <t>로그인 가능한 계정은 패스워드 유출이나 추측 공격에 취약할 수 있음.
오랫동안 사용하지 않은 계정은 관리되지 않아 악의적으로 사용될 가능성이 높고, 패스워드 변경이 없으면 유출 위험이 커짐.
로그인 실패 기록이 많은 계정은 불법적인 로그인 시도가 있을 수 있음.
따라서 만료된 관리자, Guest, 테스트 계정, 퇴직자 등 불필요한 계정을 주기적으로 삭제해야 함.</t>
    <phoneticPr fontId="7" type="noConversion"/>
  </si>
  <si>
    <t>중요 데이터가 포함된 데이터베이스(DB)가 DMZ에 있을 경우 데이터 유출이나 무단 접근의 위험이 크게 증가함.
따라서 DMZ 내 DB에 개인정보, 금융정보, 기밀자료 등 중요한 데이터가 저장되어 있지 않은지 확인해야 함.
중요한 데이터는 반드시 내부 네트워크의 안전한 환경에 저장되어야 하며, DMZ에 위치한 서버에서는 중요 데이터 없이 중계 또는 캐시 역할만 수행하도록 구성하는 것이 보안상 바람직함.</t>
    <phoneticPr fontId="7" type="noConversion"/>
  </si>
  <si>
    <t>양호 
 - 커뮤니티명이 추측하기 어려운 커뮤니티명으로 변경된 경우
 - 커뮤니티명이 영/수 혼합하여 '8'자리 이상으로 세팅한 경우
취약 
 - 커뮤니티명이 public 으로 세팅된 경우
 - 커뮤니티명이 '8'자리 미만이거나 혼합하여 사용하지 않은 경우</t>
    <phoneticPr fontId="7" type="noConversion"/>
  </si>
  <si>
    <t>DMZ 서버 내 DB 미존재</t>
    <phoneticPr fontId="7" type="noConversion"/>
  </si>
  <si>
    <t>DB 내 중요 데이터 미존재</t>
    <phoneticPr fontId="7" type="noConversion"/>
  </si>
  <si>
    <t>* Information 항목으로 명령어를 실행해 현재 운영체제 버전 출력
 - [#oslevel -s]</t>
    <phoneticPr fontId="7" type="noConversion"/>
  </si>
  <si>
    <t>* Information 항목으로 명령어를 실행해 현재 운영체제 버전 출력
 - [#uname -a]</t>
    <phoneticPr fontId="7" type="noConversion"/>
  </si>
  <si>
    <t>양호 
 - /usr/bin/last 파일의 소유자가 root, sys, bin이고 퍼미션이 '700'인 경우
 - /usr/sbin/ifconfig, /sbin/ifconfig 파일의 소유자가 root이고, 퍼미션이 '700'인 경우
취약 
 - /usr/bin/last 파일의 소유자가 root, sys, bin이 아니거나 퍼미션이 '700'이 아닌 경우
 - /usr/sbin/ifconfig 파일의 소유자가 root가 아니거나, 퍼미션이 '700'이 아닌 경우</t>
    <phoneticPr fontId="7" type="noConversion"/>
  </si>
  <si>
    <t>양호 
 - /etc/profile 파일의 소유자가 root 이고, 퍼미션이 '755' 인 경우
 - 사용자 홈 디렉토리내 .sh_history 파일의 사이즈가 '0'이 아닐 때, 소유자가 소유자 계정이거나 root 인 경우
 - 사용자 홈 디렉토리내 .sh_history 파일의 사이즈가 '0'이 아닐 때, 퍼미션이 '600' 이하인 경우
 - 사용자 홈 디렉토리내 .sh_history 파일의 사이즈가 '0'일 때, 소유자가 root 인 경우
 - 사용자 홈 디렉토리내 .sh_history 파일의 사이즈가 '0'일 때, 퍼미션이 '000' 인 경우
 - 사용자 홈 디렉토리내 .sh_history 파일이 존재하는 경우
 - 사용자 홈 디렉토리내 .profile 파일의 퍼미션 GROUP, OTHER에 쓰기 권한이 존재하지 않는경우
 - 사용자 홈 디렉토리내 .profile 파일의 소유자가 소유자 계정이거나 root 인 경우
취약 
 - /etc/profile 파일의 소유자가 root 가 아니거나 퍼미션 '755'가 아닌 경우
 - 사용자 홈 디렉토리내 .sh_history 파일의 사이즈가 '0'이 아닐 때, 소유자가 소유자 계정이 아니거나 root 가 아닌 경우
 - 사용자 홈 디렉토리내 .sh_history 파일의 사이즈가 '0'이 아닐 때, 퍼미션이 '600' 초과인 경우
 - 사용자 홈 디렉토리내 .sh_history 파일의 사이즈가 '0'일 때, 소유자가 root가 아닌 경우
 - 사용자 홈 디렉토리내 .sh_history 파일의 사이즈가 '0'일 때, 퍼미션이 '000'이 아닌 경우
 - 사용자 홈 디렉토리내 .sh_history 파일이 존재하지 않는 경우
 - 사용자 홈 디렉토리내 .profile 파일의 퍼미션 GROUP, OTHER에 쓰기 권한이 존재하는 경우
 - 사용자 홈 디렉토리내 .profile 파일의 소유자가 root를 제외한 소유자 계정이 아닌 경우</t>
    <phoneticPr fontId="7" type="noConversion"/>
  </si>
  <si>
    <t>양호 
 - MAXWEEKS 값이 '1~13'사이값으로 설정되어 있는 경우
 - /etc/shadow 파일에서 '5'번째 토큰이 '90'보다 작게 설정되어 있는 경우
취약
 - MAXWEEKS 값이 '0'이거나 '14'이상으로 설정되어 있는 경우
 - /etc/shadow 파일에서 '5'번째 토큰이 '90'보다 크거나 설정이 없는 경우</t>
    <phoneticPr fontId="7" type="noConversion"/>
  </si>
  <si>
    <t>1. /etc/default/passwd파일에서 MAXWEEKS 값 '1~13'사이로 설정
2. /etc/shadow 파일에 '5'번째 토큰을 '90'보다 작게 설정</t>
    <phoneticPr fontId="7" type="noConversion"/>
  </si>
  <si>
    <t>양호 
 - MINWEEKS 값이 '1'이상으로 설정되어 있는 경우
 - /etc/shadow 파일에서 '4'번째 토큰이 '7'보다 크게 설정되어 있는 경우
취약 
 - MINWEEKS 값이 '0'이거나 존재하지 않는 경우
 - /etc/shadow 파일에서 '4'번째 토큰이 '7'보다 작거나 설정이 없는 경우</t>
    <phoneticPr fontId="7" type="noConversion"/>
  </si>
  <si>
    <t>1. /etc/default/passwd파일에서 MINWEEKS 값을 '1'이상으로 설정
2. /etc/shadow 파일에 '4'번째 토큰을 '7'보다 크게 설정</t>
    <phoneticPr fontId="7" type="noConversion"/>
  </si>
  <si>
    <t>[tcb 모드]
 - SAM에서 설정
Auditing and Security | System Security Policies | Password Aging Policies 확인
Time Between Password Changes      7
[일반 모드]
 - /etc/default/security파일 PASSWORD_MINDAYS 값을 7 이상으로 세팅
 - /etc/shadow 파일에 '4'번째 토큰을 '7'보다 크게 설정함.</t>
    <phoneticPr fontId="7" type="noConversion"/>
  </si>
  <si>
    <t>1. [/etc/login.defs] 파일에서 [PASS_MIN_DAYS] 항목의 [7] 확인</t>
    <phoneticPr fontId="7" type="noConversion"/>
  </si>
  <si>
    <t>Y</t>
    <phoneticPr fontId="7" type="noConversion"/>
  </si>
  <si>
    <t>os-linux-2611</t>
    <phoneticPr fontId="7" type="noConversion"/>
  </si>
  <si>
    <t>* Information 항목으로 명령어를 실행해 현재 운영체제 버전 출력
 - [#ps -ef | grep &lt;DB 프로세스명&gt;]</t>
    <phoneticPr fontId="7" type="noConversion"/>
  </si>
  <si>
    <t>os-hpux-1025</t>
    <phoneticPr fontId="7" type="noConversion"/>
  </si>
  <si>
    <t>os-hpux-1493</t>
    <phoneticPr fontId="7" type="noConversion"/>
  </si>
  <si>
    <t>os-hpux-2723</t>
    <phoneticPr fontId="7" type="noConversion"/>
  </si>
  <si>
    <t>Y</t>
    <phoneticPr fontId="7" type="noConversion"/>
  </si>
  <si>
    <t>os-hpux-239</t>
    <phoneticPr fontId="7" type="noConversion"/>
  </si>
  <si>
    <t>Y</t>
    <phoneticPr fontId="7" type="noConversion"/>
  </si>
  <si>
    <t>os-aix-733</t>
    <phoneticPr fontId="7" type="noConversion"/>
  </si>
  <si>
    <t>os-aix-478</t>
    <phoneticPr fontId="7" type="noConversion"/>
  </si>
  <si>
    <t>양호 - 원격 서비스를 사용하지 않거나, 사용 시 root 직접 접속을 차단한 경우
취약 - root 직접 접속을 허용하고 원격 서비스를 사용하는 경우</t>
    <phoneticPr fontId="7" type="noConversion"/>
  </si>
  <si>
    <t>os-aix-1492</t>
    <phoneticPr fontId="7" type="noConversion"/>
  </si>
  <si>
    <t>os-aix-2609</t>
    <phoneticPr fontId="7" type="noConversion"/>
  </si>
  <si>
    <t>os-solaris-1026</t>
    <phoneticPr fontId="7" type="noConversion"/>
  </si>
  <si>
    <t>os-solaris-1494</t>
    <phoneticPr fontId="7" type="noConversion"/>
  </si>
  <si>
    <t>os-solaris-2610</t>
    <phoneticPr fontId="7" type="noConversion"/>
  </si>
  <si>
    <t>로그 및 패치관리</t>
    <phoneticPr fontId="7" type="noConversion"/>
  </si>
  <si>
    <t>로그 및 패치관리</t>
    <phoneticPr fontId="7" type="noConversion"/>
  </si>
  <si>
    <t>로그 및 패치관리</t>
    <phoneticPr fontId="7" type="noConversion"/>
  </si>
  <si>
    <t xml:space="preserve">* Information 항목으로 /etc/passwd 내용 출력
양호 - 불필요한 계정이 존재하지 않는 경우
취약 - 불필요한 계정이 존재하는 경우
</t>
    <phoneticPr fontId="7" type="noConversion"/>
  </si>
  <si>
    <t>* N/A 항목
양호 - 불필요한 사이트 접속한 기록이 존재하지 않은 경우
취약 - 불필요한 사이트 접속한 기록이 존재하는 경우</t>
    <phoneticPr fontId="7" type="noConversion"/>
  </si>
  <si>
    <t xml:space="preserve">현재 설치된 프로그램을 확인하여 운영 목적에 부합하지 않는 프로그램이 존재하는지 확인
1. 원격 접속 프로그램, 웹하드, P2P, 토렌트, 파일 전송 프로그램, 해킹 프로그램, 패킷캡쳐 프로그램 설치 시, 관련 근거 문서 확보여부 확인
</t>
    <phoneticPr fontId="7" type="noConversion"/>
  </si>
  <si>
    <t>* Information 항목으로 "rpm -qa" 명령어 결과 출력
양호 - 불필요한 프로그램이 존재하지 않은 경우
취약 - 불필요한 프로그램이 존재하는 경우</t>
    <phoneticPr fontId="7" type="noConversion"/>
  </si>
  <si>
    <t>Scan ID</t>
    <phoneticPr fontId="7" type="noConversion"/>
  </si>
  <si>
    <t>DS01</t>
    <phoneticPr fontId="7" type="noConversion"/>
  </si>
  <si>
    <t>* Information 항목으로 /etc/passwd 내용 출력
양호 - 불필요한 계정이 존재하지 않는 경우
취약 - 불필요한 계정이 존재하는 경우</t>
    <phoneticPr fontId="7" type="noConversion"/>
  </si>
  <si>
    <t>* N/A 항목
양호 - 불필요한 사이트 접속한 기록이 존재하지 않는 경우
취약 - 불필요한 사이트 접속한 기록이 존재하는 경우</t>
    <phoneticPr fontId="7" type="noConversion"/>
  </si>
  <si>
    <t>* N/A 항목
양호 - 불필요한 사이트에 접속한 기록이 존재하지 않은 경우
취약 - 불필요한 사이트에 접속한 기록이 존재하는 경우</t>
    <phoneticPr fontId="7" type="noConversion"/>
  </si>
  <si>
    <t>* Information 항목으로 pkginfo 명령어 결과 출력함.
양호 - 불필요한 프로그램이 존재하지 않는 경우
취약 - 불필요한 프로그램이 존재하는 경우</t>
    <phoneticPr fontId="7" type="noConversion"/>
  </si>
  <si>
    <t>* Information 항목으로 "lslpp -l" 명령어 결과 출력
양호 - 불필요한 프로그램이 존재하지 않은 경우
취약 - 불필요한 프로그램이 존재하는 경우</t>
    <phoneticPr fontId="7" type="noConversion"/>
  </si>
  <si>
    <t>* Information 항목으로 "swlist" 명령어 결과 출력
양호 - 불필요한 프로그램이 존재하지 않은 경우
취약 - 불필요한 프로그램이 존재하는 경우</t>
    <phoneticPr fontId="7" type="noConversion"/>
  </si>
  <si>
    <t>os-hpux-1482</t>
    <phoneticPr fontId="7" type="noConversion"/>
  </si>
  <si>
    <t>판단: Info</t>
    <phoneticPr fontId="7" type="noConversion"/>
  </si>
  <si>
    <t>실행된 프로세스 리스트에 DB(Oracle, Mysql, MSsql, PostgreSQL 等) 구동 여부 확인
1. [#ps -ef] 명령어 실행 후 DB 구동 여부 확인</t>
    <phoneticPr fontId="7" type="noConversion"/>
  </si>
  <si>
    <t>양호 - /etc/passwd, /etc/group 파일의 소유자가 root이고, 퍼미션이 '644' 또는 '600' 인 경우
취약 - /etc/passwd, /etc/group 파일의 소유자가 root가 아니거나, 퍼미션이 '644' 또는 '600'이 아닌 경우</t>
    <phoneticPr fontId="7" type="noConversion"/>
  </si>
  <si>
    <t>DMZ內 서버</t>
    <phoneticPr fontId="7" type="noConversion"/>
  </si>
  <si>
    <t>양호
&lt;telnet, ssh, ftp&gt;
 - UAC, TCP Wrapper, ITA 중 하나라도 설정된 경우
&lt;Xmanager&gt;
 - Xmanager 서비스의 상태가 미 실행되거나 uac 3.4.5 버전 이상을 사용하거나 파일에 *로 시작하는 라인이 없는 경우
&lt;nftables, firewalld&gt; (rhel8, ubuntu 20.04, suse 15~)
 - nftables, firewalld 서비스의 상태가 실행중인 경우
취약 
&lt;telnet, ssh, ftp&gt;
 - UAC, TCP Wrapper, ITA 모두 설정되어 있지 않은 경우 
&lt;Xmanager&gt;
 - Xmanager 서비스의 상태가 실행 중 일 때 uac 3.4.5 버전 이상을 사용하지 않고 파일이 존재하지 않거나 파일에 *로 시작하는 라인이 있는 경우
&lt;nftables, firewalld&gt; (rhel8, ubuntu 20.04, suse 15~)
 - nftables, firewalld 서비스의 상태가 미실행인 경우
* (주의) /etc/hosts.deny 에 ALL:ALL 설정 적용 시 모든 원격 설정 제한이 되기 때문에 설정시 주의 필요</t>
    <phoneticPr fontId="7" type="noConversion"/>
  </si>
  <si>
    <t>판단: OK/BAD
[양호 조건]
주요 백업 파일 권한 600 이하
AND 
소유자 root
[취약 조건]
주요 백업 파일 권한 600 초과
OR
소유자 root 아님.
* 주요 백업 파일:
/etc/passwd* /etc/inetd.conf* /etc/services* /etc/hosts* /var/adm/wtmp* /var/adm/utmp* /var/adm/sulog*</t>
    <phoneticPr fontId="7" type="noConversion"/>
  </si>
  <si>
    <t>Scan ID</t>
    <phoneticPr fontId="8" type="noConversion"/>
  </si>
  <si>
    <t>ID</t>
    <phoneticPr fontId="7" type="noConversion"/>
  </si>
  <si>
    <t>계정 및 권한관리</t>
    <phoneticPr fontId="7" type="noConversion"/>
  </si>
  <si>
    <t>2명 이상이 1개의 계정을 공유하여 사용할 경우 실제 사용자를 특정하기 어려워 악용될 가능성이 있으므로 관리가 필요함.</t>
    <phoneticPr fontId="7" type="noConversion"/>
  </si>
  <si>
    <t>Y</t>
    <phoneticPr fontId="7" type="noConversion"/>
  </si>
  <si>
    <t>2015/07/30 엄태현
 - 2014 3개 점검항목 1개로 합쳐짐</t>
    <phoneticPr fontId="7" type="noConversion"/>
  </si>
  <si>
    <t>목표</t>
    <phoneticPr fontId="7" type="noConversion"/>
  </si>
  <si>
    <t>계정 및 권한관리</t>
    <phoneticPr fontId="7" type="noConversion"/>
  </si>
  <si>
    <t>양호
 - Administrators 그룹에 관리자 계정이 하나만 존재 할 경우
 - Power Users 그룹에 관리자 계정이 하나만 존재 하거나 없을 경우
 - Backup Operators 그룹에 관리자 계정이 하나만 존재 하거나 없을 경우
취약 - 양호 조건을 만족하지 않을 경우</t>
    <phoneticPr fontId="7" type="noConversion"/>
  </si>
  <si>
    <t>판단: OK/BAD
[양호 조건]
Administrator 그릅에 Adminitor 계정만 존재
AND
Power Users 그릅에 Adminitor 계정만 존재
AND
Backup Operators 그릅에 Adminitor 계정만 존재
[취약 조건]
Administrator 그릅에 Adminitor 계정외 존재
OR
Power Users 그릅에 Adminitor 계정외 존재
AND
Backup Operators 그릅에 Adminitor 계정 외 존재</t>
    <phoneticPr fontId="7" type="noConversion"/>
  </si>
  <si>
    <t>2015/07/30 엄태현
 - 2014 3개 점검항목 1개로 합쳐짐</t>
    <phoneticPr fontId="7" type="noConversion"/>
  </si>
  <si>
    <t>중요도가 높은 대상들은 기본 보안 인증 외 추가적인 복합 인증 적용이 필요함.</t>
    <phoneticPr fontId="7" type="noConversion"/>
  </si>
  <si>
    <t>* N/A 항목</t>
    <phoneticPr fontId="7" type="noConversion"/>
  </si>
  <si>
    <t xml:space="preserve">판단: N/A
</t>
    <phoneticPr fontId="7" type="noConversion"/>
  </si>
  <si>
    <t>양호 - Administrator 사용자 이름이 다른 이름으로 변경된 경우
취약 - Administrator 사용자 이름이 그대로인 경우
* Administrator 계정 변경시 변경 계정명으로 ADM, ADMIN, root 사용금지</t>
    <phoneticPr fontId="7" type="noConversion"/>
  </si>
  <si>
    <t>판단: OK/BAD
[양호 조건]
Administrators 계정 계정 변경됨
[취약 조건]
Administrators 계정 계정 변경안됨</t>
    <phoneticPr fontId="7" type="noConversion"/>
  </si>
  <si>
    <t>판단: OK/BAD
[양호 조건]
"암호는 복잡성을 만족해야 함" 설정됨
[취약 조건]
"암호는 복잡성을 만족해야 함" 설정 안됨</t>
    <phoneticPr fontId="7" type="noConversion"/>
  </si>
  <si>
    <t>판단: OK/BAD
[양호 조건]
최소 암호 길이 8 이상
[취약 조건]
최소 암호 길이 7 이하</t>
    <phoneticPr fontId="7" type="noConversion"/>
  </si>
  <si>
    <t>계정 및 권한관리</t>
    <phoneticPr fontId="7" type="noConversion"/>
  </si>
  <si>
    <t>판단: OK/BAD
[양호 조건]
최근 암호 기억이 2 이상
[취약 조건]
최근 암호 기억이 1 이하</t>
    <phoneticPr fontId="7" type="noConversion"/>
  </si>
  <si>
    <t>1. [제어판 → 관리 도구 → 로컬 보안 정책 → 계정 정책 → 암호 정책] : [최소 암호 사용 기간] 확인
또는
1. [시작메뉴 → 실행 → cmd]에서 [secedit /export /cfg c:\local.cfg]를 통해 설정 파일 추출
2. [c:\local.cfg] 내의 [MinimumPasswordAge] 값이 1이상인지 확인</t>
    <phoneticPr fontId="7" type="noConversion"/>
  </si>
  <si>
    <t>판단: OK/BAD
[양호 조건]
최소 암호 사용 기간 1이상
[취약 조건]
최소 암호 사용 기간 0</t>
    <phoneticPr fontId="7" type="noConversion"/>
  </si>
  <si>
    <t>1. [제어판 → 관리 도구 → 로컬 보안 정책 → 계정 정책 → 암호 정책] : [최대 암호 사용 기간] 확인
또는
1. [시작메뉴 → 실행 → cmd]에서 [secedit /export /cfg c:\local.cfg]를 통해 설정 파일 추출
2. [c:\local.cfg] 내의 [MaximumPasswordAge] 값이 90이하인지 확인
계정별 [암호 사용 기간 제한없음] 설정 여부 추가 확인
2. [제어판 → 관리 도구 → 컴퓨터 관리 → 로컬 사용자 및 그룹 → 사용자 → 계정별 속성] : [암호 사용 기간 제한 없음] 비활성화 확인
※ Windows 2012 이상 버전
Administrator 계정의 경우 "암호 만료 날짜"와 "마지막 암호를 설정한 날짜" 확인해 변경일이 90이하인지 추가로 확인</t>
    <phoneticPr fontId="7" type="noConversion"/>
  </si>
  <si>
    <t>판단: OK/BAD
[양호 조건]
최대 암호 사용기간 90 이하
[취약 조건]
최대 암호 사용기간 91 이상</t>
    <phoneticPr fontId="7" type="noConversion"/>
  </si>
  <si>
    <t>2016/2/18 엄태현
 - 점검항목제목수정
 - http://project.lsware.co.kr/redmine/issues/4257</t>
    <phoneticPr fontId="7" type="noConversion"/>
  </si>
  <si>
    <t>1. [제어판 → 관리 도구 → 로컬 보안 정책 → 계정 정책 → 계정 잠금 정책] : [계정 잠금 기간] 확인
또는
1. [시작메뉴 → 실행 → cmd]에서 [secedit /export /cfg c:\local.cfg]를 통해 설정 파일 추출
2. [c:\local.cfg] 내의 [LockoutDuration] 값이 30이상인지 확인</t>
    <phoneticPr fontId="7" type="noConversion"/>
  </si>
  <si>
    <t>판단: OK/BAD
[양호 조건]
계정잠금정책 계정 잠금 기간 30 이상
[취약 조건]
계정잠금정책 계정 잠금 기간 29 이하</t>
    <phoneticPr fontId="7" type="noConversion"/>
  </si>
  <si>
    <t>1. [제어판 → 관리 도구 → 로컬 보안 정책 → 계정 정책 → 계정 잠금 정책] : [계정 잠금 임계값] 확인
또는
1. [시작메뉴 → 실행 → cmd]에서 [secedit /export /cfg c:\local.cfg]를 통해 설정 파일 추출
2. [c:\local.cfg] 내의 [LockoutBadCount] 값이 5이하인지 확인</t>
    <phoneticPr fontId="7" type="noConversion"/>
  </si>
  <si>
    <t>판단: OK/BAD
[양호 조건]
계정잠금정책 계정잠금임계값 5이하
[취약 조건]
계정잠금정책 계정잠금임계값 6이하</t>
    <phoneticPr fontId="7" type="noConversion"/>
  </si>
  <si>
    <t>계정 및 권한관리</t>
    <phoneticPr fontId="7" type="noConversion"/>
  </si>
  <si>
    <t>1. [제어판 → 관리 도구 → 로컬 보안 정책 → 로컬 정책 → 보안 옵션] : [네트워크 보안: 다음 암호 변경 시 Lan Manager 해시 값 저장 안 함] 설정 확인
또는
1. [시작메뉴 → 실행 → cmd]에서 [secedit /export /cfg c:\local.cfg]를 통해 설정 파일 추출
2. [c:\local.cfg] 내의 [MACHINE\System\CurrentControlSet\Control\Lsa\NoLMHash] 값이 4,1인지 확인</t>
    <phoneticPr fontId="7" type="noConversion"/>
  </si>
  <si>
    <t>양호 - 'Lan Manager 해시값 저장 안함' 설정된 경우
취약 - 'Lan Manager 해시값 저장' 설정된 경우</t>
    <phoneticPr fontId="7" type="noConversion"/>
  </si>
  <si>
    <t>판단: OK/BAD
[양호 조건]
 Lan Manager 해시값 저장 안함 설정됨
[취약 조건]
 Lan Manager 해시값 저장 설정됨</t>
    <phoneticPr fontId="7" type="noConversion"/>
  </si>
  <si>
    <t>계정 및 권한관리</t>
    <phoneticPr fontId="7" type="noConversion"/>
  </si>
  <si>
    <t>1. [제어판 → 관리 도구 → 로컬 보안 정책 → 로컬 정책 → 암호 정책] : [해독 가능한 암호화를 사용하여 암호 저장] 설정 확인</t>
    <phoneticPr fontId="7" type="noConversion"/>
  </si>
  <si>
    <t>양호 - 해독 가능한 암호화를 사용하여 암호 저장 '사용 안 함' 설정된 경우
취약 - 해독 가능한 암호화를 사용하여 암호 저장 '사용' 설정된 경우</t>
    <phoneticPr fontId="7" type="noConversion"/>
  </si>
  <si>
    <t>os-win-213</t>
    <phoneticPr fontId="7" type="noConversion"/>
  </si>
  <si>
    <t>판단: OK/BAD
[양호 조건]
 - ClearTextPassword 값이 0 일 경우
[취약 조건]
 - ClearTextPassword 값이 0 이 아닐 경우</t>
    <phoneticPr fontId="7" type="noConversion"/>
  </si>
  <si>
    <t>1. [제어판 → 관리 도구 → 로컬 보안 정책 → 로컬 정책 → 사용자 권한 할당] : [감사 및 보안 로그 관리] 확인</t>
    <phoneticPr fontId="7" type="noConversion"/>
  </si>
  <si>
    <t>판단: OK/BAD
[양호 조건]
"감사 및 보안 로그 관리" Administrator 그룹 및 Administrators 포함된 계정 존재 
[취약 조건]
"감사 및 보안 로그 관리" Administrator 그룹 및 Administrators 포함된 계정 외 존재함.</t>
    <phoneticPr fontId="7" type="noConversion"/>
  </si>
  <si>
    <t>1. [제어판 → 관리 도구 → 로컬 보안 정책 → 로컬 정책 → 사용자 권한 할당] : [네트워크에서 이 컴퓨터 액세스] 확인</t>
    <phoneticPr fontId="7" type="noConversion"/>
  </si>
  <si>
    <t>판단: OK/BAD
[양호 조건]
"네트워크에서 이 컴퓨터 액세스" Administrator 그룹 및 Administrators 포함된 계정, Authenticated Users 그룹 만포함 
[취약 조건]
"네트워크에서 이 컴퓨터 액세스" Administrator 그룹 및 Administrators 포함된 계정, Authenticated Users 그룹 외 계정 존재함</t>
    <phoneticPr fontId="7" type="noConversion"/>
  </si>
  <si>
    <t>1. [제어판 → 관리 도구 → 로컬 보안 정책 → 로컬 정책 → 사용자 권한 할당] : [로컬 로그온 허용] 확인</t>
    <phoneticPr fontId="7" type="noConversion"/>
  </si>
  <si>
    <t>판단: OK/BAD
[양호 조건]
로컬로그온허용 Administrators, Backup Operators, Server Operators 그룹만 할당 (Administrators 그룹에 포함된 일반 유저 포함)
[취약 조건]
Administrators, Backup Operators, Server Operators 그룹 외 할당</t>
    <phoneticPr fontId="7" type="noConversion"/>
  </si>
  <si>
    <t>1. [제어판 → 관리 도구 → 로컬 보안 정책 → 로컬 정책 → 사용자 권한 할당] : [시스템 종료] 확인</t>
    <phoneticPr fontId="7" type="noConversion"/>
  </si>
  <si>
    <t>판단: OK/BAD
[양호 조건]
시스템 종료 "Administrators" 만 존재할 경우 (Administrators 그룹에 포함된 일반 유저 포함)
[취약 조건]
시스템 종료 "Administrators" 외 다른 계정 존재</t>
    <phoneticPr fontId="7" type="noConversion"/>
  </si>
  <si>
    <t>1. [제어판 → 관리 도구 → 로컬 보안 정책 → 로컬 정책 → 사용자 권한 할당] : [원격 시스템에서 강제로 시스템 종료] 확인</t>
    <phoneticPr fontId="7" type="noConversion"/>
  </si>
  <si>
    <t>판단: OK/BAD
[양호 조건]
"원격 시스템에서 강제로 시스템 종료" "Administrators" 만 존재할 경우 (Administrators 그룹에 포함된 일반 유저 포함)
[취약 조건]
"원격 시스템에서 강제로 시스템 종료" 정책에 "Administrators" 외 다른 계정 및 그룹이 존</t>
    <phoneticPr fontId="7" type="noConversion"/>
  </si>
  <si>
    <t>계정 및 권한관리</t>
    <phoneticPr fontId="7" type="noConversion"/>
  </si>
  <si>
    <t>1. [제어판 → 관리 도구 → 로컬 보안 정책 → 로컬 정책 → 사용자 권한 할당] : [파일 또는 다른 개체의 소유권 가져오기] 확인</t>
    <phoneticPr fontId="7" type="noConversion"/>
  </si>
  <si>
    <t>판단: OK/BAD
[양호 조건]
"파일 또는 다른 개체의 소유권 가져오기" Administrators(Administrators 그룹에 포함된 일반계정 포함) 만 적용 
[취약 조건]
"파일 또는 다른 개체의 소유권 가져오기" Administrators 그룹외 적용</t>
    <phoneticPr fontId="7" type="noConversion"/>
  </si>
  <si>
    <t>1. [제어판 → 관리 도구 → 로컬 보안 정책 → 로컬 정책 → 사용자 권한 할당] : [보안 감사 생성] 확인</t>
    <phoneticPr fontId="7" type="noConversion"/>
  </si>
  <si>
    <t xml:space="preserve">판단: OK/BAD
[양호 조건]
보안 감사 생성  Local Service 그룹과 Network Service 계정에만 할당
AND
IIS7.5 설치시 Application Pool Identities 할당 
[취약 조건]
보안 감사 생성  Local Service 그룹과 Network Service 계정외 할당
OR
IIS7.5 설치시 Application Pool Identities 외 활당 </t>
    <phoneticPr fontId="7" type="noConversion"/>
  </si>
  <si>
    <t>1. [내 컴퓨터 → C:\Windows\System32\config\SAM → 등록 정보 → 보안 탭] : [권한 보유 계정/그룹] 확인
또는
1. [시작 메뉴 → 실행 → cmd]에서 [cacls C:\Windows\System32\config\SAM] 명령을 실행하여 Administrators, System 그룹만 존재 확인</t>
    <phoneticPr fontId="7" type="noConversion"/>
  </si>
  <si>
    <t>판단:OK/BAD
양호:
 - SAM 파일에 Administrators(Administrators 그룹에 포함된 계정), System 권한만 있을 경우
취약:
 - SAM 파일에 Administrators, System 및 다른 사용자의 권한이 있을 경우</t>
    <phoneticPr fontId="7" type="noConversion"/>
  </si>
  <si>
    <t>1. [내 컴퓨터 → C:\Windows\System32\cmd.exe → 등록 정보 → 보안 탭] : [권한 보유 계정/그룹] 확인
또는
1. [시작 메뉴 → 실행 → cmd]에서 [cacls C:\Windows\System32\cmd.exe] 명령을 실행하여 Administrators 그룹만 존재 확인
* 검사 파일 :
 - C:\Windows\system32\cmd.exe
 - C:\Windows\SysWOW64\cmd.exe</t>
    <phoneticPr fontId="7" type="noConversion"/>
  </si>
  <si>
    <t>판단:OK/BAD
양호:
 - SAM 파일에 Administrators(Administrators 그룹에 포함된 계정), System 권한만 있을 경우
취약:
 - SAM 파일에 Administrators, System 및 다른 사용자의 권한이 있을 경우</t>
    <phoneticPr fontId="7" type="noConversion"/>
  </si>
  <si>
    <t>1. [내 컴퓨터 → C:\Windows\System32\command.com → 등록 정보 → 보안 탭] : [권한 보유 계정/그룹] 확인
또는
1. [시작 메뉴 → 실행 → cmd]에서 [cacls C:\Windows\System32\command.com] 명령을 실행하여 Administrators 그룹만 존재 확인
* 검사 파일 :
 - C:\Windows\system32\command.com
 - C:\Windows\SysWOW64\command.com</t>
    <phoneticPr fontId="7" type="noConversion"/>
  </si>
  <si>
    <t>판단:OK/BAD
양호:
C:\Windows\system32\command.com,C:\Windows\SysWOW64\command.com 파일Adminitors/TrustedInstaller 만 일기/쓰기/실행 권한 있음
취약:
C:\Windows\system32\command.com,C:\Windows\SysWOW64\command.com Adminitors/TrustedInstaller 외 계정 읽기/쓰기/실행 권한 있음</t>
    <phoneticPr fontId="7" type="noConversion"/>
  </si>
  <si>
    <t>1. [내 컴퓨터 → C:\Windows\System32\WindowsPowerShell\v1.0\powershell.exe → 등록 정보 → 보안 탭] : [권한 보유 계정/그룹] 확인
또는
1. [시작 메뉴 → 실행 → cmd]에서 [cacls C:\Windows\System32\WindowsPowerShell\v1.0\powershell.exe] 명령을 실행하여 Administrators 그룹만 존재 확인</t>
    <phoneticPr fontId="7" type="noConversion"/>
  </si>
  <si>
    <t>os-win-2637</t>
    <phoneticPr fontId="7" type="noConversion"/>
  </si>
  <si>
    <t>판단:OK/BAD
양호:
C:\Windows\System32\WindowsPowerShell\v1.0\powershell.exe 파일  Adminitors/TrustedInstaller 만 일기/쓰기/실행 권한 있음
취약:
C:\Windows\System32\WindowsPowerShell\v1.0\powershell.exe  Adminitors/TrustedInstaller 외 계정 읽기/쓰기/실행 권한 있음</t>
    <phoneticPr fontId="7" type="noConversion"/>
  </si>
  <si>
    <t>os-win-2650</t>
    <phoneticPr fontId="7" type="noConversion"/>
  </si>
  <si>
    <t>판단: OK/BAD
양호:
powershell Get-ExecutionPolicy 결과가 'RESTRICTED', 'REMOTESIGNED' 일 경우
취약:
powershell Get-ExecutionPolicy 결과가 'RESTRICTED', 'REMOTESIGNED' 아닐 경우</t>
    <phoneticPr fontId="7" type="noConversion"/>
  </si>
  <si>
    <t>서비스 보호</t>
    <phoneticPr fontId="7" type="noConversion"/>
  </si>
  <si>
    <t>운영체제의 자체 방화벽 또는 IP보안정책, WinUAC, 3rd-Party 방화벽 제품을 사용중인지 확인
1. 아래와 같은 과정을 통해 윈도우즈 운영체제의 자체 방화벽 사용 확인
 - [시작] 버튼 클릭 후 [제어판] 클릭
 - [Windows 방화벽] 클릭 후 [Windows 방화벽 설정 또는 해제] 클릭     
 - Windows 방화벽 사용으로 설정되어 있는지 확인
2. IP 보안 정책을 설정 후 활성화
3. WinUAC 필터 설정을 활성화
4. 또는 3rd-Party 방화벽 제품 확인</t>
    <phoneticPr fontId="7" type="noConversion"/>
  </si>
  <si>
    <t>* 업무 영향도를 고려하여 윈도우즈 운영체제의 자체 방화벽 또는 3rd-Party 방화벽 제품을 사용할 것을 권고        
1. 아래와 같은 과정을 통해 윈도우즈 운영체제의 자체 방화벽 사용           
 - [시작] 버튼 클릭 후 [제어판] 클릭           
 - [Windows 방화벽] 클릭 후 [Windows 방화벽 설정 또는 해제] 클릭           
 - [켜기] 선택       
2. IP 보안 정책 활성화 및 설정
3. WinUAC 설치 및 설정</t>
    <phoneticPr fontId="7" type="noConversion"/>
  </si>
  <si>
    <t>판단:OK/BAD
[양호 기준]
방화벽, IPSec, WinUAC 3개중 하나라도 설정
[취약 기준]
방화벽, IPSec, WinUAC 모두 미설정</t>
    <phoneticPr fontId="7" type="noConversion"/>
  </si>
  <si>
    <t>2015/08/03
방화벽, IPSec, WinUAC 3개중 하나라도 설정이 안되어 있으면 BAD 로 출력.</t>
    <phoneticPr fontId="7" type="noConversion"/>
  </si>
  <si>
    <t>2015/08/03 엄탷</t>
    <phoneticPr fontId="7" type="noConversion"/>
  </si>
  <si>
    <t>서버 대역에서 외부 인터넷 접속 불가하도록 정책 적용여부 확인
 ※ 파일 전송이 가능한 사내 시스템 접속 차단
 1) 인터넷 관문 방화벽 정책과 서버 IP 대역을 방화벽 정책 자동 분석 시스템으로 점검
 2) 업무상 필요시 보안검토 후 IP, 서비스 포트 단위로 접속을 허용
 - IP/Port 단위가 아닌 IP/Port 대역 또는 전체 오픈이 필요한 경우 업무 담당 임원의 승인을 득함
 - 인터넷 접속이 허용된 서버는 자동화된 이상행위 탐지시스템을 적용하여 지속 모니터링
 3) 인터넷 미차단 서버 존재여부 및 인터넷 오픈 서버의 업무상 필요여부를 연 1회 이상 점검 내역 확인</t>
    <phoneticPr fontId="7" type="noConversion"/>
  </si>
  <si>
    <t>* N/A 항목</t>
    <phoneticPr fontId="7" type="noConversion"/>
  </si>
  <si>
    <t>업무상 필요에 의하여 외부 인터넷 접속이 필요한 경우 해당 목적지를 IP, PORT별로 최소화하여 적용하고 예외처리
※ 인터넷과 연결된 서버는 사이버사업장에 준하는 보안관제 등 보안대책 적용</t>
    <phoneticPr fontId="7" type="noConversion"/>
  </si>
  <si>
    <t>판단: N/A</t>
    <phoneticPr fontId="7" type="noConversion"/>
  </si>
  <si>
    <t xml:space="preserve">서버에는 꼭 필요한 프로그램만 설치하고 설치된 프로그램을 관리자가 안전하게 관리해야함.
</t>
    <phoneticPr fontId="7" type="noConversion"/>
  </si>
  <si>
    <t>1. 시작 → 제어판 → 프로그램 추가/제거 확인</t>
    <phoneticPr fontId="7" type="noConversion"/>
  </si>
  <si>
    <t>각 서비스에 대하여 경고 배너를 적용하고 있는지 확인
1. [제어판 → 관리 도구 → 로컬 보안 정책 → 로컬 정책 → 보안옵션] : [로그인을 시도하는 사용자에 대한 메시지 제목] 확인
2. [제어판 → 관리 도구 → 로컬 보안 정책 → 로컬 정책 → 보안옵션] : [로그인을 시도하는 사용자에 대한 메시지 텍스트] 확인</t>
    <phoneticPr fontId="7" type="noConversion"/>
  </si>
  <si>
    <t>양호 - 로그인 시도 시 메시지 제목과 메시지 설정이 있는 경우  
취약 - 로그인 시도 시 메시지 제목과 메시지 설정이 없는 경우</t>
    <phoneticPr fontId="7" type="noConversion"/>
  </si>
  <si>
    <t>판단:OK/BAD
[양호 조건]
 - HKEY_LOCAL_MACHINE\SOFTWARE\Microsoft\Windows\CurrentVersion\policies\system\legalnoticecaption 데이터가 설정된 경우
- HKEY_LOCAL_MACHINE\SOFTWARE\Microsoft\Windows\CurrentVersion\policies\system\legalnoticetext 데이터가 설정된 경우
[취약 조건]
 - HKEY_LOCAL_MACHINE\SOFTWARE\Microsoft\Windows\CurrentVersion\policies\system\legalnoticecaption 데이터가 설정안된 경우
- HKEY_LOCAL_MACHINE\SOFTWARE\Microsoft\Windows\CurrentVersion\policies\system\legalnoticetext 데이터가 설정안된 경우</t>
    <phoneticPr fontId="7" type="noConversion"/>
  </si>
  <si>
    <t>telnet과 ftp 서비스는 외부 침입자로부터 공격을 받을 수 있는 서비스임.
보안이 강화된 ssh, sftp를 사용하는 것을 권장함.</t>
    <phoneticPr fontId="7" type="noConversion"/>
  </si>
  <si>
    <t>Telnet, ftp 서비스 접속시 아이디/패스워드 전송 암호화(ssh, sftp 등) 또는 OTP(one time password)를 사용하는지 확인</t>
    <phoneticPr fontId="7" type="noConversion"/>
  </si>
  <si>
    <t>* N/A 항목</t>
    <phoneticPr fontId="7" type="noConversion"/>
  </si>
  <si>
    <t>1. 데이터센터 및 사업장 서버룸 내 서버 등 중요 서버 대상</t>
    <phoneticPr fontId="7" type="noConversion"/>
  </si>
  <si>
    <t xml:space="preserve">판단: N/A
</t>
    <phoneticPr fontId="7" type="noConversion"/>
  </si>
  <si>
    <t>중요 서버 접근 시 불필요한 접속 권한 제공으로 인한 보안 위협 요인이 있으며 적절한 보안 절차를 통해 원격 접속을 허용해야 함.</t>
    <phoneticPr fontId="7" type="noConversion"/>
  </si>
  <si>
    <t>방문지원이 원칙이나 원격접속이 불가피한 경우 다음의 기준 운영 여부 확인
1. 원격접속 대상 장비 및 방화벽 해제 등에 대한 승인절차 운영
 - 접속허용 대상 및 기간 최소화 여부 확인
2. 원격접속 대상 장비의 보안업데이트 및 최신 백신 여부 확인
3. 원격접속 작업내역 모니터링 및 작업완료 후 보안예외 사항 원상복구 확인</t>
    <phoneticPr fontId="7" type="noConversion"/>
  </si>
  <si>
    <t>1. 데이터센터 및 사업장 서버룸 내 서버 등 중요 서버 대상</t>
    <phoneticPr fontId="7" type="noConversion"/>
  </si>
  <si>
    <t xml:space="preserve">판단: OK/BAD
[양호 기준]
화면보호기를 설정 
AND
암호를 사용
AND
대기 시간이 1~10분 
[취약 기준]
화면보호기를 미설정 
OR
암호 미사용
OR
대기 시간이 0, 11분이상 </t>
    <phoneticPr fontId="7" type="noConversion"/>
  </si>
  <si>
    <t>2015/08/03 엄태현
 - 정진영 책임 요청사항 다시 확인
2015/08/05 엄태현
 - 정진영 책임 요청사항 적용 필요
 - http://project.lsware.co.kr/redmine/issues/3810</t>
    <phoneticPr fontId="7" type="noConversion"/>
  </si>
  <si>
    <t>시스템의 기본공유 항목이 제거되지 않게 되면 모든 시스템 자원에 접근할 수 있는 위험한 상황이 발생할 수 있음. 
최근에 발생한 Nimda 바이러스도 여러 가지 방법 중에서 이러한 공유기능을 침투의 한 경로로 이용한 것임.</t>
    <phoneticPr fontId="7" type="noConversion"/>
  </si>
  <si>
    <t>1. [시작메뉴 → 실행 → cmd]에서 [net share] 명령을 실행하여 ADMIN$, C$, D$ 등 미 존재 (IPC$ 허용) 확인</t>
    <phoneticPr fontId="7" type="noConversion"/>
  </si>
  <si>
    <t>양호 - ADMIN$, C$, D$ 등 미 존재하는 경우 (IPC$ 허용)
취약 - ADMIN$, C$, D$ 등 존재하는 경우</t>
    <phoneticPr fontId="7" type="noConversion"/>
  </si>
  <si>
    <t>판단: OK/BAD
[양호 기준]
AutoShareServer 0
AND
기본공유(C$~Z$) 없음
[취약 기준]
AutoShareServer 1
OR
기본공유(C$~Z$) 있음</t>
    <phoneticPr fontId="7" type="noConversion"/>
  </si>
  <si>
    <t>1. [시작메뉴 → 실행 → cmd]에서 [net share] 명령을 실행하여 디폴트 공유를 제외한 공유 폴더의 각 리소스 정보 확인
2. [해당 폴더의 등록 정보 → 공유탭 → 사용권한] : Everyone 그룹 및 Domain Users 미존재 확인</t>
    <phoneticPr fontId="7" type="noConversion"/>
  </si>
  <si>
    <t>판단: OK/BAD
[양호 기준]
일반 공유 Everyone 권한 있음
[취약 기준]
일반 공유 Everyone 권한 없음</t>
    <phoneticPr fontId="7" type="noConversion"/>
  </si>
  <si>
    <t xml:space="preserve">판단: OK/BAD
[양호 조건]
 - RestrictAnonymous/RestrictAnonymoussam 1
[취약 조건]
 - RestrictAnonymous/RestrictAnonymoussam 1아님"
</t>
    <phoneticPr fontId="7" type="noConversion"/>
  </si>
  <si>
    <t>os-win-362</t>
    <phoneticPr fontId="7" type="noConversion"/>
  </si>
  <si>
    <t>판단: OK/BAD
[양호 조건]
- RestrictAnonymous/RestrictAnonymoussam 1
- everyoneincludesanonymous 0
[취약 조건]
 - RestrictAnonymous/RestrictAnonymoussam 1아님
- everyoneincludesanonymous 0 아님</t>
    <phoneticPr fontId="8" type="noConversion"/>
  </si>
  <si>
    <t>1. [제어판 → 관리 도구 → 서비스] 에서 확인
 ※ OS에서 기본적으로 제공하는 서비스 (검토 대상 기본 서비스)
 * IIS, Alerter, Automatic Updates, Clipbook, Computer Browser,
Cryptographic Services, DHCP Client, Distributed Link Tracking Client/Server,
DNS Client, Error reporting Service, Human Interface Device Access,
IMAPI CD-Burning COM Service, Messenger, NetMeeting Remote Desktop Sharing,
Portable Media Serial Number, Print Spooler, Remote Registry,
Simple TCP/IP Services, Wireless Zero Configuration
 ※ 불필요 서비스는 서비스 영향도 평가 후 제거(예, AD 환경은 Remote registry 허용 등)</t>
    <phoneticPr fontId="7" type="noConversion"/>
  </si>
  <si>
    <t>os-win-92</t>
    <phoneticPr fontId="7" type="noConversion"/>
  </si>
  <si>
    <t>판단: OK/BAD
[양호 조건] 
 - 불필요한 서비스 중지중
[취약 조건] 
 - 불필요한 서비스 실행중
* 불필요한 서비스
Alerter, Automatic Updates, Clipbook, Computer Browser, Cryptographic Services, DHCP Client, Distributed Link Tracking Client/Server, DNS Client, Error reporting Service, Human Interface Device Access, IMAPI CD-Burning COM Service, Messenger, NetMeeting Remote Desktop Sharing, Portable Media Serial Number, Print Spooler, Remote Registry, Simple TCP/IP Services, Wireless Zero Configuration</t>
    <phoneticPr fontId="7" type="noConversion"/>
  </si>
  <si>
    <t>서비스 보호</t>
    <phoneticPr fontId="7" type="noConversion"/>
  </si>
  <si>
    <t>1. [제어판 → 관리 도구 → 서비스 → 보안 탭 → 등록정보] : [community] 확인</t>
    <phoneticPr fontId="7" type="noConversion"/>
  </si>
  <si>
    <t xml:space="preserve">판단:OK/BAD
[양호 조건]
 - (SNMP 미 설치 OR SNMP 미실행)
 OR
 (SNMP 커뮤니티 영/수/특 혼합 8자 이상)
취약:
 - (SNMP 설치 AND SNMP 실행)
 AND
 (SNMP 커뮤니티 영/수/특 혼합 8자 만족 안함)
</t>
    <phoneticPr fontId="7" type="noConversion"/>
  </si>
  <si>
    <t>양호 - FTP를 사용하지 않거나 "익명 연결 허용" 이 체크되어 있지 않은 경우
취약 - FTP를 사용하거나 "익명 연결 허용" 이 체크되어 있는 경우</t>
    <phoneticPr fontId="7" type="noConversion"/>
  </si>
  <si>
    <t>os-win-1839</t>
    <phoneticPr fontId="7" type="noConversion"/>
  </si>
  <si>
    <t xml:space="preserve">판단: OK/BAD
[양호 조건] 
FTP 미실행
OR
(FTP 서비스 실행중
AND
"익명 연결 허용" 체크)
[취약 조건] 
(FTP 서비스 실행중
AND
"익명 연결 허용" 언체크)
</t>
    <phoneticPr fontId="7" type="noConversion"/>
  </si>
  <si>
    <t>이 정책 설정은 컴퓨터에 마지막으로 로그온한 사용자의 이름을 Windows 로그온 대화 상자에 표시할지 여부를 결정함.
이 정책 설정을 사용하면 마지막으로 로그온한 사용자의 이름이 표시되지 않음.
실제로 콘솔에 액세스할 수 있는 사용자 또는 터미널 서비스를 통해 서버에 연결할 수 있는 사용자 등 콘솔에 액세스할 수 있는 공격자는 서버에 마지막으로 로그온한 사용자의 이름을 볼 수 있음.
그러면 공격자는 암호를 추측하거나 사전을 사용하거나 무단 공격을 통해 로그온을 시도함.</t>
    <phoneticPr fontId="7" type="noConversion"/>
  </si>
  <si>
    <t>판단: OK/BAD
[양호 조건] 
"마지막 사용자 이름 표시 안함" 설정
[취약 조건] 
"마지막 사용자 이름 표시 안함" 미설정</t>
    <phoneticPr fontId="7" type="noConversion"/>
  </si>
  <si>
    <t>이 정책 설정은 Windows에 로그온하지 않고 컴퓨터를 종료할 수 있는지 여부를 결정함.
이 정책 설정을 사용하면 Windows 로그온 화면에서 시스템 종료 명령을 사용할 수 있음.
이 정책 설정을 사용하지 않으면 Windows 로그온 화면에서 시스템 종료 옵션이 없어짐.
이렇게 구성하는 경우 사용자는 컴퓨터에 로그온하여 시스템 종료 사용자 권한을 받아야 컴퓨터를 종료할 수 있음.
콘솔에 로컬로 액세스할 수 있는 사용자는 시스템을 종료할 수 있음.
공격자도 로컬 콘솔에 액세스하여 서버를 다시 시작할 수 있으므로 일시적인 DoS 상황이 발생할 수 있음.
또한 공격자는 서버를 종료하여 서버의 모든 응용 프로그램 및 서비스를 사용하지 못하도록 할 수 있음.</t>
    <phoneticPr fontId="7" type="noConversion"/>
  </si>
  <si>
    <t>판단: OK/BAD
[양호 조건] 
"로그온하지 않고 시스템 종료 허용"  사용안함
[취약 조건] 
"로그온하지 않고 시스템 종료 허용"  사용함</t>
    <phoneticPr fontId="7" type="noConversion"/>
  </si>
  <si>
    <t>1. [시작 메뉴 → 실행 → regedit]에서 [HKLM\SOFTWARE\Microsoft\Windows NT\CurrentVersion\Winlogon] 내의 [AutoAdminLogon] 값이 미존재 또는 0인지 확인</t>
    <phoneticPr fontId="7" type="noConversion"/>
  </si>
  <si>
    <t>os-win-35</t>
    <phoneticPr fontId="7" type="noConversion"/>
  </si>
  <si>
    <t>판단: OK/BAD
[양호 조건]
 - AutoAdminLogon = 0
AND
 DefaultPassword 값 없음
[취약 조건]
 - AutoAdminLogon ≠ 0
AND
 DefaultPassword 값 있음</t>
    <phoneticPr fontId="33" type="noConversion"/>
  </si>
  <si>
    <t>로그 및 패치관리</t>
    <phoneticPr fontId="7" type="noConversion"/>
  </si>
  <si>
    <t>이벤트 로그에 대해서 덮어쓰지 않도록 설정하여 이벤트 로그를 보호함.</t>
    <phoneticPr fontId="7" type="noConversion"/>
  </si>
  <si>
    <t>1. 유사 시 책임 추적을 위해 서버의 로그기록을 1년 이상 유지/관리하는지 확인
 - 접속로그, 권한상승로그, 이벤트 로그 등 보관여부 확인
 - 로그의 보관기간 확인
 - 로그 자체의 신뢰성 확인
   1) 공용계정에 대한 추적성이 보장되는지 여부 확인
   2) 서버 시간이 현재 시간과 정확하게 일치하는지 확인</t>
    <phoneticPr fontId="7" type="noConversion"/>
  </si>
  <si>
    <t>1. 보안 이벤트 로그 확인
 * 접속자 계정, 접속자 IP, 접속시간 등을 확인할 수 있어야 하며, 별도의 로깅 솔루션 도입시 해당 로그 파일 확인
2. 로그 1년 보관
3. 아래 1), 2) 모두 만족
 1) 공용 계정 미사용 또는 공용 계정 사용자 식별 가능
 2) NTP 서버 연동 등 서버 시간 동기화 설정으로 현재 시간과 일치
  * NTP 서버는 내부 NTP 서버를 사용할 것을 권장</t>
    <phoneticPr fontId="7" type="noConversion"/>
  </si>
  <si>
    <t>판단:Info
출력 내용:
로그 파일을 열어서 로그가 기록된 시작 날짜를 Info 형식으로 보여줌.</t>
    <phoneticPr fontId="7" type="noConversion"/>
  </si>
  <si>
    <t>LP01</t>
    <phoneticPr fontId="7" type="noConversion"/>
  </si>
  <si>
    <t>2015/08/03
로그 파일을 열어서 로그가 기록된 시작 날짜를 Info 형식으로 보여줌.</t>
    <phoneticPr fontId="7" type="noConversion"/>
  </si>
  <si>
    <t>2016/03/08 엄태현
 - 기준 변경, Information 항목으로 기준에 Information 관련 내용 명시함.</t>
    <phoneticPr fontId="7" type="noConversion"/>
  </si>
  <si>
    <t>[Windows 공통]
시작 → 제어판 → Windows Update → 업데이트 기록보기
보안 업데이트 적용 현황을 확인 (최소 연간 1회 이상 적용)
1. 서버의 OS 및 중요 SW에 대한 보안 업데이트 적용여부 확인
 - OS 및 SW의 보안 업데이트 주관부서 지정여부
 - OS 및 SW의 최신 보안 업데이트 적용여부
2. 판매중지, 유지보수 서비스 중지여부로 인한 보안패치 불가 여부 확인
3. 서버 OS 및 백신 업데이트용 내부서버 구축</t>
  </si>
  <si>
    <t>1. 수동 HOT FIX 적용 
아래의 사이트에서 패치 리스트를 조회하여, 서버에 필요한 패치를 선별하여 수동으로 설치함
https://technet.microsoft.com/ko-kr/security/
2. 자동 HOT FIX 적용
Windows 자동 업데이트 기능을 이용한 설치
제어판&gt; windows update</t>
    <phoneticPr fontId="7" type="noConversion"/>
  </si>
  <si>
    <t xml:space="preserve">판단: OK/BAD
[양호 조건] 
HotFix 마지막 설치 날짜가 180일 이내
[취약 조건] 
HotFix 마지막 설치 날짜가 181일 이상 </t>
    <phoneticPr fontId="7" type="noConversion"/>
  </si>
  <si>
    <t>로그 및 패치관리</t>
    <phoneticPr fontId="7" type="noConversion"/>
  </si>
  <si>
    <t>운영체제별 벤더사의 판매중지, 유지보수 서비스 중지로 인한 보안패치 불가 여부 확인</t>
    <phoneticPr fontId="7" type="noConversion"/>
  </si>
  <si>
    <t>양호 - 최신 핫픽스 등 보안 패치를 적절하게 적용하고 있는 경우
취약 - 최신 핫픽스 등 보안 패치를 검토하는 절차가 없고, 패치를 적용하지 않은 경우</t>
    <phoneticPr fontId="7" type="noConversion"/>
  </si>
  <si>
    <t>1. 벤더사에서 서비스 중인 OS 사용을 원칙으로 하되, 판매가 중지되었을 경우(EOS), 보안 업데이트 적용이 불가능한 상태인지(EOL) 확인하여 장비 및 SW 교체 진행</t>
    <phoneticPr fontId="7" type="noConversion"/>
  </si>
  <si>
    <t>os-win-227</t>
    <phoneticPr fontId="7" type="noConversion"/>
  </si>
  <si>
    <t>판단: Info
출력내용:
 - OS Version, Service Pack 버전 출력</t>
    <phoneticPr fontId="7" type="noConversion"/>
  </si>
  <si>
    <t>판단: OK/BAD
[양호 조건]
계정 관리 감사’에 (성공,실패) 
계정 로그온 이벤트 감사’에 (성공,실패) 
로그온 이벤트 감사’에 (성공,실패) 
정책 변경 감사에 (성공) 
시스템 이벤트 감사에 (성공)
[취약 조건] 
양호 조건 만족하지 않음</t>
    <phoneticPr fontId="7" type="noConversion"/>
  </si>
  <si>
    <t>판단: OK/BAD
[양호 조건]
"이벤트 덮어쓰지 않음" 설정됨
[취약 조건] 
"이벤트 덮어쓰지 않음" 설정 안됨</t>
    <phoneticPr fontId="7" type="noConversion"/>
  </si>
  <si>
    <t>1. [제어판 → 관리 도구 → 컴퓨터 관리 → 시스템 도구 → 이벤트 뷰어 → 보안 → 속성] : [로그 이름] 확인
2. [해당 파일의 권한 정보] 확인
또는
1. [제어판 → 관리 도구 → 컴퓨터 관리 → 시스템 도구 → 이벤트 뷰어 → 보안 → 속성] : [로그 이름] 확인
2. [시작메뉴 → 실행 → cmd]에서 [cacls &lt;해당 파일 명&gt;] 명령을 실행하여 Everyone/Users 그룹 미 존재 확인</t>
    <phoneticPr fontId="7" type="noConversion"/>
  </si>
  <si>
    <t>판단: OK/BAD
[양호 조건]
이벤트 로그 Everyone/Users 그룹 권한 없음
[취약 조건] 
이벤트 로그 Everyone/Users 그룹 권한 있음</t>
    <phoneticPr fontId="7" type="noConversion"/>
  </si>
  <si>
    <t>1. [백신 실행] : [엔진 버전] 확인</t>
    <phoneticPr fontId="7" type="noConversion"/>
  </si>
  <si>
    <t>[엔진 버전] : 확인 시점 1주일 이내
※ 백신 업데이트에 대한 별도 관리 계획이 있는 경우 고객사와 합의된 관리계획을 확인하고, 최신 업데이트 버전을 확인 함</t>
    <phoneticPr fontId="7" type="noConversion"/>
  </si>
  <si>
    <t>판단: OK/BAD
[양호 조건]
백신 업데이트 7일 이내
[취약 조건] 
백신 업데이트 7일 초과</t>
    <phoneticPr fontId="7" type="noConversion"/>
  </si>
  <si>
    <t>1. [백신 실행] : [실시간 검사 설정] 확인</t>
    <phoneticPr fontId="7" type="noConversion"/>
  </si>
  <si>
    <t>담당자를 통해 바이러스 백신 업데이트 및 [실시간 검사 설정] : 사용 확인</t>
    <phoneticPr fontId="7" type="noConversion"/>
  </si>
  <si>
    <t>os-win-2561</t>
    <phoneticPr fontId="7" type="noConversion"/>
  </si>
  <si>
    <t>판단: OK/BAD
[양호 조건]
백신 실시간 감사 기능 설정됨
[취약 조건] 
백신 실시간 감사 기능 설정 안됨</t>
    <phoneticPr fontId="7" type="noConversion"/>
  </si>
  <si>
    <t xml:space="preserve">웜, 트로이목마 등의 악성 바이러스로 인한 피해규모가 커지고 있으며 이에 대한 피해를 최소화하기 위해 반드시 바이러스 백신 프로그램을 설치해야 함.
바이러스 백신 프로그램은 바이러스 감염 여부 진단 및 치료, 파일의 보호를 할 수 있으며 예방도 가능함. </t>
    <phoneticPr fontId="7" type="noConversion"/>
  </si>
  <si>
    <t>1. [백신] → [검역소 또는 로그 보기] 에서 최근 6개월 간 악성코드 감염 이력이 존재하는지 확인
※ 검역내역 존재 시 해당 원인파악 및 조치결과 확인</t>
    <phoneticPr fontId="7" type="noConversion"/>
  </si>
  <si>
    <t>1. 악성코드 감염 이력 미존재
2. 악성코드 감염 이력 존재시
 - 감염 원인/경로 분석 및 재발 방지 조치 이력 확인</t>
    <phoneticPr fontId="7" type="noConversion"/>
  </si>
  <si>
    <t>os-win-2555</t>
    <phoneticPr fontId="7" type="noConversion"/>
  </si>
  <si>
    <t>판단: info
ProgramData\\Symantec\\Symantec Endpoint Protection\\CurrentVersion\\SRTSP\\Quarantine
C:\\ProgramData\\Symantec\\Symantec Endpoint Protection\\CurrentVersion\\Data\\Logs\\AVMan.log</t>
    <phoneticPr fontId="7" type="noConversion"/>
  </si>
  <si>
    <t>판단: OK/BAD
[양호 조건]
"데이터 실행 방지(DEP)" 가  "사용자가 직접 선택한 항목을 제외한 모든 프로그램 및 서비스" 설정
[취약 조건] 
"데이터 실행 방지(DEP)" 가 "데이터 실행 방지(DEP)를 필수적인 Windows 프로그램 및 서비스" 설정</t>
    <phoneticPr fontId="7" type="noConversion"/>
  </si>
  <si>
    <t>실행된 프로세스 리스트에 DB(Oracle, Mysql, MSsql, PostgreSQL 等) 구동 여부 확인
1. [taskmgr] 명령어 실행 후 DB 구동 여부 확인</t>
    <phoneticPr fontId="7" type="noConversion"/>
  </si>
  <si>
    <t>DMZ 서버 내 DB 미존재</t>
    <phoneticPr fontId="7" type="noConversion"/>
  </si>
  <si>
    <t>os-win-3151</t>
    <phoneticPr fontId="7" type="noConversion"/>
  </si>
  <si>
    <t>판단: Info
oracle, mssql, mysql, postgresql 프로세스 출력</t>
    <phoneticPr fontId="7" type="noConversion"/>
  </si>
  <si>
    <t>DB 존재시, DB內 개인정보, 대외비 등 중요 데이터 존재 여부 추가 확인</t>
    <phoneticPr fontId="7" type="noConversion"/>
  </si>
  <si>
    <t>DB 내 중요 데이터 미존재</t>
    <phoneticPr fontId="7" type="noConversion"/>
  </si>
  <si>
    <t>DMZ內 서버</t>
    <phoneticPr fontId="7" type="noConversion"/>
  </si>
  <si>
    <t>DMZ內 서버</t>
    <phoneticPr fontId="7" type="noConversion"/>
  </si>
  <si>
    <t>Y</t>
    <phoneticPr fontId="7" type="noConversion"/>
  </si>
  <si>
    <t>Y</t>
    <phoneticPr fontId="7" type="noConversion"/>
  </si>
  <si>
    <t xml:space="preserve">판단:Info 항목
출력 내용:
 - 설치된 Software 리스트 출력
</t>
    <phoneticPr fontId="7" type="noConversion"/>
  </si>
  <si>
    <t>* Information 항목으로 전체 계정 List 출력
양호 - 불필요한 계정이 존재하지 않는 경우
취약 - 불필요한 계정이 존재하는 경우</t>
    <phoneticPr fontId="7" type="noConversion"/>
  </si>
  <si>
    <t>양호 - 최소 암호 길이가 '8' 이상으로 설정된 경우
취약 - 최소 암호 길이가 '8' 미만으로 설정된 경우</t>
    <phoneticPr fontId="7" type="noConversion"/>
  </si>
  <si>
    <t>양호 - 최근 암호 기억이 '2' 이상으로 설정된 경우
취약 - 최근 암호 기억이 '2' 미만으로 설정된 경우</t>
    <phoneticPr fontId="7" type="noConversion"/>
  </si>
  <si>
    <t>양호 - 최소 암호 사용 기간이 '1' 이상으로 설정된 경우
취약 - 최소 암호 사용 기간이 '0' 으로 설정된 경우</t>
    <phoneticPr fontId="7" type="noConversion"/>
  </si>
  <si>
    <t>양호 - '계정 사용 안 함'이 체크되어 있는 경우
취약 - '계정 사용 안 함'이 체크 해제된 경우</t>
    <phoneticPr fontId="7" type="noConversion"/>
  </si>
  <si>
    <t>양호 - '암호는 복잡성을 만족해야함' 설정이 '사용' 인 경우
취약 - '암호는 복잡성을 만족해야함' 설정이 '사용 안 함' 인 경우</t>
    <phoneticPr fontId="7" type="noConversion"/>
  </si>
  <si>
    <t>양호 - 계정 잠금 기간이 '30' 이상으로 설정된 경우
취약 - 계정 잠금 기간이 '30' 미만으로 설정된 경우</t>
    <phoneticPr fontId="7" type="noConversion"/>
  </si>
  <si>
    <t>양호 - 계정 잠금 임계값이 '5' 이하로 설정된 경우
취약 - 계정 잠금 임계값이 '5' 초과로 설정된 경우</t>
    <phoneticPr fontId="7" type="noConversion"/>
  </si>
  <si>
    <t>양호 - Administrators, Authenticated Users 또는 해당 계정에 속하는 계정이 포함되어 있는 경우(Administrators 그룹에 포함된 일반 유저 포함)
취약 - Administrators, Authenticated Users 외의 그룹 또는 계정이 포함되어 있는 경우</t>
    <phoneticPr fontId="7" type="noConversion"/>
  </si>
  <si>
    <t>양호 - Administrators 그룹만 포함되어 있는 경우
취약 - Administrators 그룹 외에 다른 계정이 포함되어 있는 경우</t>
    <phoneticPr fontId="7" type="noConversion"/>
  </si>
  <si>
    <t>양호 - Administrators, Backup Operators, Server Operators 그룹만 할당된 경우 (Administrators 그룹에 포함된 일반 유저 포함)
취약 - Administrators, Backup Operators, Server Operators 그룹 외 할당된 경우</t>
    <phoneticPr fontId="7" type="noConversion"/>
  </si>
  <si>
    <t>양호 - "시스템 종료" 정책에 "Administrators" 만 존재하는 경우 (Administrators 그룹에 포함된 일반 유저 포함)
취약 - "시스템 종료" 정책에 "Administrators" 외 다른 계정 및 그룹이 존재하는 경우</t>
    <phoneticPr fontId="7" type="noConversion"/>
  </si>
  <si>
    <t>양호 - "원격 시스템에서 강제로 시스템 종료" 정책에 "Administrators" 만 존재하는 경우 (Administrators 그룹에 포함된 일반 유저 포함)
취약 - "원격 시스템에서 강제로 시스템 종료" 정책에 "Administrators" 외 다른 계정 및 그룹이 존재하는 경우</t>
    <phoneticPr fontId="7" type="noConversion"/>
  </si>
  <si>
    <t>양호 - Local Service 그룹과 Network Service 계정에만 보안 감사 생성 사용자 권한이 할당되어 있는 경우 (IIS 7.5 환경에서는 Application Pool Identities 허용)
취약 - Local Service 그룹과 Network Service 계정을 제외한 그룹 또는 계정이 포함되어 있는 경우</t>
    <phoneticPr fontId="7" type="noConversion"/>
  </si>
  <si>
    <t>양호 - sam 파일 권한이 Administrators, SYSTEM만 있는 경우
(Administrators 그룹에 포함된 일반 유저 포함)
취약 - sam 파일 권한이 Administrators, SYSTEM 이외에 비인가된 계정이 들어가 있는 경우</t>
    <phoneticPr fontId="7" type="noConversion"/>
  </si>
  <si>
    <t>양호 - 중요 파일의 권한이 Administrators 그룹만 존재하는 경우
취약 - 중요 파일의 권한이 Administrators 이외에 비인가된 계정이 들어가 있는 경우</t>
    <phoneticPr fontId="7" type="noConversion"/>
  </si>
  <si>
    <t>양호 - 실행 가능한 파일에 대한 제한 설정이 되어 있는 경우
취약 - 실행 가능한 파일에 대한 제한 설정이 되어있지 않은 경우</t>
    <phoneticPr fontId="7" type="noConversion"/>
  </si>
  <si>
    <t>양호 - 방화벽 사용, IP 보안정책 활성화, WinUAC 설치된 경우
취약 - 방화벽 미 사용, IP 보안정책 비 활성화, WinUAC 미 사용인 경우</t>
    <phoneticPr fontId="7" type="noConversion"/>
  </si>
  <si>
    <t>양호 - 불필요한 프로그램이 존재하지 않은 경우
취약 - 불필요한 프로그램 존재하는 경우</t>
    <phoneticPr fontId="7" type="noConversion"/>
  </si>
  <si>
    <t xml:space="preserve">양호
 - 네트워크 액세스: 'SAM 계정과 공유의 익명 열거 허용 안 함' 상태 '사용'인 경우 
 - 네트워크 액세스: 'SAM 계정의 익명 열거 허용 안 함' 상태 '사용'인 경우
취약
 - 네트워크 액세스: 'SAM 계정과 공유의 익명 열거 허용 안 함' 상태 '사용 안 함'인 경우
 - 네트워크 액세스: 'SAM 계정의 익명 열거 허용 안 함' 상태 '사용 안 함'인 경우 </t>
    <phoneticPr fontId="7" type="noConversion"/>
  </si>
  <si>
    <t>양호 - 해당 보안옵션 값이 설정되어 있는 경우
취약 - 해당 보안옵션 값이 설정되어 있지 않은 경우</t>
    <phoneticPr fontId="7" type="noConversion"/>
  </si>
  <si>
    <t>1. [SAM 계정과 공유의 익명 연결 열거 허용 안함] : 사용
2. [SAM 계정의 익명열거 허용 안 함] : 사용
3. [Everyone 권한을 익명사용자에게 적용] : 사용 안함
4. [명명된 파이프와 공유에 대한 익명 엑세스 제한] : 사용</t>
    <phoneticPr fontId="7" type="noConversion"/>
  </si>
  <si>
    <t>양호 - '마지막 사용자 이름 표시 안함’에 '사용' 설정되어 있는 경우
취약 - '마지막 사용자 이름 표시 안함’에 '사용' 설정 되어있지 않은 경우</t>
    <phoneticPr fontId="7" type="noConversion"/>
  </si>
  <si>
    <t>양호 - '보안 옵션중 로그온하지 않고 시스템 종료 허용'에 '사용 안 함'으로 설정된 경우
취약 - '보안 옵션중 로그온하지 않고 시스템 종료 허용'에 '사용'으로 설정된 경우</t>
    <phoneticPr fontId="7" type="noConversion"/>
  </si>
  <si>
    <t>양호 - 자동 로그온 관련 레지스트리 값 AutoAdminLogon 값이 '0'인 경우
취약 - 자동 로그온 관련 레지스트리 값 AutoAdminLogon 값이 '1'인 경우</t>
    <phoneticPr fontId="33" type="noConversion"/>
  </si>
  <si>
    <t>* Information 항목으로 로그파일의 로그 기록 시작 날짜 출력
양호 - 접속기록 등의 보안 로그, 응용 프로그램 및 시스템 로그 기록에 대해 정기적으로 검토, 분석, 리포트 작성 및 보고 등의 조치가 이루어지는 경우
취약 - 위 로그 기록에 대해 정기적으로 검토, 분석, 리포트 작성 및 보고 등의 조치가 이루어지지 않는 경우</t>
    <phoneticPr fontId="7" type="noConversion"/>
  </si>
  <si>
    <t>양호 - HotFix 마지막 설치 날짜가 '180'일 이하인 경우
취약 - HotFix 마지막 설치 날짜가 '180'일 초과인 경우</t>
    <phoneticPr fontId="7" type="noConversion"/>
  </si>
  <si>
    <t>양호 - '이벤트 덮어쓰지 않음' 설정된 경우
취약 - '이벤트 덮어쓰지 않음'으로 설정되지 않은 경우</t>
    <phoneticPr fontId="7" type="noConversion"/>
  </si>
  <si>
    <t>양호 - Everyone/Users 그룹이 존재하지 않은 경우
취약 - Everyone/Users 그룹이 존재하는 경우</t>
    <phoneticPr fontId="7" type="noConversion"/>
  </si>
  <si>
    <t>양호 - 바이러스 백신 프로그램의 실시간 감시 기능을 사용하는 경우
취약 - 바이러스 백신 프로그램의 실시간 감시 기능을 사용하지 않는 경우</t>
    <phoneticPr fontId="7" type="noConversion"/>
  </si>
  <si>
    <t>양호 - 악성코드 감염 이력이 존재하지 않은 경우
취약 - 악성코드 감염 이력이 존재하는 경우</t>
    <phoneticPr fontId="7" type="noConversion"/>
  </si>
  <si>
    <t>양호 - 데이터 실행방지(DEP)를 사용자가 직접 선택한 항목을 제외한 모든 프로그램 및 서비스가 사용으로 설정된 경우
취약 - 데이터 실행 방지(DEP)를 필수적인 Windows 프로그램 및 서비스만 사용으로 설정된 경우</t>
    <phoneticPr fontId="7" type="noConversion"/>
  </si>
  <si>
    <t>서버 內 모든 계정의 상태(Active/Expire/Lock)와 계정 근거 일치 여부 확인
1. 계정관리대장 또는 시스템 내 서버별 [계정 리스트] 확인
2. 계정별 생성 근거 문서 확인
3. 계정신청서 내 필수포함 항목들
 1) 실제 사용자 
 2) 사용목적 및 계정구분(개인계정/서비스용/관리자용 등)
 3) 사용기간  
 4) 신청구분: 신규/변경/삭제 
 5) 보안예외필요항목, 추가 권한부여 항목 등 포함
4. 결재경로 : 고객사 합의(필수포함)
5. 관리자 권한계정 신청 시 관리자 권한이 필요한 사유에 대한 명시 필요</t>
    <phoneticPr fontId="7" type="noConversion"/>
  </si>
  <si>
    <t>1. [바탕화면 → 속성 → 화면보호기 탭] 열기
2. [화면 보호기] 확인
3. [암호 사용] 확인
4. [대기시간] 확인</t>
    <phoneticPr fontId="7" type="noConversion"/>
  </si>
  <si>
    <t>양호 - 일반공유 디렉터리가 없거나 공유 디렉터리 접근 권한에 Everyone 이 없는 경우
취약 - 일반공유 디렉터리의 접근 권한에 Everyone 이 있는 경우</t>
    <phoneticPr fontId="7" type="noConversion"/>
  </si>
  <si>
    <t>양호 - 불필요한 서비스 중지, 수동 또는 사용 안 함 상태인 경우
취약 - 불필요한 서비스 시작, 자동 상태인 경우</t>
    <phoneticPr fontId="7" type="noConversion"/>
  </si>
  <si>
    <t>양호 - 바이러스 백신 프로그램의 업데이트 시점이 '7'일 이내인 경우
취약 - 바이러스 백신 프로그램의 업데이트 시점이 '7'일 초과된 경우</t>
    <phoneticPr fontId="7" type="noConversion"/>
  </si>
  <si>
    <t>1. 서버 내 모든 계정리스트와 계정관리대장 또는 시스템 내 서버별 [계정 리스트] 일치
2. 서버 설치 시 기본제공 되는 계정들에 대해서는  업무상 필요한 사유가 없으면 삭제하거나 Lock 처리
예) administrator, guest, ubuntu, ec2-user, admin 등 미사용
3. 2명 이상이 1개의 계정을 공유하여 사용하는 것이 불가피할 경우 공용계정의 실제 사용자가 누구인지 추적이 가능해야 함
* 별도 통합계정관리 솔루션 사용시 해당 솔루션 로그 분석
4. 계정 Life-cycle 관리를 상시 수행하는지 확인이 필요할 경우 추가점검 사항
 - 미승인 계정을 사용한 이력이 존재하였는지 로그 분석을 통해 확인
 1) 계정 접속 이력 확인 
  제어판 → 관리도구 → 컴퓨터 관리 → 시스템 도구 → 이벤트 뷰어 → 보안 에서 찾기로 이벤트 ID 4624(login 이벤트), 4634(logoff 이벤트)를 검색하여 하단 일반 탭에서 계정이름 항목을 확인
 2) 계정 삭제 이력 확인
  제어판 → 관리도구 → 컴퓨터 관리 → 시스템 도구 → 이벤트 뷰어 → 보안 에서 찾기로 이벤트 ID 4726(계정삭제 이벤트)를 검색하여 하단 일반 탭에서 계정이름 항목을 확인</t>
  </si>
  <si>
    <t>1. 제어판 → 관리도구 → 컴퓨터 관리 → 시스템 도구 → 로컬 사용자 및 그룹 → 사용자 → "Administrator" 이름 바꾸기
* OS 설치 시 기본 생성되는 계정은 근거 결재 문서 불필요
* 계정 생성/변경/폐기 절차는 '계정 및 권한 발급 절차' 참고
* IIS서비스를 제공하는 경우 IIS_WPG, IUSR_서버명, IWAM_서버명, ASPNET 등 기본설치 계정 예외 허용
* 계정 삭제가 불가능한 경우 명확한 사유를 기재하여 절차에 따라 예외처리 (예외 기한 최대 1년)</t>
  </si>
  <si>
    <t>1. 제어판 → 관리도구 → 로컬 보안 정책 → 계정 정책 → 암호 정책 → 암호는 복잡성을 만족해야 함 을 '사용' 으로 설정
※ 패스워드 설정 기준
 -  8자리 이상의 알파벳 대문자와 소문자, 특수문자, 숫자 중 2종류 이상 또는 10자리 이상의 알파벳 대소문자, 특수문자 중 1종류로 구성된 문자열로 생성
 - 계정, 호스트명, 회사명 등 쉽게 추측 가능한 패스워드 사용 금지 (예: samsung00)
 - 패스워드 복잡도 설정 이전에 적용된 패스워드는 실시간 적용되지 않으므로 패스워드 재설정 필요</t>
  </si>
  <si>
    <t>1. 제어판 → 관리도구 → 로컬 보안 정책 → 계정 정책 → 암호 정책 → "최근 암호 기억"을 2 개로 설정</t>
  </si>
  <si>
    <t>1. 제어판 → 관리도구 → 로컬 보안 정책 → 계정 정책 → 암호 정책 → “최소 암호 사용 기간”을 '1일'로 설정</t>
  </si>
  <si>
    <t>1. 제어판 → 관리도구 → 로컬 보안 정책 → 계정 정책 → 암호 정책 → “최대 암호 사용 기간”을 '90일' 이하로 설정
2. 제어판 → 관리도구 → 컴퓨터 관리 → 시스템 도구 → 로컬 사용자 및 그룹 → 사용자 선택 → 암호 사용 기간 제한 없음 체크 해제</t>
  </si>
  <si>
    <t>1. 제어판 → 관리도구 → 로컬 보안 정책 → 계정 정책 → 계정잠금기간 30 이상으로 설정</t>
  </si>
  <si>
    <t>1. 제어판 → 관리도구 → 로컬 보안 정책 → 계정 정책 → 계정잠금임계값 5 이하로 설정</t>
  </si>
  <si>
    <t>1. 제어판 → 관리도구 → 로컬 보안 정책 → 계정 정책 → 암호 정책 → "해독 가능한 암호화를 사용하여 암호 저장" 을 "사용 안 함" 으로 설정</t>
  </si>
  <si>
    <t>1. 제어판 → 관리도구 → 로컬 보안 정책 → 로컬 정책 → 사용자 권한 할당 → 감사 및 보안 로그 관리에서 Administrators 그룹만 존재</t>
  </si>
  <si>
    <t>1. 제어판 → 관리도구 → 로컬 보안 정책 → 로컬정책 → 사용자 권한 할당 → "시스템 종료" 정책에 Administrators 그룹만 존재
* AD 환경은 Domain Admin 권한 존재 허용</t>
  </si>
  <si>
    <t>1. 제어판 → 관리도구 → 로컬 보안 정책 → 로컬정책 → 사용자 권한 할당 → "원격 시스템에서 강제로 시스템 종료" 정책에 Administrators 그룹만 존재
* AD 환경은 Domain Admin 권한 존재 허용</t>
  </si>
  <si>
    <t>1. 제어판 → 관리도구 → 로컬 보안 정책 → 로컬정책 → 사용자 권한 할당 → 파일 또는 기타 개체의 소유권 가져오기 → Administrators 그룹만 존재
* AD 환경은 Domain Admin 권한 존재 허용</t>
  </si>
  <si>
    <t>1. 제어판 → 관리도구 → 로컬 보안 정책 → 로컬정책 → 사용자 권한 할당 → "보안 감사 생성" 에서 LOCAL SERVICE, NETWORK SERVICE 그룹만 존재
(IIS 7.5 환경에서는 Application Pool Identities 허용)</t>
  </si>
  <si>
    <t>1. C:\Windows\System32\config\sam → 속성 → 보안 → 권한 확인 → 비인가 권한을 제거</t>
  </si>
  <si>
    <t>1. 시작 → 관리도구 → 로컬 보안 정책 → 로컬 정책 → 보안 옵션
 - '대화형 로그온 : 로그온 시도하는 사용자에 대한 메시지 제목' : 배너 제목 입력
 - '대화형 로그온 : 로그온 시도하는 사용자에 대한 메시지 텍스트' : 배너 내용 입력
* 경고문구에는 인가된 사용자만 접근가능, 접근 내역이 모니터링 되고있다는 내용이 포함되어 있어야 함</t>
  </si>
  <si>
    <t>[Windows Server 2008, 2012]
1. [제어판 → 모든 제어판 항목 → 디스플레이 → 화면 보호기 변경]
2. [화면 보호기] 종류 선택
3. [다시 시작할 때 로그온 화면 표시] 체크박스 체크
4. [대기] 10분 이내 설정
[Windows Server 2016 이상]
1. [설정 → 개인 설정 → 잠금 화면 → 화면 보호기 설정]
2. [화면 보호기] 종류 선택
3. [다시 시작할 때 로그온 화면 표시] 체크박스 체크
4. [대기] 10분 이내 설정</t>
  </si>
  <si>
    <t>1. 시작 → 실행 → FSMGMT.MSC → 공유 → 사용 권한에서 Everyone 으로 된 공유를 제거하고 접근이 필요한 계정의 적절한 권한을 추가
2. [사용자 별 권한 확인] : Everyone 그룹 및 Domain Users 미 존재</t>
  </si>
  <si>
    <t xml:space="preserve">1. 시작 → 실행 → SECPOL.MSC → 로컬정책 → 보안 옵션에서 확인
- "네트워크 액세스 : SAM 계정과 공유의 익명 열거 허용 안 함" 상태를 '사용'으로 설정
- “네트워크 액세스 : SAM 계정의 익명 열거 허용 안 함” 상태를 '사용'으로 설정 </t>
  </si>
  <si>
    <t>1. 시작 → 실행 → SERVICES.MSC → SNMP Service → 속성 → 보안 → 쓰기권한이 필요하지 않다면 커뮤니티 이름을 읽기 전용으로 Public/Private 이 아닌 이름을 추가
2. [community] : [private, public]이 아니며, 패스워드 사용 규칙에 맞는 문자열 사용해야 함
※ 부서명, 업무명 등 유추 가능한 패스워드 및 연속된 숫자가 들어간 패스워드 사용금지</t>
  </si>
  <si>
    <t>1. 시작 → 실행 → INETMGR → FTP 사이트 → 속성 → 보안 계정 → 익명 연결 허용 체크 해제
2. 시작 → 실행 → INETMGR → 컴퓨터 이름 → 사이트 →  FTP 사이트명 → FTP인증 → 익명인증 을 "사용안함" 으로 설정</t>
  </si>
  <si>
    <t>1. 시작 → 관리도구 → 로컬 보안 정책 → 로컬 정책 → 보안 옵션 → “대화형 로그온 : 마지막 사용자 이름 표시 안 함”을 “사용”으로 설정</t>
  </si>
  <si>
    <t>1. 시작 → 실행 → SECPOL.MSC → 로컬정책 → 보안옵션 → "로그온하지 않고 시스템 종료 허용"에 "사용안함" 으로 설정</t>
  </si>
  <si>
    <t>1. 시작 → 실행 → regedit → HKEY_LOCAL_MACHINE\SOFTWARE\Microsoft\Windows NT\CurrentVersion\Winlogon\AutoAdminLogon 값을 0으로 세팅.
2. HKEY_LOCAL_MACHINE\SOFTWARE\Microsoft\Windows NT\CurrentVersion\WinLogon\DefaultPassword 항목이 존재한다면 삭제</t>
  </si>
  <si>
    <t>1. 시작 → 실행 → SECPOL.MSC → 로컬정책 → 감사정책
 - ‘계정 관리 감사’에 (성공,실패) 설정
 - ‘계정 로그온 이벤트 감사’에 (성공,실패) 설정
 - ‘로그온 이벤트 감사’에 (성공,실패) 설정
 - '정책 변경 감사'에 (성공) 설정
 - '시스템 이벤트 감사'에 (성공) 설정</t>
  </si>
  <si>
    <t>1. 시작 → 실행 → EVENTVWR.MSC → Windows 로그 →  보안 → 속성 → 최대 이벤트 로그 크기에 도달할때 : 이벤트 덮어쓰지 않음 (수동으로 로그 지우기)</t>
  </si>
  <si>
    <t>1. file → 속성 → 보안탭 → Administrator 외 제거
※ 백업파일도 기존 로그파일과 동일한 권한적용해야 하며 폐쇄망도 운영자 접속경로 통해 내부망 해킹 가능하므로 접근제한 적용</t>
  </si>
  <si>
    <t>1. '중요 서버'란 중앙관리용 서버, 백업서버 등 해킹 시 대규모 피해가 예상되는 서버 및 시스템 중요도 평가 결과 핵심/중요 시스템으로 판별된 시스템을 구성하는 서버
 또는 각사 기간계시스템 (예. N-ERP, 원장서버) 등 각사에서 중요하다고 별도 지정한 서버를 의미하는 경우</t>
    <phoneticPr fontId="7" type="noConversion"/>
  </si>
  <si>
    <t>1. '중요 서버'란 중앙관리용 서버, 백업서버 등 해킹 시 대규모 피해가 예상되는 서버 및 시스템 중요도 평가 결과 핵심/중요 시스템으로 판별된 시스템을 구성하는 서버
 또는 각사 기간계시스템 (예. N-ERP, 원장서버) 등 각사에서 중요하다고 별도 지정한 서버를 의미한다.</t>
    <phoneticPr fontId="7" type="noConversion"/>
  </si>
  <si>
    <t>1. '중요 서버'란 중앙관리용 서버, 백업서버 등 해킹 시 대규모 피해가 예상되는 서버 및 시스템 중요도 평가 결과 핵심/중요 시스템으로 판별된 시스템을 구성하는 서버
 또는 각사 기간계시스템 (예. N-ERP, 원장서버) 등 각사에서 중요하다고 별도 지정한 서버를 의미한다.</t>
    <phoneticPr fontId="7" type="noConversion"/>
  </si>
  <si>
    <t>1. '중요 서버'란 중앙관리용 서버, 백업서버 등 해킹 시 대규모 피해가 예상되는 서버 및 시스템 중요도 평가 결과 핵심/중요 시스템으로 판별된 시스템을 구성하는 서버
 또는 각사 기간계시스템 (예. N-ERP, 원장서버) 등 각사에서 중요하다고 별도 지정한 서버를 의미한다.</t>
    <phoneticPr fontId="7" type="noConversion"/>
  </si>
  <si>
    <t>1. 중요 서버란 중앙관리용 서버, 백업서버 등 해킹시 대규모 피해가 예상되는 서버 및 시스템 중요도 평가 결과 핵심/중요 시스템으로 판별된 시스템을 구성하는 서버
 또는 각사 기간계시스템 (예. N-ERP, 원장서버) 등 각사에서 중요하다고 별도 지정한 서버를 의미</t>
    <phoneticPr fontId="7" type="noConversion"/>
  </si>
  <si>
    <t>1. 중요 서버란 중앙관리용 서버, 백업서버 등 해킹시 대규모 피해가 예상되는 서버 및 시스템 중요도 평가 결과 핵심/중요 시스템으로 판별된 시스템을 구성하는 서버
 또는 각사 기간계시스템 (예. N-ERP, 원장서버) 등 각사에서 중요하다고 별도 지정한 서버를 의미</t>
    <phoneticPr fontId="7" type="noConversion"/>
  </si>
  <si>
    <t>1. 제어판 → 관리도구 → 로컬 보안 정책 → 로컬정책 → 사용자 권한 할당 → "로컬 로그온 허용" 에서 Administrators (Administrators 포함된 사용자), Backup Operators, Server Operators 그룹만 포함</t>
    <phoneticPr fontId="7" type="noConversion"/>
  </si>
  <si>
    <t>1. [권한 보유 계정/그룹] : Administrators 그룹만 존재
※ 각 버전별 추가되는 기본 System계정 추가
  (e.g. TrustedInstaller, Authenticated User)
※ 64비트는 C:\Windows\SysWOW64\cmd.exe 추가 확인
* Administrators 그룹에 속한 유저가 별도로 존재해도 인정하되 서버관리자가 해당 계정에 대한 명확한 용도 파악이 수반되어야 함
 (계정 생성 절차에서 Administrators 그룹에 유저 추가시 용도, 사용자 등 표기하여 결재 득하게 되어 있음)</t>
    <phoneticPr fontId="7" type="noConversion"/>
  </si>
  <si>
    <t xml:space="preserve">1. [권한 보유 계정/그룹] : Administrators 그룹만 존재
※ 각 버전별 추가되는 기본 System계정 추가
  (e.g. TrustedInstaller, Authenticated User)
* Windows 2008 부터는 해당 파일 없음
* Administrators 그룹에 속한 유저가 별도로 존재해도 인정하되 서버관리자가 해당 계정에 대한 명확한 용도 파악이 수반되어야 함
 (계정 생성 절차에서 Administrators 그룹에 유저 추가시 용도, 사용자 등 표기하여 결재 득하게 되어 있음)
</t>
    <phoneticPr fontId="7" type="noConversion"/>
  </si>
  <si>
    <t>1. [권한 보유 계정/그룹] : Administrators 그룹만 존재
※ 각 버전별 추가되는 기본 System계정 추가
  (e.g. TrustedInstaller, Authenticated User)
※ 64비트는 C:\Windows\SysWOW64\WindowsPowerShell\v1.0\powershell.exe 추가 확인
* Administrators 그룹에 속하지 않은 서비스 계정으로 배치 등 파워쉘 사용시 장애우려가 있으므로, 설정 변경이 불가한 경우 절차에 따라 예외처리
 (예외 기한 최대 1년)
* Administrators 그룹에 속한 유저가 별도로 존재해도 인정하되 운영자가 해당계정에 대한 명확한 용도 파악이 수반되어야 함
 (계정 생성 절차에서 Administrators 그룹에 유저 추가시 용도 사용자등 표기하여 결재 득하게 되어있음)</t>
    <phoneticPr fontId="7" type="noConversion"/>
  </si>
  <si>
    <t xml:space="preserve">판단: OK/BAD
[5.x, 6.x 버전]
[양호 조건]
/etc/pam.d/system-auth 또는 /etc/pam.d/password-auth 파일 password requisite pam_cracklib.so 설정
AND
lcredit -1 이하, dcredit -1 이하, ocredit -1이하
[취약 조건]
/etc/pam.d/system-auth 또는 /etc/pam.d/password-auth 파일 password requisite pam_cracklib.so 미설정
OR
lcredit 0이상, dcredit 0이상, ocredit 0 이상
[7.x 버전]
[양호 조건]
/etc/pam.d/system-auth, /etc/pam.d/password-auth 파일에서 각각 password requisite pam_pwquality.so
- lcredit -1 이하, dcredit -1 이하, ocredit -1이하
 OR 
/etc/security/pwquality.conf 파일에서 
 dcredit = -1
 lcredit = -1
 ocredit = -1 설정
[취약 조건]
/etc/pam.d/system-auth, /etc/pam.d/password-auth 파일에서 각각 password requisite pam_pwquality.so
- lcredit 0이상, dcredit 0이상, ocredit 0이상
 AND 
/etc/security/pwquality.conf 파일에서 
 dcredit = -1
 lcredit = -1
 ocredit = -1 미설정
[SuSE]
[양호 조건]
/etc/pam.d/common-password 파일에서 
password   required  pam_cracklib.so lcredit=-1 dcredit=-1 ocredit=-1 설정됨
/etc/pam.d/common-auth 파일에 auth required pam_tally2.so 설정됨
/etc/pam.d/common-account 파일에 account required pam_tally2.so 설정됨 
[취약 조건]
/etc/pam.d/common-password 파일에서 
password   required  pam_cracklib.so lcredit=-1 dcredit=-1 ocredit=-1 설정 안됨
- /etc/pam.d/common-auth 파일에 auth required pam_tally2.so 설정 안됨
- /etc/pam.d/common-account 파일에 account required pam_tally2.so 설정 안됨
</t>
    <phoneticPr fontId="7" type="noConversion"/>
  </si>
  <si>
    <t>[Redhat]
1. [/etc/security/pwquality.conf] 파일에서 [minlen] 항목의 [8] 이상 확인
또는
2. [/etc/pam.d/system-auth] 및 [/etc/pam.d/password-auth] 파일의 [password requisite pam_pwquality.so] 라인에서 [minlen] 항목의 [8] 이상 확인
[SUSE, Ubuntu]
1. [/etc/security/pwquality.conf] 파일에서 [minlen] 항목의 [8] 이상 확인
또는
2. [/etc/pam.d/common-password] 파일 [password requisite pam_pwquality.so] 라인에서 [minlen] 항목의 [8] 이상 설정 확인
※ 기존 pam_cracklib.so 사용 가능 (신규 서버는 pam_pwquality.so 적용 권고)</t>
    <phoneticPr fontId="7" type="noConversion"/>
  </si>
  <si>
    <t xml:space="preserve">양호 - Anonymous FTP가 설정되어 있지 않은 경우
취약 - Anonymous FTP가 설정되어 있는 경우 </t>
    <phoneticPr fontId="7" type="noConversion"/>
  </si>
  <si>
    <t>판단: OK/BAD
[양호 기준] 
/etc/securetty 파일 console 라인 있음
[취약 기준]
/etc/securetty 파일 console 라인 없음</t>
    <phoneticPr fontId="7" type="noConversion"/>
  </si>
  <si>
    <t>운영체제가 End of Life(EOL) 상태일 경우, 제조사로부터 더 이상 보안 업데이트 및 기술 지원을 받을 수 없음.
이는 새로운 취약점 발견 시 이를 해결할 방법이 없으며, 외부의 다양한 사이버 공격에 매우 취약해짐.
특히, 계정 도용, 악성코드 감염, 데이터 유출, 시스템 무결성 침해 등의 공격에 노출될 위험이 큼. 
따라서 운영체제가 EOL 상태가 아닌지 정기적으로 확인하고, 필요시 최신 지원이 가능한 운영체제로 업그레이드하는 것이 중요함.</t>
    <phoneticPr fontId="7" type="noConversion"/>
  </si>
  <si>
    <t>DB 서버는 민감한 정보를 다루기 때문에 보안 강도가 높은 내부 네트워크에 위치해야 하며, DMZ 내에 직접 배치될 경우 외부 공격에 노출될 위험이 큼.
따라서 DMZ 내에 데이터베이스(DB) 서버가 존재하지 않는지 확인하고, 민감한 정보가 포함된 데이터베이스는 반드시 내부 네트워크로 옮겨야 함. 
이는 시스템 무결성과 정보 유출 방지를 위해 필수적인 보안 조치임.</t>
    <phoneticPr fontId="7" type="noConversion"/>
  </si>
  <si>
    <t>익명 FTP는 특정한 패스워드를 요구하지 않으며, 모든 사용자들이 같은 로그인 명을 사용할 수 있음. 
따라서, 모든 사용자들에게 접속이 허용되기 때문에 쓰기 권한이 통제되지 않았을 경우 불법 파일의 삽입등을 통한 공격에 노출되는 취약성이 있음.</t>
    <phoneticPr fontId="7" type="noConversion"/>
  </si>
  <si>
    <t>운영체제가 End of Life(EOL) 상태일 경우, 제조사로부터 더 이상 보안 업데이트 및 기술 지원을 받을 수 없음. 
이는 새로운 취약점 발견 시 이를 해결할 방법이 없으며, 외부의 다양한 사이버 공격에 매우 취약해짐. 
특히, 계정 도용, 악성코드 감염, 데이터 유출, 시스템 무결성 침해 등의 공격에 노출될 위험이 큼. 
따라서 운영체제가 EOL 상태가 아닌지 정기적으로 확인하고, 필요시 최신 지원이 가능한 운영체제로 업그레이드하는 것이 중요함.</t>
    <phoneticPr fontId="7" type="noConversion"/>
  </si>
  <si>
    <t>DB 서버는 민감한 정보를 다루기 때문에 보안 강도가 높은 내부 네트워크에 위치해야 하며, DMZ 내에 직접 배치될 경우 외부 공격에 노출될 위험이 큼.
따라서 DMZ 내에 데이터베이스(DB) 서버가 존재하지 않는지 확인하고, 민감한 정보가 포함된 데이터베이스는 반드시 내부 네트워크로 옮겨야 함. 
이는 시스템 무결성과 정보 유출 방지를 위해 필수적인 보안 조치임.</t>
    <phoneticPr fontId="7" type="noConversion"/>
  </si>
  <si>
    <t>시스템에 많은 주요 파일들이 존재함. 
주요한 파일들은 소유자나 퍼미션을 잘 설정해두어야 쉽게 위변조 되거나, 침입에 이용되지 않음.</t>
    <phoneticPr fontId="7" type="noConversion"/>
  </si>
  <si>
    <t xml:space="preserve">telnet, ssh, ftp 접속시 환경 배너가 나타남.
이 배너에는 버전 정보가 포함되어 있으며, 이 정보는 크래커가 시스템 약점을 찾아내는데 유용하게 사용됨. </t>
    <phoneticPr fontId="7" type="noConversion"/>
  </si>
  <si>
    <t>실제 사용하지 않는 서비스가 동작할 경우 기본 서비스 중 실제 필요하지 않은 서비스는 시스템의 성능 저하를 야기할 수 있고, 잠재적인 위협이 존재함.</t>
    <phoneticPr fontId="7" type="noConversion"/>
  </si>
  <si>
    <t>SNMP 서비스는 시스템 상태를 실시간으로 파악하거나 설정하기 위하여 사용하는 서비스임. 
그러나 이 정보를 받기 위한 일종의 패스워드인 Community String이 Default로 public, private로 설정되어 있는 경우가 많으며, 이를 변경하지 않으면 이 String을 악용하여 비인가사용자가 시스템의 주요 정보 및 설정 상황을 파악할 수 있는 취약성이 존재함.</t>
    <phoneticPr fontId="7" type="noConversion"/>
  </si>
  <si>
    <t xml:space="preserve">익명 FTP는 특정한 패스워드를 요구하지 않으며, 모든 사용자들이 같은 로그인 명을 사용할 수 있음. 
따라서, 모든 사용자들에게 접속이 허용되기 때문에 쓰기 권한이 통제되지 않았을 경우 불법 파일의 삽입등을 통한 공격에 노출되는 취약성이 있음. </t>
    <phoneticPr fontId="7" type="noConversion"/>
  </si>
  <si>
    <t>DB 서버는 민감한 정보를 다루기 때문에 보안 강도가 높은 내부 네트워크에 위치해야 하며, DMZ 내에 직접 배치될 경우 외부 공격에 노출될 위험이 큼.
따라서 DMZ 내에 데이터베이스(DB) 서버가 존재하지 않는지 확인하고, 민감한 정보가 포함된 데이터베이스는 반드시 내부 네트워크로 옮겨야 함. 
이는 시스템 무결성과 정보 유출 방지를 위해 필수적인 보안 조치임.</t>
    <phoneticPr fontId="7" type="noConversion"/>
  </si>
  <si>
    <t>일반적으로 모든 계정은 패스워드가 존재하도록 권장함. 
만약 패스워드가 없는 계정이 있다면 조치를 취해야 함.
또한 공격자가 쉽게 유추할 수 없는 패스워드를 만들도록 패스워드 규칙을 정해 주는 것이 좋음.</t>
    <phoneticPr fontId="7" type="noConversion"/>
  </si>
  <si>
    <t>각 계정별로 로그인을 위해서는 아이디와 패스워드가 존재함.
이때 계속적으로 로그인을 시도하여 패스워드를 찾아내는 공격을 시도 할 수 있음. 
따라서 실패 횟수의 제한 설정을 통해 이를 방지해야 함.</t>
    <phoneticPr fontId="7" type="noConversion"/>
  </si>
  <si>
    <t>시스템에 많은 주요 파일들이 존재함. 
주요한 파일들은 소유자나 퍼미션을 잘 설정해두어야 쉽게 위변조 되거나, 침입에 이용되지 않음.</t>
    <phoneticPr fontId="7" type="noConversion"/>
  </si>
  <si>
    <t>DB 서버는 민감한 정보를 다루기 때문에 보안 강도가 높은 내부 네트워크에 위치해야 하며, DMZ 내에 직접 배치될 경우 외부 공격에 노출될 위험이 큼.
따라서 DMZ 내에 데이터베이스(DB) 서버가 존재하지 않는지 확인하고, 민감한 정보가 포함된 데이터베이스는 반드시 내부 네트워크로 옮겨야 함. 
이는 시스템 무결성과 정보 유출 방지를 위해 필수적인 보안 조치임.</t>
    <phoneticPr fontId="7" type="noConversion"/>
  </si>
  <si>
    <t>사용자가 시스템에 접근하려면 사용자 계정과 UID가 필요하며, UID를 통해 사용자의 정보를 식별함.
동일한 UID를 가진 계정은 시스템에서 같은 사용자로 인식됨.
유닉스 시스템에서 root 계정의 UID는 ‘0’인데, 다른 계정의 UID가 ‘0’일 경우 root와 동일한 권한을 가짐.
따라서 root를 제외한 사용자의 UID는 '0'일 수 없으며, 시스템 관리자는 관리업무용 계정과 일반업무용 계정을 나눠 2개의 계정을 사용하는 것이 좋음.</t>
    <phoneticPr fontId="7" type="noConversion"/>
  </si>
  <si>
    <t>중요도가 높은 대상들은 접속 가능시간 및 실행가능 명령어를 제한하도록 조치가 필요함.</t>
    <phoneticPr fontId="7" type="noConversion"/>
  </si>
  <si>
    <t>각 계정별로 로그인을 위해서는 아이디와 패스워드가 존재함. 
이때 계속적으로 로그인을 시도하여 패스워드를 찾아내는 공격을 시도 할 수 있음. 
따라서 실패 횟수의 제한 설정을 통해 이를 방지해야 함.</t>
    <phoneticPr fontId="7" type="noConversion"/>
  </si>
  <si>
    <t>시스템에 많은 주요 파일들이 존재함.
주요한 파일들은 소유자나 퍼미션을 잘 설정해두어야 쉽게 위변조 되거나, 침입에 이용되지 않음.</t>
    <phoneticPr fontId="7" type="noConversion"/>
  </si>
  <si>
    <t xml:space="preserve">세션 타임아웃은 시스템과 사용자 클라이언트 사이에서 클라이언트의 요청이 없는 상태로 서버가 기다릴 수 있는 최대 시간을 의미함. 
(즉, 세션 타임아웃으로 설정된 시간이 지날 때까지 클라이언트의 요청이 없다면 시스템에서 자동으로 세션을 종료하게 됨)
시스템에 접속한 사용자의 활동이 없다면 자동으로 세션을 끊어야 보안상 안전함. </t>
    <phoneticPr fontId="7" type="noConversion"/>
  </si>
  <si>
    <t>원격지에서 서버를 관리 하기 위해서는 통제가 가능하고 안전한 접속 방법이 필요함.
접근 제한 서비스는 이러한 서비스가 제공 되고 있는지 판단함.</t>
    <phoneticPr fontId="7" type="noConversion"/>
  </si>
  <si>
    <t xml:space="preserve">telnet, ssh, ftp 접속시 환경 배너가 나타남. 
이 배너에는 버전 정보가 포함되어 있으며, 이 정보는 크래커가 시스템 약점을 찾아내는데 유용하게 사용됨. </t>
    <phoneticPr fontId="7" type="noConversion"/>
  </si>
  <si>
    <t xml:space="preserve">세션 타임아웃은 시스템과 사용자 클라이언트 사이에서 클라이언트의 요청이 없는 상태로 서버가 기다릴 수 있는 최대 시간을 의미함
(즉, 세션 타임아웃으로 설정된 시간이 지날 때까지 클라이언트의 요청이 없다면 시스템에서 자동으로 세션을 종료하게 됨)
시스템에 접속한 사용자의 활동이 없다면 자동으로 세션을 끊어야 보안상 안전함. </t>
    <phoneticPr fontId="7" type="noConversion"/>
  </si>
  <si>
    <t xml:space="preserve">원격지에서 서버를 관리 하기 위해서는 통제가 가능하고 안전한 접속 방법이 필요함. 
접근 제한 서비스는 이러한 서비스가 제공 되고 있는지 판단함 </t>
    <phoneticPr fontId="7" type="noConversion"/>
  </si>
  <si>
    <t>중요 서버 접근 시 불필요한 접속 권한 제공으로 인한 보안 위협 요인이 있으며 적절한 보안 절차를 통해 원격 접속을 허용해야 함.</t>
    <phoneticPr fontId="7" type="noConversion"/>
  </si>
  <si>
    <t>NFS 서비스는 원격지의 시스템에 위치한 파일을 마치 자신의 컴퓨터에 있는 것처럼 검색하고, 저장하거나 수정하도록 해주는 서비스임.
본 시스템의 NFS 서비스는 외부에 공개된 NFS 디렉토리의 접근 권한을 잘못 설정 시, 임의의 시스템이 해당 디렉토리에 접근할 수 있음.</t>
    <phoneticPr fontId="7" type="noConversion"/>
  </si>
  <si>
    <t>운영체제가 End of Life(EOL) 상태일 경우, 제조사로부터 더 이상 보안 업데이트 및 기술 지원을 받을 수 없음. 
이는 새로운 취약점 발견 시 이를 해결할 방법이 없으며, 외부의 다양한 사이버 공격에 매우 취약해짐. 
특히, 계정 도용, 악성코드 감염, 데이터 유출, 시스템 무결성 침해 등의 공격에 노출될 위험이 큼. 
따라서 운영체제가 EOL 상태가 아닌지 정기적으로 확인하고, 필요시 최신 지원이 가능한 운영체제로 업그레이드하는 것이 중요함.</t>
    <phoneticPr fontId="7" type="noConversion"/>
  </si>
  <si>
    <t>중요도가 높은 대상들은 접속 가능시간 및 실행가능 명령어를 제한하도록 조치가 필요함.</t>
    <phoneticPr fontId="7" type="noConversion"/>
  </si>
  <si>
    <t>각 계정별로 로그인을 위해서는 아이디와 패스워드가 존재함. 
이때 계속적으로 로그인을 시도하여 패스워드를 찾아내는 공격을 시도 할 수 있음. 따라서 실패 횟수의 제한 설정을 통해 이를 방지해야 함.</t>
    <phoneticPr fontId="7" type="noConversion"/>
  </si>
  <si>
    <t>umask 값은 파일이나 디렉토리 생성 시 기본으로 설정되는 권한을 결정함.
관리자가 임의의 파일 또는 디렉토리를 생성했을 때 다른 사용자가 해당파일 또는 디렉토리에 대한 접근이 가능함.</t>
    <phoneticPr fontId="7" type="noConversion"/>
  </si>
  <si>
    <t>umask 값은 파일이나 디렉토리 생성 시 기본으로 설정되는 권한을 결정함. 
관리자가 임의의 파일 또는 디렉토리를 생성했을 때 다른 사용자가 해당파일 또는 디렉토리에 대한 접근이 가능함.</t>
    <phoneticPr fontId="7" type="noConversion"/>
  </si>
  <si>
    <t>umask 값은 파일이나 디렉토리 생성 시 기본으로 설정되는 권한을 결정함.
관리자가 임의의 파일 또는 디렉토리를 생성했을 때 다른 사용자가 해당파일 또는 디렉토리에 대한 접근이 가능함.</t>
    <phoneticPr fontId="7" type="noConversion"/>
  </si>
  <si>
    <t>umask 값은 파일이나 디렉토리 생성 시 기본으로 설정되는 권한을 결정함.
관리자가 임의의 파일 또는 디렉토리를 생성했을 때 다른 사용자가 해당파일 또는 디렉토리에 대한 접근이 가능함.</t>
    <phoneticPr fontId="7" type="noConversion"/>
  </si>
  <si>
    <t>umask 값은 파일이나 디렉토리 생성 시 기본으로 설정되는 권한을 결정함. 
관리자가 임의의 파일 또는 디렉토리를 생성했을 때 다른 사용자가 해당파일 또는 디렉토리에 대한 접근이 가능.</t>
    <phoneticPr fontId="7" type="noConversion"/>
  </si>
  <si>
    <t xml:space="preserve">umask는 파일이나 디렉토리 생성 시 기본으로 설정되는 권한을 결정함. 
임의의 파일 또는 디렉토리를 생성했을 때 다른 사용자가 해당 파일 또는 디렉토리에 대한 접근이 가능하도록 설정되어 있음. </t>
    <phoneticPr fontId="7" type="noConversion"/>
  </si>
  <si>
    <t>umask 값은 파일이나 디렉토리 생성 시 기본으로 설정되는 권한을 결정함. 
관리자가 임의의 파일 또는 디렉토리를 생성했을 때 다른 사용자가 해당파일 또는 디렉토리에 대한 접근이 가능.</t>
    <phoneticPr fontId="7" type="noConversion"/>
  </si>
  <si>
    <t>umask 값은 파일이나 디렉토리 생성 시 기본으로 설정되는 권한을 결정함. 
관리자가 임의의 파일 또는 디렉토리를 생성했을 때 다른 사용자가 해당파일 또는 디렉토리에 대한 접근이 가능.</t>
    <phoneticPr fontId="7" type="noConversion"/>
  </si>
  <si>
    <t>Autologon 기능은 사용자가 로그인 절차 없이 자동으로 시스템에 접속할 수 있게 해주는 기능임.
이 기능이 활성화되면, 사용자 인증 과정이 생략되어 패스워드가 암호화되지 않은 상태로 시스템에 저장되며, 이를 통해 외부 공격자가 쉽게 시스템에 접근할 수 있는 보안 위험이 발생함.
따라서 Autologon 기능을 사용하지 않도록 설정해야 하며, 시스템에 로그인할 때는 강력한 패스워드를 요구하는 절차를 유지하는 것이 중요함.
이를 통해 비인가된 접근을 방지하고 시스템 보안을 강화할 수 있음.</t>
    <phoneticPr fontId="7" type="noConversion"/>
  </si>
  <si>
    <t>운영체제가 End of Life(EOL) 상태일 경우, 제조사로부터 더 이상 보안 업데이트 및 기술 지원을 받을 수 없음. 
이는 새로운 취약점 발견 시 이를 해결할 방법이 없으며, 외부의 다양한 사이버 공격에 매우 취약해짐.
특히, 계정 도용, 악성코드 감염, 데이터 유출, 시스템 무결성 침해 등의 공격에 노출될 위험이 큼.
따라서 운영체제가 EOL 상태가 아닌지 정기적으로 확인하고, 필요시 최신 지원이 가능한 운영체제로 업그레이드하는 것이 중요함.</t>
    <phoneticPr fontId="7" type="noConversion"/>
  </si>
  <si>
    <t>DEP(데이터 실행 방지)는 바이러스 및 다른 보안 위험으로부터 컴퓨터가 손상되는 것을 방지해 줄 수 있는 보안 기능임.
위험한 프로그램이 Windows 및 권한이 있는 다른 프로그램에 대해 예약된 컴퓨터 메모리에서 코드 실행을 시도하여 Windows 공격을 시도할 수 있음.
이러한 종류의 공격으로 인해 프로그램 및 파일이 손상될 수 있음.</t>
    <phoneticPr fontId="7" type="noConversion"/>
  </si>
  <si>
    <t>DB 서버는 민감한 정보를 다루기 때문에 보안 강도가 높은 내부 네트워크에 위치해야 하며, DMZ 내에 직접 배치될 경우 외부 공격에 노출될 위험이 큼.
따라서 DMZ 내에 데이터베이스(DB) 서버가 존재하지 않는지 확인하고, 민감한 정보가 포함된 데이터베이스는 반드시 내부 네트워크로 옮겨야 함.
이는 시스템 무결성과 정보 유출 방지를 위해 필수적인 보안 조치임.</t>
    <phoneticPr fontId="7" type="noConversion"/>
  </si>
  <si>
    <t>중요 데이터가 포함된 데이터베이스(DB)가 DMZ에 있을 경우 데이터 유출이나 무단 접근의 위험이 크게 증가함.
따라서 DMZ 내 DB에 개인정보, 금융정보, 기밀자료 등 중요한 데이터가 저장되어 있지 않은지 확인해야 함.
중요한 데이터는 반드시 내부 네트워크의 안전한 환경에 저장되어야 하며, DMZ에 위치한 서버에서는 중요 데이터 없이 중계 또는 캐시 역할만 수행하도록 구성하는 것이 보안상 바람직함.</t>
    <phoneticPr fontId="7" type="noConversion"/>
  </si>
  <si>
    <t>시스템에 많은 주요 파일들이 존재함.
주요한 파일들은 소유자나 퍼미션을 잘 설정해두어야 쉽게 위변조 되거나, 침입에 이용되지 않음.</t>
    <phoneticPr fontId="7" type="noConversion"/>
  </si>
  <si>
    <t xml:space="preserve">세션 타임아웃은 시스템과 사용자 클라이언트 사이에서 클라이언트의 요청이 없는 상태로 서버가 기다릴 수 있는 최대 시간을 의미함
(즉, 세션 타임아웃으로 설정된 시간이 지날 때까지 클라이언트의 요청이 없다면 시스템에서 자동으로 세션을 종료하게 됨)
시스템에 접속한 사용자의 활동이 없다면 자동으로 세션을 끊어야 보안상 안전함. </t>
    <phoneticPr fontId="7" type="noConversion"/>
  </si>
  <si>
    <t xml:space="preserve">익명 FTP는 특정한 패스워드를 요구하지 않으며, 모든 사용자들이 같은 로그인 명을 사용할 수 있음.
따라서, 모든 사용자들에게 접속이 허용되기 때문에 쓰기 권한이 통제되지 않았을 경우 불법 파일의 삽입등을 통한 공격에 노출되는 취약성이 있음. </t>
    <phoneticPr fontId="7" type="noConversion"/>
  </si>
  <si>
    <t>시스템에 많은 주요 파일들이 존재함. 
주요한 파일들은 소유자나 퍼미션을 잘 설정해두어야 쉽게 위변조 되거나, 침입에 이용되지 않음.</t>
    <phoneticPr fontId="7" type="noConversion"/>
  </si>
  <si>
    <t>보안패치를 하지 않았을 경우 외부의 공격에 매우 취약하므로 정기적으로 최신 패치인지 확인하여야 함. 
각종 물리적 접근, 계정 도용, 파일 시스템 비밀성 및 무결성 침해, 비 인가된 네트워크 접근 등의 다양한 공격들에 의하여 침입을 당할 위험이 있으므로 정기적인 점검이 필요함.</t>
    <phoneticPr fontId="7" type="noConversion"/>
  </si>
  <si>
    <t>원격지에서 서버를 관리 하기 위해서는 통제가 가능하고 안전한 접속 방법이 필요함. 
접근 제한 서비스는 이러한 서비스가 제공되고 있는지 판단함.</t>
    <phoneticPr fontId="7" type="noConversion"/>
  </si>
  <si>
    <t>보안패치를 하지 않았을 경우 외부의 공격에 매우 취약하므로 정기적으로 최신 패치인지 확인하여야함. 
각종 물리적 접근, 계정 도용, 파일 시스템 비밀성 및 무결성 침해, 비 인가된 네트워크 접근 등의 다양한 공격들에 의하여 침입을 당할 위험이 있으므로 정기적인 점검이 필요함.</t>
    <phoneticPr fontId="7" type="noConversion"/>
  </si>
  <si>
    <t>보안패치를 하지 않았을 경우 외부의 공격에 매우 취약하므로 정기적으로 최신 패치인지 확인하여야 함. 
각종 물리적 접근, 계정 도용, 파일 시스템 비밀성 및 무결성 침해, 비 인가된 네트워크 접근 등의 다양한 공격들에 의하여 침입을 당할 위험이 있으므로 정기적인 점검이 필요함.</t>
    <phoneticPr fontId="7" type="noConversion"/>
  </si>
  <si>
    <t>1. ftp, anonymous 계정 제거 
2. [anonymous_enable] 값 'NO' 설정</t>
  </si>
  <si>
    <t>1. [#cat /etc/passwd]와 [#cat /etc/shadow] 실행하여 ftp 또는 anonymous 계정이 있는지 확인
2. vsftp 애플리케이션 사용 시, [#cat /etc/vsftpd.conf]를 통해 [anonymous_enable] 항목 확인</t>
    <phoneticPr fontId="7" type="noConversion"/>
  </si>
  <si>
    <t>양호  - [deny] 값이 '5'이하, [unlock_time] 값이 '1800'이상, [no_magic_root reset] 설정되어 있을 경우
취약 - [deny] 값이 '5'초과,  [unlock_time] 값이 '1800'미만으로 설정되어 있거나 [no_magic_root reset] 설정이 되어있지 않을 경우</t>
    <phoneticPr fontId="7" type="noConversion"/>
  </si>
  <si>
    <t>AM01-1.1 계정에 생성 근거가 존재하는가?</t>
  </si>
  <si>
    <t>AM01-1.2 특권 그룹에 적절한 사용자만 포함되어 있는가?</t>
  </si>
  <si>
    <t>AM01-1.3 중요서버 보안강화를 위해 복합인증이 적용되었는가?</t>
  </si>
  <si>
    <t>AM01-1.4 중요서버 보안강화를 위해 서버 접속 가능시간 및 실행가능 명령어 제한을 수행 하는가?</t>
  </si>
  <si>
    <t>AC01-A 패스워드 복잡도 설정이 적용되었는가?</t>
  </si>
  <si>
    <t>AC01-B 패스워드 최소 암호 길이가 설정되었는가?</t>
  </si>
  <si>
    <t>AC02-A 패스워드 최근 암호 기억이 설정되었는가?</t>
  </si>
  <si>
    <t>AC02-B 패스워드 최대 사용기간이 설정되었는가?</t>
  </si>
  <si>
    <t>AC02-C 패스워드 최소 사용기간이 설정되었는가?</t>
  </si>
  <si>
    <t>AC03-A 계정 잠금 임계값이 설정되었는가?</t>
  </si>
  <si>
    <t>AC04-A 사용자 계정, 그룹 리스트 정보 파일에 대한 접근 권한이 제한되어 있는가?</t>
  </si>
  <si>
    <t>AC04-B 사용자 계정 암호 파일에 대한 접근 권한이 제한되어 있는가?</t>
  </si>
  <si>
    <t>AC04-C /etc/hosts 파일에 대한 접근 권한이 제한되어 있는가?</t>
  </si>
  <si>
    <t>AC04-D /etc/services 파일에 대한 접근 권한이 제한되어 있는가?</t>
  </si>
  <si>
    <t>AC04-E 일반 사용자가 중요 명령어를 실행하지 못하도록 설정되었는가?</t>
  </si>
  <si>
    <t xml:space="preserve">AC04-F 사용자 환경 설정 파일에 대한 접근 권한이 제한되어 있는가? </t>
  </si>
  <si>
    <t>AC04-G 네트워크 서비스 설정 파일에 대한 접근 권한이 제한되어 있는가?</t>
  </si>
  <si>
    <t>AC04-H FTP 접근제어 파일에 대한 접근 권한이 제한되어 있는가?</t>
  </si>
  <si>
    <t>AC04-I NFS 설정 파일에 대한 접근 권한이 제한되어 있는가?</t>
  </si>
  <si>
    <t>AC04-J 패스워드 규칙 설정 파일에 대한 접근 권한이 제한되어 있는가?</t>
  </si>
  <si>
    <t>AC04-K cron 설정 파일에 대한 접근 권한이 제한되어 있는가?</t>
  </si>
  <si>
    <t>AC04-L 주요 백업 파일 접근 권한이 제한되어 있는가?</t>
  </si>
  <si>
    <t>AC05-A root 계정의 UMASK 설정이 적절한가?</t>
  </si>
  <si>
    <t>AC05-B 일반 계정의 UMASK 설정이 적절한가?</t>
  </si>
  <si>
    <t>AC05-C root 계정의 원격접속은 제한되어 있는가?</t>
  </si>
  <si>
    <t>AC06-A Session Timeout을 적용하고 있는가?</t>
  </si>
  <si>
    <t>SV01-2.1 IP 및 PORT 접근 제어를 수행하는가?</t>
  </si>
  <si>
    <t>SV01-2.2 서버에서 외부 인터넷 및 Knox 포탈 등 접속 차단 설정이 적용되어 있으며 주기적으로 차단유무를 점검 하는가?</t>
  </si>
  <si>
    <t>SV01-2.3 불필요하거나, 안전하지 않은 어플리케이션이 설치되었는가?</t>
  </si>
  <si>
    <t>SV01-2.4 원격데스크탑, Telnet, ssh, FTP 접속 시 경고 배너를 적용하고 있는가?</t>
  </si>
  <si>
    <t>SV01-2.5 서버 접속용 서비스에 대해 암호화 전송이 되고 있는가?</t>
  </si>
  <si>
    <t>SV01-2.6 중요서버에 유지보수 작업 등을 위한 원격접속 기준이 운영되고 있는가?</t>
  </si>
  <si>
    <t>SS01-A NFS 사용 시 안전한 설정을 적용 하였는가?</t>
  </si>
  <si>
    <t>SS02-A 원격에서 인증없이 접속하여 명령 실행이 가능한 서비스 사용을 중지하였는가?</t>
  </si>
  <si>
    <t>SS02-B 불필요한 서비스가 제거되어 있는가?</t>
  </si>
  <si>
    <t>SS03-A SNMP Default Community String이 변경되었는가?</t>
  </si>
  <si>
    <t>SS03-B Anonymous FTP가 중지되어 있는가?</t>
  </si>
  <si>
    <t>SS04-A root 계정의 Path 설정이 안전하게 적용되어 있는가?</t>
  </si>
  <si>
    <t>LP01-3.1 서버 접속로그(보안 로그)에 대한 관리는 하고 있는가?</t>
  </si>
  <si>
    <t>LP01-3.2 보안 업데이트가 적용되었는가?</t>
  </si>
  <si>
    <t>LP01-3.3 운영체제가 EOL(End Of Life) 되지 않았는가?</t>
  </si>
  <si>
    <t>LP01-A 서버 접속 로그에 대한 접근 권한을 제한 하는가?</t>
  </si>
  <si>
    <t>AC01-A 패스워드의 숫자, 특수문자 사용 강제 적용이 설정되었는가?</t>
  </si>
  <si>
    <t>SS02-B 불필요한 서비스는 중지 또는 제거하였는가?</t>
  </si>
  <si>
    <t>AC01-A Guest 계정이 존재하고 활성화되어 있는가?</t>
  </si>
  <si>
    <t>AC01-B Administrator 계정 명이 변경되는가?</t>
  </si>
  <si>
    <t>AC02-A 패스워드 복잡도 설정이 적용되었는가?</t>
  </si>
  <si>
    <t>AC02-B 패스워드 최소 암호 길이가 설정되었는가?</t>
  </si>
  <si>
    <t>AC03-A 최근 사용한 암호 기억 설정이 적용되었는가?</t>
  </si>
  <si>
    <t>AC03-B 패스워드 최소 사용기간이 설정되었는가?</t>
  </si>
  <si>
    <t>AC03-C 패스워드 최대 사용기간이 설정되었는가?</t>
  </si>
  <si>
    <t>AC04-A 패스워드 입력 실패 시 계정 잠금 기간이 설정되었는가?</t>
  </si>
  <si>
    <t>AC04-B 패스워드 입력 실패 시 계정 잠금을 수행할 임계값이 설정되었는가?</t>
  </si>
  <si>
    <t>AC05-A 복구 가능한 LMHash 패스워드를 저장하지 않는가?</t>
  </si>
  <si>
    <t>AC05-B 해독 가능한 암호화 설정을 미사용하는가?</t>
  </si>
  <si>
    <t>AC06-A 감사 및 보안 로그 관리 권한이 적절한 사용자에게 부여되었는가?</t>
  </si>
  <si>
    <t>AC06-B 네트워크에서 이 컴퓨터 엑세스 권한이 적절한 사용자에게 부여되었는가?</t>
  </si>
  <si>
    <t>AC06-C 로컬 로그온 권한이 적절한 사용자에게 부여되었는가?</t>
  </si>
  <si>
    <t>AC06-D 시스템 종료 권한이 적절한 사용자에게 부여되었는가?</t>
  </si>
  <si>
    <t>AC06-E 원격 시스템에서 강제로 시스템 종료 권한이 적절한 사용자에게 부여되었는가?</t>
  </si>
  <si>
    <t>AC06-F 파일 또는 다른 개체의 소유권 가져오기 권한이 적절한 사용자에게 부여되었는가?</t>
  </si>
  <si>
    <t>AC06-G 보안감사생성 권한이 적절한 사용자에게 부여되었는가?</t>
  </si>
  <si>
    <t>AC07-A 사용자 계정 DB 파일에 대한 접근 권한이 설정되어 있는가?</t>
  </si>
  <si>
    <t>AC07-B cmd.exe 파일에 대한 접근 권한이 설정되어 있는가?</t>
  </si>
  <si>
    <t>AC07-C command.com 파일에 대한 접근 권한이 설정되어 있는가?</t>
  </si>
  <si>
    <t>AC07-D PowerShell.exe 파일에 대한 접근 권한이 설정되어 있는가?</t>
  </si>
  <si>
    <t>AC07-E PowerShell.exe 로 실행 가능한 파일에 대한 제한 설정이 되어 있는가?</t>
  </si>
  <si>
    <t>SV01-2.2 서버에서 외부 인터넷 및 knox 포탈 등 접속 차단 설정이 적용되어 있으며 주기적으로 차단유무를 점검 하는가?</t>
  </si>
  <si>
    <t>SS01-A 화면보호기 설정 및 대기 시간 설정이 되어 있는가?</t>
  </si>
  <si>
    <t>SS02-A 디폴트 공유 폴더를 제거하였는가?</t>
  </si>
  <si>
    <t>SS02-B 각 공유 폴더에 대한 접근 권한이 적절하게 적용되었는가?</t>
  </si>
  <si>
    <t>SS02-C Null Session을 차단하고 있는가?</t>
  </si>
  <si>
    <t>SS02-D 원격에서 사용자 인증 없이 시스템 공유 디렉토리에 접속하는 것이 차단되는지 확인하는가?</t>
  </si>
  <si>
    <t>SS03-A 사용하지 않는 서비스는 제거 또는 중지 설정되어 있는가?</t>
  </si>
  <si>
    <t>SS04-A SNMP Default Community String이 변경되었는가?</t>
  </si>
  <si>
    <t>SS04-B Anonymous FTP가 운영되고 있는가?</t>
  </si>
  <si>
    <t>SS05-A 마지막 로그온 사용자 정보가 노출되고 있지 않은가?</t>
  </si>
  <si>
    <t>SS05-B 로그온 상태에서만 시스템 종료가 가능한가?</t>
  </si>
  <si>
    <t>SS05-C Autologon 기능을 미사용하는가?</t>
  </si>
  <si>
    <t>LP01-A Windows 감사 정책이 적용되었는가?</t>
  </si>
  <si>
    <t>LP02-A 보안 로그에 대한 이벤트 덮어쓰기 설정이 적절하게 설정되어 있는가?</t>
  </si>
  <si>
    <t>LP02-B 로그 파일의 접근 권한이 제한되었는가?</t>
  </si>
  <si>
    <t>중요서버 복합인증 또는 비정상 접속시도 모니터링 여부
 - 로그인 시 FIDO, OTP 등 복합인증 적용 
 - 복합인증 미적용 시 비정상 접속시도 모니터링 적용
※ 개인 외부 이메일을 통한 복합인증 금지</t>
    <phoneticPr fontId="7" type="noConversion"/>
  </si>
  <si>
    <t>양호 - PASS_MIN_DAYS값이 '7'이상으로 설정되어 있을 경우
취약 - PASS_MIN_DAYS값이 '7'미만으로 설정되어 있을 경우</t>
    <phoneticPr fontId="7" type="noConversion"/>
  </si>
  <si>
    <t>1. 각 일반 계정으로 로그인 한 후 [#umask]를 통해 root 계정의 [umask 설정]이 0022 또는 0027 인지 확인
또는
1. [#cat /etc/passwd]로 확인된 모든 계정의 홈 디렉토리의 [.profile]을 확인
2. [&lt;홈디렉토리&gt;/.profile] 파일에서 [umask] 항목 확인
[LINUX]
sh : /etc/profile → $HOME/.profile
ksh : /etc/profile → $HOME/.profile
csh : /etc/.login → $HOME/.cshrc → $HOME/.login
bash : /etc/profile → $HOME/.bash_profile → $HOME/.bash_login → $HOME/.profile
* /etc/default/login 파일에서 umask 값을 확인한다.</t>
    <phoneticPr fontId="7" type="noConversion"/>
  </si>
  <si>
    <t>양호 - umask 값이 '022' 또는 '027'인 경우
취약 - umask 값이 '022' 또는 '027'이 아닌 계정이 존재하는 경우</t>
    <phoneticPr fontId="7" type="noConversion"/>
  </si>
  <si>
    <r>
      <t xml:space="preserve">판단: OK/BAD
[양호 조건]
일반 계정 umask 값 022, 027, 033, 037, 077 
[취약 조건]
일반 계정 umask 값을 022, 027, 033, 037, 077 아님.
* 환경 변수 설정 파일:
sh: /etc/profile -&gt; $HOME/.profile
ksh: /etc/profile -&gt; $HOME/.profile
csh: /etc/.login -&gt; $HOME/.cshrc -&gt; $HOME/.login
bash: /etc/profile -&gt; $HOME/.bash_profile -&gt; $HOME/.bash_login -&gt; $HOME/.profile
/etc/default/login 파일에서 umask 값을 확인한다.
</t>
    </r>
    <r>
      <rPr>
        <b/>
        <sz val="10"/>
        <color theme="1"/>
        <rFont val="맑은 고딕"/>
        <family val="3"/>
        <charset val="129"/>
        <scheme val="minor"/>
      </rPr>
      <t xml:space="preserve">bash: /etc/profile  -&gt; $HOME/.bash_profile -&gt; $HOME/.bashrc -&gt; /etc/bashrc </t>
    </r>
    <r>
      <rPr>
        <sz val="10"/>
        <color theme="1"/>
        <rFont val="맑은 고딕"/>
        <family val="3"/>
        <charset val="129"/>
        <scheme val="minor"/>
      </rPr>
      <t xml:space="preserve">
/etc/login.defs 파일에서 umask 값을 확인한다.</t>
    </r>
    <phoneticPr fontId="7" type="noConversion"/>
  </si>
  <si>
    <t>&lt;telnet, ssh, ftp&gt;
UAC, TCP Wrapper, ITA 중 하나를 설치 및 설정
&lt;Xmanager&gt;
Xmanager 서비스를 종료하거나 uac 3.4.5 이상 버전을 사용하거나 /etc/dt/config/Xaccess, /usr/dt/config/Xaccess 파일에서 *로 시작하는 라인 제거
※ 등록된 Allow 정책 內 IP 및 Port 단위 허용 必
※ IP 접근제어 관리를상시 수행하는지 확인이 필요할 경우 추가점검 사항
: 미승인 IP/Port로 접속한 이력이 존재하는지
서버 접속로그 또는 서버접근제어솔루션 로그 확인</t>
    <phoneticPr fontId="7" type="noConversion"/>
  </si>
  <si>
    <t>1.  서버 내 모든 계정리스트와 계정관리대장 또는 시스템 내 서버별 [계정 리스트] 일치
2. 서버 설치 시 기본제공 되는 계정들에 대해서는 업무상 필요한 사유가 없으면 삭제하거나 Lock 처리
3. 2명 이상이 1개의 계정을 공유하여 사용하는 것이 불가피할 경우 공용계정의 실제 사용자가 누구인지 추적이 가능해야 함
※ 별도 통합계정관리 솔루션 사용시 해당 솔루션 로그 분석
4. 계정 Life-cycle 관리를 상시 수행하는지 확인이 필요할 경우 추가점검 사항
 : 미승인 계정을 사용한 이력이 존재하였는지 로그 분석을 통해 확인
Unix / Linux
 1) 계정 접속 이력 확인
접속성공로그(wtmp), 접속실패로그(btmp, failedlogin(AIX))에서 계정 확인
 2) 계정 삭제 이력 확인
 시스템로그(UNIX/AIX : syslog, Solaris/Linux : message)에서 'delete'로 검색하여 계정 삭제 이력 확인
 ※ 최근 1년간 계정 이벤트 로그 확인</t>
    <phoneticPr fontId="7" type="noConversion"/>
  </si>
  <si>
    <t>1. 백업 목적 등으로 유사이름으로 존재 시 (passwd.old, passwd.050523 등)
소유자 [root], 퍼미션 [600] 확인
 - #ls -al /etc/passwd*
 - #ls -al /etc/inetd.conf*
 - #ls -al /etc/services*
 - #ls -al /etc/hosts*
 - #ls -al /var/adm/wtmp*
 - #ls -al /var/adm/btmp*
 - #ls -al /var/adm/sulog*</t>
    <phoneticPr fontId="7" type="noConversion"/>
  </si>
  <si>
    <t>1. [umask] 실행하여 [022] 또는 [027] 확인
또는
1. [/etc/profile] 파일에서 [umask] 항목의 [022] 또는 [027] 확인
2. [/etc/default/login] 파일에서 [umask] 항목의 [022] 또는 [027] 확인
[Solaris]
sh : /etc/profile → $HOME/.profile
ksh : /etc/profile → $HOME/.profile
csh : /etc/.login → $HOME/.cshrc → $HOME/.login
bash : /etc/profile → $HOME/.bash_profile → $HOME/.bash_login → $HOME/.profile 
* 주의 : 설정 값을 제대로 가지고 오지 못할 경우 파일의 소유자 및 퍼미션 확인</t>
    <phoneticPr fontId="7" type="noConversion"/>
  </si>
  <si>
    <t>1. 각 일반 계정으로 로그인 한 후 [#umask]를 통해 일반 계정의 [umask 설정]이 0022 또는 0027인지 확인
또는
1. [#cat /etc/passwd]로 확인된 모든 계정의 홈 디렉토리의 [.profile]을 확인
2. [&lt;홈디렉토리&gt;/.profile] 파일에서 [umask] 항목 확인
* 쉘별로 설정 파일 순서
 - 마지막으로 호출된 파일이 최종 적용됨
[Solaris]
sh : /etc/profile -&gt; $HOME/.profile
ksh : /etc/profile -&gt; $HOME/.profile
csh : /etc/.login -&gt; $HOME/.cshrc -&gt; $HOME/.login
bash : /etc/profile -&gt; $HOME/.bash_profile -&gt; $HOME/.bash_login -&gt; $HOME/.profile
* 주의 : 설정 값을 제대로 가지고 오지 못할 경우 파일의 소유자 및 퍼미션 확인</t>
    <phoneticPr fontId="7" type="noConversion"/>
  </si>
  <si>
    <t>1. [Telnet]
 - [#cat /etc/default/login]
 CONSOLE=/dev/console (설정이 있어야 함)
2. [SSH]
 - [#cat /etc/ssh/sshd_config]
  PermitRootLogin no (설정이 있어야 함)
3. 별도의 접근제어 프로그램으로 원격접속을 제한할 경우 설정 값을 확인</t>
    <phoneticPr fontId="8" type="noConversion"/>
  </si>
  <si>
    <t>1. [/etc/default/login] 또는 [/etc/profile] 파일에서 [timeout] 또는 [TMOUT] 항목 확인
2. [awk -F ":" '{print $6"/.profile"}' /etc/passwd | xargs ls -al] 를 실행하여
 각 계정의 home 디렉토리에서 [.profile] 내 [TMOUT] 항목 확인
※ csh 사용 시 [.profile] 내 [TMOUT] 또는 [autologout] 항목 확인
* 쉘별로 설정 파일 순서 마지막으로 호출된 파일이 최종 적용됨
[Solaris]
sh : /etc/profile → $HOME/.profile
ksh : /etc/profile → $HOME/.profile
csh : /etc/.login → $HOME/.cshrc → $HOME/.login
bash : /etc/profile → $HOME/.bash_profile → $HOME/.bash_login → $HOME/.profile
* 주의 : 설정 값을 제대로 가지고 오지 못할 경우 파일의 소유자 및 퍼미션 확인</t>
    <phoneticPr fontId="7" type="noConversion"/>
  </si>
  <si>
    <t>서버 접근제어를 위한 관리 프로세스가 있는지 확인하고 프로토콜별(telnet, ssh, ftp, RDP, X11 등 원격접속 관련 PORT) "Deny All" 적용과 접속 호스트 또는 IP를 지정하여 "Allow" 정책이 적용되었는지 확인
&lt;telnet, ssh, ftp 확인&gt;
UAC, TCP Wrapper, ITA 서비스 중 하나라도 설정 되어 있는지 확인
UAC 
 - /opt/lsware/unity/service/local/ac_agent 디렉토리 존재 확인
 - unityd 프로세스 확인
TCP Wrapper
 - /etc/inetd.conf 에서 6번째 필드에 /usr/local/bin/tcpd 가 있는지 확인
 - /etc/hosts.deny 에 ALL:ALL 확인
ITA 
 - itaagtd, itamgrd, collogd 프로세스 확인
&lt;Xmanager 확인&gt;
 - Xmanager 서비스 동작 확인(프로세스 : dtlogin or 포트 : 177)
 - uac 버전 확인
 - /etc/dt/config/Xaccess or /usr/dt/config/Xaccess 파일 확인
* eTrust 등 별도의 보안프로그램으로 적용 時 해당 프로그램의 설정 값을 확인함
* 접근제어 신청 관련 근거 보유
 1) 실제 사용자
 2) 사용 목적
 3) 사용 기간
 4) 신청 구분: 신규/변경/삭제
 ※ 서버 접근을 위한 목적으로 방화벽 허용 신청 문서가 존재할 시 신청서 내 위의 필수포함 항목과 현업 또는 보안 담당자 결재/합의가 포함되어 있다면 인정함</t>
    <phoneticPr fontId="7" type="noConversion"/>
  </si>
  <si>
    <t>&lt;telnet, ssh, ftp&gt;
1. UAC, TCP Wrapper, ITA 중 하나를 설치 및 설정
&lt;Xmanager&gt;
1. Xmanager 서비스를 종료 혹은,
2. uac 3.4.5 이상 버전을 사용 혹은,
3. 아래 파일에서 *로 시작하는 라인 제거
 - /etc/dt/config/Xaccess,
 - /usr/dt/config/Xaccess 
※ 등록된 Allow 정책 內 IP 및 Port 단위 허용 必
※ IP 접근제어 관리를상시 수행하는지 확인이 필요할 경우 추가점검 사항
: 미승인 IP/Port로 접속한 이력이 존재하는지
서버 접속로그 또는 서버접근제어솔루션 로그 확인</t>
    <phoneticPr fontId="7" type="noConversion"/>
  </si>
  <si>
    <t>[/etc/dfs/dfstab 설정 예]
rw=client 형식으로 접속을 허용할 client를 지정해줘야 함
아래와 같이 지정되어 있지 않은 경우 모든 client의 접속을 허용
 - 취약 : share -F nfs -o r /samsung
 - 양호 : share -F nfs -i r=client1:client2 /samsung
[/etc/exports 설정 예]
r=client 또는 access=client 형식으로 접속을 허용할 client를 지정해줘야 함
아래와 같이 지정되어 있지 않을 경우 모든 client의 접속을 허용
 - 취약 : share -F nfs -o r(w,rw) /samsung
 - 양호 : /samsung -access=client1:client2,r
# exports -a
nfs 설정된 디렉토리 반출 명령
* 시스템 계정이 아닌 일반 사용자 계정에 대해서만 적용</t>
    <phoneticPr fontId="7" type="noConversion"/>
  </si>
  <si>
    <t xml:space="preserve">1. [#inetadm -l egrep -i 'rlogin|rsh|rexec'] 실행하여 r 계열 서비스가 중지되었는지 확인
2. [#ls -al /etc/hosts.equiv], [#awk -F: '{print $6 "/.rhosts"}' /etc/passwd | xargs ls -al] 실행
# 미존재 시 생성
* 시스템 계정 예외 : daemon, bin, sys, adm, uucp, nuucp, lp, nobody, nobody4, listen
</t>
    <phoneticPr fontId="7" type="noConversion"/>
  </si>
  <si>
    <t>1. 불필요 서비스 주석(#) 또는 중지 확인
 - [#inetadm -l | grep &lt;불필요 서비스&gt;],
 - [#svcs -l &lt;불필요 서비스&gt;],
 - [#ps -ef &lt;불필요 서비스&gt;],
 - [#rpcinfo -p],
 - [netstat -an &lt;불필요 서비스&gt;]
※ 불필요 서비스 : bootp, chargen, cmsd, daytime, discard, echo, finger, netstat, rusersd, sprayed, systat, tftp, time, ttdbserverd, uucp</t>
    <phoneticPr fontId="7" type="noConversion"/>
  </si>
  <si>
    <t>1. ftp, anonymous 계정 존재 확인
 - [#cat /etc/passwd], 
 - [#cat /etc/shadow]
2. vsftp 애플리케이션 사용 시, [anonymous_enable] 항목 확인
 - [#cat /etc/vsftpd.conf]</t>
    <phoneticPr fontId="7" type="noConversion"/>
  </si>
  <si>
    <t>양호
 - Anonymous FTP가 설정되어있지 않은 경우
 - anonymous_enable 값이 'NO'로 설정된 경우
취약
 - Anonymous FTP가 설정되어 있는 경우
 - anonymous_enable 값이 'NO'로 설정되어있지 않은 경우</t>
    <phoneticPr fontId="7" type="noConversion"/>
  </si>
  <si>
    <t>1. anonymous ftp 사용 계정 제거
2. [anonymous_enable] 항목 'NO' 설정</t>
    <phoneticPr fontId="7" type="noConversion"/>
  </si>
  <si>
    <t>양호
 - /var/adm/wtmp*,  /var/adm/btmp* 파일의 소유자가 root이고, 퍼미션이 '600'인 경우
 - /var/adm/sulog 파일의 소유자가 root이고, 퍼미션이 '600'인 경우
 - /var/adm/messages파일의 소유자가 root이고, 퍼미션이 '644'인 경우
취약
 - /var/adm/wtmp*,  /var/adm/btmp* 파일의 소유자가 root가 아니거나, 퍼미션이 '600'이 아닌 경우
 - /var/adm/sulog 파일의 소유자가 root가 아니거나, 퍼미션이 '600'이 아닌 경우
 - /var/adm/messages 파일의 소유자가 root가 아니거나, 퍼미션이 '644'가 아닌 경우</t>
    <phoneticPr fontId="7" type="noConversion"/>
  </si>
  <si>
    <t>1.  서버 내 모든 계정리스트와 계정관리대장 또는 시스템 내 서버별 [계정 리스트] 일치
2. 서버 설치 시 기본제공 되는 계정들에 대해서는 업무상 필요한 사유가 없으면 삭제하거나 Lock 처리
3. 2명 이상이 1개의 계정을 공유하여 사용하는 것이 불가피할 경우 공용계정의 실제 사용자가 누구인지 추적이 가능해야 함
※ 별도 통합계정관리 솔루션 사용시 해당 솔루션 로그 분석
4. 계정 Life-cycle 관리를 상시 수행하는지 확인이 필요할 경우 추가점검 사항
 : 미승인 계정을 사용한 이력이 존재하였는지 로그 분석을 통해 확인
Unix / Linux
 1) 계정 접속 이력 확인
접속성공로그(wtmp), 접속실패로그(btmp, failedlogin(AIX))에서 계정 확인
 2) 계정 삭제 이력 확인
 시스템로그(UNIX/AIX : syslog, Solaris/Linux : message)에서 'delete'로 검색하여 계정 삭제 이력 확인
 ※ 최근 1년간 계정 이벤트 로그 확인</t>
    <phoneticPr fontId="7" type="noConversion"/>
  </si>
  <si>
    <t>중요서버 복합인증 또는 비정상 접속시도 모니터링 여부
 - 로그인 시 FIDO, OTP 등 복합인증 적용 
 - 복합인증 미적용 시 비정상 접속시도 모니터링 적용
※ 개인 외부 이메일을 통한 복합인증 금지</t>
    <phoneticPr fontId="7" type="noConversion"/>
  </si>
  <si>
    <t>1. 파일 내용 확인(Default, Local) 
 - [#cat /etc/security/user]
 1) [minalpha]가 4 이상으로 설정되었는지 확인
 2) [minother]가 2 이상으로 설정되었는지 확인
 ※ [minalpha] : 패스워드 내 영문자의 최소 사용 횟수
 ※ [minother] : 패스워드 내 영문자를 제외한 문자의 최소 사용 횟수
* 시스템 계정 예외 : daemon, bin, sys, adm, uucp, nuucp, lpd, lp, nobody, snapp, ipsec, sshd, guest</t>
    <phoneticPr fontId="7" type="noConversion"/>
  </si>
  <si>
    <t>1. 파일 내용 확인 (Default, Local) 
 - [#cat /etc/security/user]
 1) [minlen]이 8 이상으로 설정되었는지 확인
* 시스템 계정 예외 : daemon, bin, sys, adm, uucp, nuucp, lpd, lp, nobody, snapp, ipsec, sshd, guest</t>
    <phoneticPr fontId="7" type="noConversion"/>
  </si>
  <si>
    <t>1. 파일 내용 확인 (Default, Local) 
 - [#cat /etc/security/user]
 1) [hitsize]가 2 이상인지 확인
* 시스템 계정 예외 : daemon, bin, sys, adm, uucp, nuucp, lpd, lp, nobody, snapp, ipsec, sshd, guest</t>
    <phoneticPr fontId="7" type="noConversion"/>
  </si>
  <si>
    <t>1. 파일 내용 확인 (Default, Local) 
 - [#cat /etc/security/user]
 1) [minage]가 1 이상인지 확인
 ※ [minage]값은 주(week) 단위로 설정됨
* 시스템 계정 예외 : daemon, bin, sys, adm, uucp, nuucp, lpd, lp, nobody, snapp, ipsec, sshd, guest</t>
    <phoneticPr fontId="7" type="noConversion"/>
  </si>
  <si>
    <t>1. loginretries 값 확인(Default, Local)
 - [#cat /etc/security/user]
 1) [loginretries]가 5 이하인지 확인
* 시스템 계정 예외 : daemon, bin, sys, adm, uucp, nuucp, lpd, lp, nobody, snapp, ipsec, sshd, guest
2. logindisable, logininterval, loginreenable 값 확인
 - [#cat /etc/security/login.cfg]
 1) [logindisable]가 10 이상인지 확인
 2) [logininterval]가 60 이상인지 확인
 3) [loginreenable]가 30 이상인지 확인</t>
    <phoneticPr fontId="7" type="noConversion"/>
  </si>
  <si>
    <t>1. 소유자 [root], 퍼미션 [400] 확인
 - [#ls -al /etc/shadow /etc/security/passwd]
2. [#cat /etc/passwd] 실행하여 계정의 패스워드 해시값이 존재하는지 확인</t>
    <phoneticPr fontId="7" type="noConversion"/>
  </si>
  <si>
    <t>1. 소유자 [root], 퍼미션 [644] 또는 [600] 확인
 - [#ls -al /etc/hosts]</t>
    <phoneticPr fontId="7" type="noConversion"/>
  </si>
  <si>
    <t>1. 소유자 [root], 퍼미션 [644] 또는 [600] 확인
 - [#ls -al /etc/services]</t>
    <phoneticPr fontId="7" type="noConversion"/>
  </si>
  <si>
    <t>1. 소유자 [root] 또는 [sys], [bin], 퍼미션 [700] 확인
 - [#ls -l /usr/bin/last]
2. 소유자 [root] 퍼미션 [700] 확인
 - [#ls -l /usr/sbin/ifconfig]
 ※ 링크파일인 경우 링크된 위치의 명령어 권한 확인</t>
    <phoneticPr fontId="7" type="noConversion"/>
  </si>
  <si>
    <t>1. 소유자 [root], 퍼미션 [600] 확인
 - [#ls -al /etc/ftpusers]
 ※ 파일위치 또는 파일명이 위 기준과 상이할 경우 해당 위치 또는 ftp 접근제어 파일의 권한 확인</t>
    <phoneticPr fontId="7" type="noConversion"/>
  </si>
  <si>
    <t>양호 - umask 값이 '022' 또는 '027'인 경우
취약 - umask 값이 '022' 미만인 계정이 존재하는 경우</t>
    <phoneticPr fontId="7" type="noConversion"/>
  </si>
  <si>
    <t>1. 각 일반 계정으로 로그인 한 후 [#umask]를 통해 일반 계정의 [umask 설정]이 0022 또는 0027 인지 확인
또는,
1. [#cat /etc/passwd]로 확인된 모든 계정의 홈 디렉토리의 [.profile]을 확인
2. [&lt;홈디렉토리&gt;/.profile] 파일에서 [umask] 항목 확인
* 쉘별로 설정 파일 순서
 - 마지막으로 호출된 파일이 최종 적용됨
[AIX}
sh : /etc/profile → $HOME/.profile
bsh : /etc/profile → $HOME/.profile
ksh : /etc/profile → $HOME/.profile
csh : /etc/csh.login → $HOME/.cshrc
bash : /etc/profile → $HOME/.bash_profile → $HOME/.bash_login → $HOME/.profile 
* 주의 : 설정 값을 제대로 가지고 오지 못할 경우 파일의 소유자 및 퍼미션 확인</t>
    <phoneticPr fontId="7" type="noConversion"/>
  </si>
  <si>
    <t>양호 - umask 값이 '022' 또는 '027'인 경우
취약 - umask 값이 '022' 미만인 계정이 존재하는 경우</t>
    <phoneticPr fontId="7" type="noConversion"/>
  </si>
  <si>
    <t>[Telnet]
1. vi 편집기를 이용하여 “/etc/security/user” 파일을 연 후
2. *rlogin 설정을 아래와 같이 수정 또는, 신규 삽입 (root 설정에 해당되는 부분 수정)
(수정 전) rlogin = true
(수정 후) rlogin = false
[SSH]
1. vi 편집기를 이용하여 "/etc/ssh/sshd_config" 파일을 연 후
2. 아래와 같이 설정 변경
(수정 전 1) #PermitRootLogin no
(수정 전 2) PermitRootLogin yes
(수정 후) PermitRootLogin no</t>
    <phoneticPr fontId="8" type="noConversion"/>
  </si>
  <si>
    <t>1. [/etc/default/login] 파일 또는 [/etc/profile] 파일에서 [timeout] 또는 [TMOUT] 항목 확인
2. [awk -F ":" '{prfint $6"/.profile"}' /etc/passwd | xargs ls -al] 를 실행하여 각 계정의 home 디렉토리에서 [.profile] 내 [TMOUT] 항목 확인
※ csh 사용 시 [.profile] 내 [TMOUT] 또는 [autologout] 항목 확인
쉘별로 설정 파일 순서
마지막으로 호출된 파일이 최종 적용됨
[AIX]
sh : /etc/profile → $HOME/.profile
bsh : /etc/profile → $HOME/.profile
ksh : /etc/profile → $HOME/.profile
csh : /etc/csh.login → $HOME/.cshrc
bash : /etc/profile → $HOME/.profile → $HOME/.bash_login → $HOME/.bash_profile
* 주의: 설정 값을 제대로 가지고 오지 못할 경우 파일의 소유자 및 퍼미션 확인</t>
    <phoneticPr fontId="7" type="noConversion"/>
  </si>
  <si>
    <t xml:space="preserve">1. TMOUT 값 수정 (default)
#vi /etc/profile
TMOUT=1800
export TMOUT
2. TMOUT 값 수정 (사용자)
#vi [user home]/.profile
TMOUT=1800
export TMOUT
※ 계정이 csh 사용 시 
 - [autologout] : 30 또는 [TMOUT] : 1800 </t>
    <phoneticPr fontId="7" type="noConversion"/>
  </si>
  <si>
    <t>서버 접근제어를 위한 관리 프로세스가 있는지 확인하고 프로토콜별(telnet, ssh, ftp, RDP, X11 등 원격접속 관련 PORT) "Deny All" 적용과 접속 호스트 또는 IP를 지정하여 "Allow" 정책이 적용되었는지 확인
&lt;telnet, ssh, ftp 확인&gt;
UAC, TCP Wrapper, ITA 서비스 중 하나라도 설정 되어 있는지 확인
UAC 
 - /opt/lsware/unity/service/local/ac_agent 디렉토리 존재 확인
 - unityd 프로세스 확인
TCP Wrapper
 - /etc/inetd.conf 에서 6번째 필드에 /usr/local/bin/tcpd 가 있는지 확인
 - /etc/hosts.deny 에 ALL:ALL 확인
ITA 
 - itaagtd, itamgrd, collogd 프로세스 확인
&lt;Xmanager 확인&gt;
Xmanager 서비스 동작 확인(프로세스 : dtlogin or 포트 : 177)
uac 버전 확인
/etc/dt/config/Xaccess or /usr/dt/config/Xaccess 파일 확인
* eTrust 등 별도의 보안프로그램으로 적용 時 해당 프로그램의 설정 값을 확인함
* 접근제어 신청 관련 근거 보유
 1) 실제 사용자
 2) 사용 목적
 3) 사용 기간
 4) 신청 구분: 신규/변경/삭제
 ※ 서버 접근을 위한 목적으로 방화벽 허용 신청 문서가 존재할 시 신청서 내 위의 필수포함 항목과 현업 또는 보안 담당자 결재/합의가 포함되어 있다면 인정함</t>
    <phoneticPr fontId="7" type="noConversion"/>
  </si>
  <si>
    <t>&lt;telnet, ssh, ftp&gt;
UAC, TCP Wrapper, ITA 중 하나를 설치 및 설정
&lt;Xmanager&gt;
Xmanager 서비스를 종료하거나 uac 3.4.5 이상 버전을 사용하거나 /etc/dt/config/Xaccess, /usr/dt/config/Xaccess 파일에서 *로 시작하는 라인 제거
※ 등록된 Allow 정책 內 IP 및 Port 단위 허용 必
※ IP 접근제어 관리를상시 수행하는지 확인이 필요할 경우 추가점검 사항
: 미승인 IP/Port로 접속한 이력이 존재하는지
서버 접속로그 또는 서버접근제어솔루션 로그 확인</t>
    <phoneticPr fontId="7" type="noConversion"/>
  </si>
  <si>
    <r>
      <t xml:space="preserve">[양호 기준]
 - NFS 미사용 
OR
(everyone AND Userhome AND / 공유 없음)
[취약 기준]
 - NFS 사용
AND
((everyone OR / OR Userhome 공유 있음)
</t>
    </r>
    <r>
      <rPr>
        <b/>
        <sz val="10"/>
        <color theme="1"/>
        <rFont val="맑은 고딕"/>
        <family val="3"/>
        <charset val="129"/>
        <scheme val="minor"/>
      </rPr>
      <t>OR
접근 제어 설정 host 가 클래스단위(0~31) 존재할경우</t>
    </r>
    <r>
      <rPr>
        <sz val="10"/>
        <color theme="1"/>
        <rFont val="맑은 고딕"/>
        <family val="3"/>
        <charset val="129"/>
        <scheme val="minor"/>
      </rPr>
      <t xml:space="preserve">
* 해당 점검항목은 #showmount -e 의 결과를 점검함</t>
    </r>
    <phoneticPr fontId="7" type="noConversion"/>
  </si>
  <si>
    <t>1. ftp 또는 anonymous 계정 존재 확인
 - [#cat /etc/passwd]
 - [#cat /etc/shadow]
2. vsftp 애플리케이션 사용 시, [anonymous_enable] 항목 확인
 - [#cat /etc/vsftpd.conf]</t>
    <phoneticPr fontId="7" type="noConversion"/>
  </si>
  <si>
    <t>1. ftp, anonymous 계정 제거 
2. [anonymous_enable] 값 'NO' 설정</t>
    <phoneticPr fontId="7" type="noConversion"/>
  </si>
  <si>
    <t>1. 소유자 [root], 퍼미션 [644] 또는 [600] 확인
 - [#ls -al /etc/passwd /etc/group]</t>
    <phoneticPr fontId="7" type="noConversion"/>
  </si>
  <si>
    <t>1. 소유자 [root], 퍼미션 [644] 또는 [600] 확인
 - [#ls -al /etc/hosts]</t>
    <phoneticPr fontId="7" type="noConversion"/>
  </si>
  <si>
    <t>양호 - /etc/hosts 파일의 소유자가 root 이고, 퍼미션이 '644' 또는 '600'인 경우
취약 - /etc/hosts 파일의 소유자가 root가 아니거나, 퍼미션이 '644' 또는 '600'이 아닌 경우</t>
    <phoneticPr fontId="7" type="noConversion"/>
  </si>
  <si>
    <t>1. 소유자 [root], 퍼미션 [644] 또는 [600] 확인
 - [#ls -al /etc/services]</t>
    <phoneticPr fontId="7" type="noConversion"/>
  </si>
  <si>
    <t>양호 - /etc/services 파일의 소유자가 root이고, 퍼미션이 '644' 또는 '600'인 경우
취약 - /etc/services 파일의 소유자가 root가 아니거나, 퍼미션이 '644' 또는 '600'이 아닌 경우</t>
    <phoneticPr fontId="7" type="noConversion"/>
  </si>
  <si>
    <t>1. root 계정으로 로그인 한 후 [#umask] 를 통해 root 계정의 [umask 설정]이 0022 또는 0027인지 확인
또는
1. [/etc/profile] 파일에서 [umask] 항목의 [022] 또는 [027] 확인
[HPUX]
sh : /etc/profile → $HOME/.profile
ksh : /etc/profile → $HOME/.profile
csh : /etc/csh.login → $HOME/.cshrc → $HOME/.login
bash : /etc/profile → $HOME/.bash_profile → $HOME/.bash_login → $HOME/.profile  
* 주의 : 설정 값을 제대로 가지고 오지 못할 경우 파일의 소유자 및 퍼미션 확인</t>
    <phoneticPr fontId="7" type="noConversion"/>
  </si>
  <si>
    <t>1. 각 일반 계정으로 로그인 한 후 [#umask]를 통해 일반 계정의 [umask 설정]이 0022 또는 0027인지 확인
또는
1. [#cat /etc/passwd]로 확인된 모든 계정의 홈 디렉토리의 [.profile]을 확인
2. [&lt;홈디렉토리&gt;/.profile] 파일에서 [umask] 항목 확인
* 쉘별로 설정 파일 순서
 - 마지막으로 호출된 파일이 최종 적용됨
[HPUX]
sh : /etc/profile → $HOME/.profile
ksh : /etc/profile → $HOME/.profile
csh : /etc/csh.login → $HOME/.cshrc → $HOME/.login
bash : /etc/profile → $HOME/.bash_profile → $HOME/.bash_login → $HOME/.profile  
* 주의 : 설정 값을 제대로 가지고 오지 못할 경우 파일의 소유자 및 퍼미션 확인</t>
    <phoneticPr fontId="7" type="noConversion"/>
  </si>
  <si>
    <t>1. [Telnet]
 - [#cat /etc/securetty] "console" 설정 유무 확인
2. [SSH]
 - [#cat /opt/ssh/etc/sshd_config] "PermitRootLogin no" 설정 유무 확인
3. 별도의 접근제어 프로그램으로 원격접속을 제한할 경우 설정 값을 확인함</t>
    <phoneticPr fontId="8" type="noConversion"/>
  </si>
  <si>
    <t>원격 접속 시 root 계정으로 바로 접속 할 수 없도록 설정파일 수정
[Telnet]
1. vi 편집기를 이용하여 “/etc/securetty” 파일을 연 후
2. 아래와 같이 주석 제거 또는, 신규 삽입
(수정 전) #console
(수정 후) console
* “/etc/securetty” 파일은 디폴트로 존재하지 않으므로 /etc 디렉터리 내에 "securetty" 파일이 존재하지 않는 경우 새로 생성한 후 적용함
[SSH]
1. vi 편집기를 이용하여 "/opt/ssh/etc/sshd_config" 파일을 연 후
2. 아래와 같이 설정 변경
(수정 전 1) #PermitRootLogin no
(수정 전 2) PermitRootLogin yes
(수정 후) PermitRootLogin no</t>
    <phoneticPr fontId="8" type="noConversion"/>
  </si>
  <si>
    <t>1. [/etc/default/login] 파일 또는 [/etc/profile] 파일에서 [timeout] 또는 [TMOUT] 항목 확인
2. [awk -F ":" '{print $6"/.profile"}' /etc/passwd | xargs ls -al]를 실행하여
   각 계정의 home 디렉토리에서 [.profile] 내 [TMOUT] 항목 확인
* csh 사용 시 [.profile] 내 [TMOUT] 또는 [autologout] 항목 확인
* 쉘별로 설정 파일 순서
 - 마지막으로 호출된 파일이 최종 적용됨
[HPUX]
sh : /etc/profile → $HOME/.profile
ksh : /etc/profile → $HOME/.profile
csh : /etc/csh.login → $HOME/.cshrc → $HOME/.login
bash : /etc/profile → $HOME/.bash_profile → $HOME/.bash_login → $HOME/.profile  
* 주의 : 설정 값을 제대로 가지고 오지 못할 경우 파일의 소유자 및 퍼미션 확인</t>
    <phoneticPr fontId="7" type="noConversion"/>
  </si>
  <si>
    <t>서버 접근제어를 위한 관리 프로세스가 있는지 확인하고 프로토콜별(telnet, ssh, ftp, RDP, X11 등 원격접속 관련 PORT) "Deny All" 적용과 접속 호스트 또는 IP를 지정하여 "Allow" 정책이 적용되었는지 확인
&lt;telnet, ssh, ftp 확인&gt;
UAC, TCP Wrapper, ITA 서비스 중 하나라도 설정 되어 있는지 확인
UAC 
 - /opt/lsware/unity/service/local/ac_agent 디렉토리 존재 확인
 - unityd 프로세스 확인
TCP Wrapper
 - /etc/inetd.conf 에서 6번째 필드에 /usr/local/bin/tcpd 가 있는지 확인
 - /etc/hosts.deny 에 ALL:ALL 확인
ITA 
 - itaagtd, itamgrd, collogd 프로세스 확인
&lt;Xmanager 확인&gt;
Xmanager 서비스 동작 확인(프로세스 : dtlogin or 포트 : 177)
uac 버전 확인
/etc/dt/config/Xaccess or /usr/dt/config/Xaccess 파일 확인
* eTrust 등 별도의 보안프로그램으로 적용 時 해당 프로그램의 설정 값을 확인함
* 접근제어 신청 관련 근거 보유
 1) 실제 사용자
 2) 사용 목적
 3) 사용 기간
 4) 신청 구분: 신규/변경/삭제
 ※ 서버 접근을 위한 목적으로 방화벽 허용 신청 문서가 존재할 시 신청서 내 위의 필수포함 항목과 현업 또는 보안 담당자 결재/합의가 포함되어 있다면 인정함</t>
    <phoneticPr fontId="7" type="noConversion"/>
  </si>
  <si>
    <t>업무상 필요에 의하여 외부 인터넷 접속이 필요한 경우 해당 목적지를 IP, PORT별로 최소화하여 적용하고 예외처리 必
※ 인터넷과 연결된 서버는 사이버사업장에 준하는 보안관제 등 보안대책 적용</t>
    <phoneticPr fontId="7" type="noConversion"/>
  </si>
  <si>
    <t>[/etc/dfs/dfstab 설정 예]
rw=client 형식으로 접속을 허용할 client를 지정해줘야 함
아래와 같이 지정되어 있지 않은 경우 모든 client의 접속을 허용
 - 취약 : share -F nfs -o r /samsung
 - 양호 : share -F nfs -o r=client1:client2 /samsung
[/etc/exports 설정 예]
r=client 또는 access=client 형식으로 접속을 허용할 client를 지정해줘야 함
아래와 같이 지정되어 있지 않을 경우 모든 client의 접속을 허용
 - 취약 : share -F nfs -o r(w,rw) /samsung
 - 양호 : /samsung -access=client1:client2,r
* [#exports -a] 명령어로 NFS 설정된 디렉토리 반출
* 시스템 계정이 아닌 일반 사용자 계정에 대해서만 적용함 
* HP 11.31은 /etc/dfs/dfstab파일로 설정함</t>
    <phoneticPr fontId="7" type="noConversion"/>
  </si>
  <si>
    <t>[tcb 모드](Default, Local)
1. [Action] 항목의 값이 disable인지 확인
 - [SAM → Networking and Communications → Network Services Configuration → Network Services → Anonymous FTP]
[일반 모드]
1. ftp 또는 anonymous 계정 유무 확인
 - [#cat /etc/passwd],
 - [#cat /etc/shadow]
2. vsftp 애플리케이션 사용 시 anonymous_enble 항목 확인
 - [#cat /etc/vsftpd.conf]</t>
    <phoneticPr fontId="7" type="noConversion"/>
  </si>
  <si>
    <t>양호
 - Anonymous FTP가 설정되어 있지 않은 경우
 - anonymous_enable 값이 'NO'로 설정된 경우
취약
 - Anonymous FTP가 설정되어 있는 경우
 - anonymous_enable 값이 'YES'로 설정된 경우</t>
    <phoneticPr fontId="7" type="noConversion"/>
  </si>
  <si>
    <t>1. ftp, anonymous 계정 제거
2. anonymous_enable 값 'NO' 설정</t>
    <phoneticPr fontId="7" type="noConversion"/>
  </si>
  <si>
    <t>1. 제어판 → 관리도구 → 컴퓨터 관리 → 시스템 도구 → 로컬 사용자 및 그룹 → 사용자 → Guest 속성 → 계정 사용 안함 체크
* OS 설치 시 기본 생성되는 계정은 근거 결재 문서 불필요
* 계정 생성/변경/폐기 절차는 '계정 및 권한 발급 절차' 참고
* IIS서비스를 제공하는 경우 IIS_WPG, IUSR_서버명, IWAM_서버명, ASPNET 등 기본설치 계정 예외 허용
* 계정 삭제가 불가능한 경우 명확한 사유를 기재하여 절차에 따라 예외처리 (예외 기한 최대 1년)</t>
    <phoneticPr fontId="7" type="noConversion"/>
  </si>
  <si>
    <r>
      <t xml:space="preserve">양호
 - 최대 암호 사용기간이 '90' 이하로 설정된 경우
</t>
    </r>
    <r>
      <rPr>
        <sz val="10"/>
        <color rgb="FFFF0000"/>
        <rFont val="맑은 고딕"/>
        <family val="3"/>
        <charset val="129"/>
        <scheme val="minor"/>
      </rPr>
      <t xml:space="preserve"> - '암호 사용기간 제한 없음' 이 비활성화된 경우</t>
    </r>
    <r>
      <rPr>
        <sz val="10"/>
        <color theme="1"/>
        <rFont val="맑은 고딕"/>
        <family val="3"/>
        <charset val="129"/>
        <scheme val="minor"/>
      </rPr>
      <t xml:space="preserve">
취약
 - 최대 암호 사용기간이 '90' 초과로 설정된 경우
</t>
    </r>
    <r>
      <rPr>
        <sz val="10"/>
        <color rgb="FFFF0000"/>
        <rFont val="맑은 고딕"/>
        <family val="3"/>
        <charset val="129"/>
        <scheme val="minor"/>
      </rPr>
      <t xml:space="preserve"> - '암호 사용기간 제한 없음' 이 활성화된 경우</t>
    </r>
    <phoneticPr fontId="7" type="noConversion"/>
  </si>
  <si>
    <r>
      <rPr>
        <sz val="10"/>
        <color rgb="FFFF0000"/>
        <rFont val="맑은 고딕"/>
        <family val="3"/>
        <charset val="129"/>
        <scheme val="minor"/>
      </rPr>
      <t>AV01-4.1</t>
    </r>
    <r>
      <rPr>
        <sz val="10"/>
        <color theme="1"/>
        <rFont val="맑은 고딕"/>
        <family val="3"/>
        <charset val="129"/>
        <scheme val="minor"/>
      </rPr>
      <t xml:space="preserve"> 백신 프로그램의 최신 업데이트가 적용되어 있는가?</t>
    </r>
    <phoneticPr fontId="7" type="noConversion"/>
  </si>
  <si>
    <r>
      <rPr>
        <sz val="10"/>
        <color rgb="FFFF0000"/>
        <rFont val="맑은 고딕"/>
        <family val="3"/>
        <charset val="129"/>
        <scheme val="minor"/>
      </rPr>
      <t>AV01-4.2</t>
    </r>
    <r>
      <rPr>
        <sz val="10"/>
        <color theme="1"/>
        <rFont val="맑은 고딕"/>
        <family val="3"/>
        <charset val="129"/>
        <scheme val="minor"/>
      </rPr>
      <t xml:space="preserve"> 백신 프로그램의 실시간 감시 기능이 사용되고 있는가?  </t>
    </r>
    <phoneticPr fontId="7" type="noConversion"/>
  </si>
  <si>
    <r>
      <rPr>
        <sz val="10"/>
        <color rgb="FFFF0000"/>
        <rFont val="맑은 고딕"/>
        <family val="3"/>
        <charset val="129"/>
        <scheme val="minor"/>
      </rPr>
      <t>AV01-4.3</t>
    </r>
    <r>
      <rPr>
        <sz val="10"/>
        <color theme="1"/>
        <rFont val="맑은 고딕"/>
        <family val="3"/>
        <charset val="129"/>
        <scheme val="minor"/>
      </rPr>
      <t xml:space="preserve"> 악성코드 감염 이력이 존재하는가?</t>
    </r>
    <phoneticPr fontId="7" type="noConversion"/>
  </si>
  <si>
    <r>
      <t>DS01-</t>
    </r>
    <r>
      <rPr>
        <sz val="10"/>
        <color rgb="FFFF0000"/>
        <rFont val="맑은 고딕"/>
        <family val="3"/>
        <charset val="129"/>
        <scheme val="minor"/>
      </rPr>
      <t>5</t>
    </r>
    <r>
      <rPr>
        <sz val="10"/>
        <color theme="1"/>
        <rFont val="맑은 고딕"/>
        <family val="3"/>
        <charset val="129"/>
        <scheme val="minor"/>
      </rPr>
      <t>.1 DMZ에 위치한 서버내 DB가 존재하지 않는가?</t>
    </r>
    <phoneticPr fontId="7" type="noConversion"/>
  </si>
  <si>
    <r>
      <t>DS01-</t>
    </r>
    <r>
      <rPr>
        <sz val="10"/>
        <color rgb="FFFF0000"/>
        <rFont val="맑은 고딕"/>
        <family val="3"/>
        <charset val="129"/>
        <scheme val="minor"/>
      </rPr>
      <t>5</t>
    </r>
    <r>
      <rPr>
        <sz val="10"/>
        <color theme="1"/>
        <rFont val="맑은 고딕"/>
        <family val="3"/>
        <charset val="129"/>
        <scheme val="minor"/>
      </rPr>
      <t>.2 DMZ에 위치한 서버내 DB 존재시 중요 데이터가 존재하지 않는가?</t>
    </r>
    <phoneticPr fontId="7" type="noConversion"/>
  </si>
  <si>
    <t>판단: OK/BAD
[양호 조건]
[5.x 버전] 
/etc/pam.d/system-auth auth required pam_tally.so deny=5 onerr=fail per_user no_lock_time
파일  auth required pam_tally.so
설정 AND deny 5 이하, no_lock_time 1800 이하
[6.x 버전]
/etc/pam.d/system-auth, /etc/pam.d/password-auth 각 파일 auth required pam_tally2.so 설정
AND
deny 5 이하, lock_time 1800 설정
[7.x 버전]
/etc/pam.d/system-auth, /etc/pam.d/password-auth 각 파일 auth required pam_tally2.so 설정
AND
deny 5 이하, lock_time 1800 설정
[SUSE, Ubuntu]
/etc/pam.d/common-auth 파일 내 auth required pam_tally.so 설정
AND
deny 5 이하, no_lock_time 1800 설정
[취약 조건]
[5.x 버전]
/etc/pam.d/common-auth auth required pam_tally.so deny=5 onerr=fail per_user no_lock_time
파일  auth required pam_tally.so
OR 
deny 5 초과, no_lock_time 1800 이하
[6.x 버전]
/etc/pam.d/system-auth, /etc/pam.d/password-auth 각 파일 auth required pam_tally2.so 미설정
OR
deny 5 초과, lock_time 1800 미설정
[7.x 버전]
/etc/pam.d/system-auth, /etc/pam.d/password-auth 각 파일 auth required pam_tally2.so 미설정
OR
deny 5 초과, lock_time 1800 미설정
[SUSE, Ubuntu]
/etc/pam.d/common-auth 파일 내 auth required pam_tally.so 미설정
OR
deny 5 초과, no_lock_time 1800 미설정
※ Redhat Enterprise 6버전이상에서는 pam_faillock.so(기본)를 사용을 권고하나, pam_tally2.so 사용도 가능
※ Redhat Enterprise 5버전 이상부터 [no_magic_root reset] 디폴트 설정되어 있으므로 필요시 설정</t>
    <phoneticPr fontId="7" type="noConversion"/>
  </si>
  <si>
    <t>※ root 등 중요 계정이 잠길 경우 서비스가 안되거나 리부팅이 필요할 수 있으니 영향성 확인 후 적용
[Redhat 6 버전 이상]
1. [#cat /etc/pam.d/system-auth], [#cat /etc/pam.d/password-auth]
2. [auth required pam_tally2.so] 라인에 아래 항목 값 확인
 - deny=5
 - unlock_time = 1800
※ pam_tally.so/pam_tally2.so가 존재하는 라인은 pam_unix.so 보다 상단에 위치해야 정책이 적용됨 
※ pam_failock.so 사용 시 라인의 적용 순서 (count reset을 위해 설정)
  : preauth → try_first_pass → authfail
예시) [/etc/pam.d/system-auth] 및 [/etc/pam.d/password-auth] 파일
auth required  pam_env.so
auth required  pam_faillock.so preauth silent audit deny=5 unlock_time=1800
auth sufficient pam_unix.so nullok try_first_pass
auth required  pam_faillock.so authfail audit deny=5 unlock_time=1800
auth requisite  pam_succeed_if.so uid &gt;= 500 quiet
auth required  pam_deny.so
account required  pam_faillock.so
account required  pam_unix.so
※ [no_magic_root reset] 옵션이 디폴트가 아닌 OS버전(Redhat 4, SUSE 11버전 이하 등)은 적용 필요
※ 기존 no_magic_root reset 옵션 제거 시 root 잠김으로 장애 발생 여부 검토 후 적용
※ 리눅스 OS, 버전 별 다른 패스워드 설정 파일 및 계정관리 솔루션 도입 등으로 인해 패스워드 설정 방식이 다를 수 있으므로 
패스워드 정책에 맞게 적용되어 있으면 인정 됨</t>
    <phoneticPr fontId="7" type="noConversion"/>
  </si>
  <si>
    <t>양호
 - (Redhat) 백업파일의 소유자가 root이고, 퍼미션이 '600'인 경우
 - (Ubuntu) 백업파일의 소유자가 root 또는 syslog이고, 퍼미션이 '600'인 경우
취약
 - (Redhat) 백업파일의 소유자가 root가 아니거나, 퍼미션이 '600'이 아닌 경우
 - (Ubuntu) 백업파일의 소유자가 root, syslog가 아니거나, 퍼미션이 '600'이 아닌 경우</t>
    <phoneticPr fontId="7" type="noConversion"/>
  </si>
  <si>
    <r>
      <t xml:space="preserve">[Redhat]
</t>
    </r>
    <r>
      <rPr>
        <sz val="10"/>
        <color rgb="FFFF0000"/>
        <rFont val="맑은 고딕"/>
        <family val="3"/>
        <charset val="129"/>
        <scheme val="minor"/>
      </rPr>
      <t>1. [#ls -al /var/log/wtmp* /var/log/btmp*] 실행하여 소유자 [root], 퍼미션 [600] 확인
2. [#ls -al /var/log/sulog*] 실행하여 소유자 [root]. 권한 [600] 확인
※ /var/log/secure 로그에 저장 시 해당 로그의 권한 추가 확인
3. [#ls -al /var/log/messages*] 실행하여 소유자 [root], 퍼미션 [644] 확인</t>
    </r>
    <r>
      <rPr>
        <sz val="10"/>
        <color theme="1"/>
        <rFont val="맑은 고딕"/>
        <family val="3"/>
        <charset val="129"/>
        <scheme val="minor"/>
      </rPr>
      <t xml:space="preserve">
[Ubuntu]
</t>
    </r>
    <r>
      <rPr>
        <sz val="10"/>
        <color rgb="FFFF0000"/>
        <rFont val="맑은 고딕"/>
        <family val="3"/>
        <charset val="129"/>
        <scheme val="minor"/>
      </rPr>
      <t>1. [#ls -al /var/log/wtmp* /var/log/btmp*] 실행하여 소유자 [root], 퍼미션 [600] 확인
2. [#ls -al /var/log/sulog*] 실행하여 소유자 [root] 또는 [syslog] 권한 [600] 확인
※ /var/log/auth.log 로그에 저장 시 해당 로그의 권한 추가 확인
3. [#ls -al /var/log/syslog*] 실행하여 소유자 [root] 또는 [syslog] 퍼미션 [644] 확인</t>
    </r>
    <phoneticPr fontId="7" type="noConversion"/>
  </si>
  <si>
    <r>
      <t xml:space="preserve">양호
</t>
    </r>
    <r>
      <rPr>
        <sz val="10"/>
        <color rgb="FFFF0000"/>
        <rFont val="맑은 고딕"/>
        <family val="3"/>
        <charset val="129"/>
        <scheme val="minor"/>
      </rPr>
      <t xml:space="preserve"> - [Redhat] wtmp*, btmp*, sulog*, secure 파일의 소유자가 root이고, 퍼미션이 '600'인 경우 (messages* 파일 퍼미션 '644')
 - [Ubuntu] wtmp*, btmp* 파일의 소유자가 root이고, 퍼미션이 '600'인 경우
 - [Ubuntu] sulog*, auth.log 파일의 소유자가 root 또는 syslog이고, 퍼미션이 '600'인 경우 (syslog* 파일 퍼미션 '644')</t>
    </r>
    <r>
      <rPr>
        <sz val="10"/>
        <color theme="1"/>
        <rFont val="맑은 고딕"/>
        <family val="3"/>
        <charset val="129"/>
        <scheme val="minor"/>
      </rPr>
      <t xml:space="preserve">
취약
</t>
    </r>
    <r>
      <rPr>
        <sz val="10"/>
        <color rgb="FFFF0000"/>
        <rFont val="맑은 고딕"/>
        <family val="3"/>
        <charset val="129"/>
        <scheme val="minor"/>
      </rPr>
      <t xml:space="preserve"> - [Redhat] wtmp*, btmp*, sulog*, secure 파일의 소유자가 root가 아니거나, 퍼미션이 '600'이 아닌 경우 (messages* 파일 퍼미션 '644')
 - [Ubuntu] wtmp*, btmp* 파일의 소유자가 root가 아니거나, 퍼미션이 '600'이 아닌 경우
 - [Ubuntu] sulog*, auth.log 파일의 소유자가 root 또는 syslog가 아니거나, 퍼미션이 '600'이 아닌 경우 (syslog* 파일 퍼미션 '644')</t>
    </r>
    <phoneticPr fontId="7" type="noConversion"/>
  </si>
  <si>
    <r>
      <t xml:space="preserve">1. 설정환경에 따라 로그 위치가 다를 경우 /etc/syslog.conf에서 설정된 위치의 로그를 확인 함.
2. 리눅스 OS 버전 별 해당하는 로그 파일 확인
※ 리눅스 보안 로그 종류 :
 - 접속성공로그(wtmp), 
 - 접속실패로그(btmp), 
 - 권한상승로그(sulog, secure, authlog),
 - 시스템로그(syslog.log, messages)
</t>
    </r>
    <r>
      <rPr>
        <sz val="10"/>
        <color rgb="FFFF0000"/>
        <rFont val="맑은 고딕"/>
        <family val="3"/>
        <charset val="129"/>
        <scheme val="minor"/>
      </rPr>
      <t>※ Ubuntu의 경우, 실행중인 로그파일의 소유자를 상위 권한의 소유자로 변경(예. syslog → root)은 로그 저장 실패 등 오류가 발생할 수 있어 권고하지 않음</t>
    </r>
    <phoneticPr fontId="7" type="noConversion"/>
  </si>
  <si>
    <r>
      <t>DS01-</t>
    </r>
    <r>
      <rPr>
        <sz val="10"/>
        <color rgb="FFFF0000"/>
        <rFont val="맑은 고딕"/>
        <family val="3"/>
        <charset val="129"/>
        <scheme val="minor"/>
      </rPr>
      <t>5</t>
    </r>
    <r>
      <rPr>
        <sz val="10"/>
        <color theme="1"/>
        <rFont val="맑은 고딕"/>
        <family val="3"/>
        <charset val="129"/>
        <scheme val="minor"/>
      </rPr>
      <t>.2 DMZ에 위치한 서버내 DB 존재시 중요 데이터가 존재하지 않는가?</t>
    </r>
    <phoneticPr fontId="7" type="noConversion"/>
  </si>
  <si>
    <t>백신 프로그램 관리</t>
    <phoneticPr fontId="7" type="noConversion"/>
  </si>
  <si>
    <r>
      <t>DS01-</t>
    </r>
    <r>
      <rPr>
        <sz val="10"/>
        <color rgb="FFFF0000"/>
        <rFont val="맑은 고딕"/>
        <family val="3"/>
        <charset val="129"/>
        <scheme val="minor"/>
      </rPr>
      <t>5</t>
    </r>
    <r>
      <rPr>
        <sz val="10"/>
        <color theme="1"/>
        <rFont val="맑은 고딕"/>
        <family val="3"/>
        <charset val="129"/>
        <scheme val="minor"/>
      </rPr>
      <t>.1 DMZ에 위치한 서버내 DB가 존재하지 않는가?</t>
    </r>
    <phoneticPr fontId="7" type="noConversion"/>
  </si>
  <si>
    <r>
      <t>DS01-</t>
    </r>
    <r>
      <rPr>
        <sz val="10"/>
        <color rgb="FFFF0000"/>
        <rFont val="맑은 고딕"/>
        <family val="3"/>
        <charset val="129"/>
        <scheme val="minor"/>
      </rPr>
      <t>5</t>
    </r>
    <r>
      <rPr>
        <sz val="10"/>
        <color theme="1"/>
        <rFont val="맑은 고딕"/>
        <family val="3"/>
        <charset val="129"/>
        <scheme val="minor"/>
      </rPr>
      <t>.2 DMZ에 위치한 서버내 DB 존재시 중요 데이터가 존재하지 않는가?</t>
    </r>
    <phoneticPr fontId="7" type="noConversion"/>
  </si>
  <si>
    <t>AV01</t>
    <phoneticPr fontId="7" type="noConversion"/>
  </si>
  <si>
    <t>AV01</t>
    <phoneticPr fontId="7" type="noConversion"/>
  </si>
  <si>
    <t>AV01</t>
    <phoneticPr fontId="7" type="noConversion"/>
  </si>
  <si>
    <t>DS01</t>
    <phoneticPr fontId="7" type="noConversion"/>
  </si>
  <si>
    <t>DS01</t>
    <phoneticPr fontId="7" type="noConversion"/>
  </si>
  <si>
    <t>* Information 항목으로 명령어를 실행해 현재 운영중인 프로세스 출력
 - [taskmgr]를 통해 프로세스 확인</t>
    <phoneticPr fontId="7" type="noConversion"/>
  </si>
  <si>
    <t>Hot Fix 는 즉시 교정되어야만 하는 주요한 취약점(주로 보안과 관련된)을 패치하기 위해 배포되는 프로그램임.
Hot Fix는 각각의 Service Pack 이 발표된 이후 패치가 추가될 필요가 있을 때 별도로 발표 됨.
때론, Hot Fix 보다 취약성을 이용한 공격 도구가 먼저 출현 할 수 있으므로 Hot Fix는 발표 후 가능한 빨리 설치 할 것을 권장함.</t>
    <phoneticPr fontId="7" type="noConversion"/>
  </si>
  <si>
    <t>Administrator 계정은 로그온 시 몇 번이고 실패해도 절대 접속을 차단하지 않기 때문에
시스템을 공격하려는 사람들은 이 계정의 패스워드 유추를 계속 시도할 수 있음. 
따라서 관리자 계정의 이름을 바꿈으로써 공격자는 패스워드뿐만 아니라 계정이름도 유추 하여야 하는 어려움을 줄 수 있음.</t>
    <phoneticPr fontId="7" type="noConversion"/>
  </si>
  <si>
    <t>영숫자만으로 이루어진 암호는 공개되어 있는 유틸리티를 사용하여
아주 쉽게 공격할 수 있기 때문에 암호가 공격당하는 것을 방지하려면 암호에 광범위한 문자가 있어야함.
암호 복잡성 정책을 사용하면 아래의 최소 요구 사항을 만족 해야 함.
1. 사용자의 계정 이름이나 연속되는 문자 2개를 초과하는 사용자 전체 이름의 일부를 포함하지 않음.
2. 길이가 최소한 8자 이상이어야 함.
3. 다음 네 가지 범주 중 세 가지의 문자를 포함해야 함
 - 영문 대문자(A - Z)
 - 영문 소문자(a - z)
 - 기본 10개 숫자(0 - 9)
 - 알파벳 이외의 문자(예: !, $, #, %)</t>
    <phoneticPr fontId="7" type="noConversion"/>
  </si>
  <si>
    <t>특정 사용자 계정의 암호를 알아내기 위해 수행할 수 있는 암호 공격의 유형은 
일반적인 단어와 구 사용을 시도하는 사전 공격과 가능한 모든 문자의 조합을 시도하는 무작위 공격이 있음.
대부분의 환경에서 8자리의 암호를 사용하면 적절한 보안이 제공될 뿐만 아니라
사용자가 쉽게 기억할 수 있으며 무작위 공격을 적절히 방어할 수 있음.</t>
    <phoneticPr fontId="7" type="noConversion"/>
  </si>
  <si>
    <t>특정 계정에 같은 암호를 오래 사용할수록 공격자가 무작위 공격을 통해 암호를 확인할 수 있는 가능성이 커지며
손상된 계정은 암호를 바꾸지 않는 한 계속 악용될 수 있음.
암호를 변경해야 할 경우 암호를 다시 사용하는 것을 금지하지 않거나
적은 수의 암호를 계속해서 다시 사용할 수 있도록 허용하면 좋은 암호 정책의 효과가 크게 반감됨.</t>
    <phoneticPr fontId="7" type="noConversion"/>
  </si>
  <si>
    <t>특정 계정에 같은 암호를 오래 사용할수록 공격자가 무작위 공격을 통해 
암호를 확인할 수 있는 가능성이 커지며 손상된 계정은 암호를 바꾸지 않는 한 계속 악용될 수 있음.
정책 설정을 최근 암호 기억 설정과 함께 사용하면 이전 암호를 다시 사용하는 것을 막을 수 있음.
최근 암호 기억 설정을 유효하게 하려면 최소 암호 사용 기간 정책 설정을 0보다 큰 값으로 구성해야 함.</t>
    <phoneticPr fontId="7" type="noConversion"/>
  </si>
  <si>
    <t>특정 계정에 같은 암호를 오래 사용할수록 공격자가 무작위 공격을 통해
암호를 확인할 수 있는 가능성이 커지며 손상된 계정은 암호를 바꾸지 않는 한 계속 악용될 수 있음.
정책 설정을 최근 암호 기억 설정과 함께 사용하면 이전 암호를 다시 사용하는 것을 막을 수 있음.
최근 암호 기억 설정을 유효하게 하려면 최대 암호 사용 기간 정책 설정을 90이하 값으로 구성해야 함.</t>
    <phoneticPr fontId="7" type="noConversion"/>
  </si>
  <si>
    <t xml:space="preserve">이 보안 설정은 잠긴 계정이 자동으로 잠금 해제되기 전에 잠금 상태를 유지하는 시간(분)을 결정.
계정 잠금 기간을 0으로 설정하면 관리자가 명시적으로 잠금을 해제할 때까지 계정이 잠겨있게 됨.
계정 잠금 기간을 설정하지 않으면 사전공격 같은 무차별 공격에 아이디와 패스워드를 획득이 가능함. </t>
    <phoneticPr fontId="7" type="noConversion"/>
  </si>
  <si>
    <t>이 설정은 사용자 계정이 잠기는 로그온 실패 횟수를 결정함. 
잠긴 계정은 관리자가 재설정하거나 해당 계정의 잠금 유지 시간이 만료되어야 사용할 수 있음.
로그온 실패 회수를 제한하지 않으면 사전공격 같은 무차별 공격에 아이디와 패스워드를 획득이 가능함.</t>
    <phoneticPr fontId="7" type="noConversion"/>
  </si>
  <si>
    <t>Windows에서는 일반 텍스트로 사용자 계정 암호를 저장하는 대신 
일반적으로 "해시"라고 하는 두 가지 다른 암호 표현을 사용하여 사용자 계정 암호를 저장함.
사용자 계정의 암호를 15자 미만인 암호로 설정하거나 변경하면 
Windows에서는 암호의 LM 해시(LAN Manager 해시)뿐만 아니라 NT 해시(Windows NT 해시)도 생성함. 
이러한 해시는 로컬 SAM(보안 계정 관리자) 데이터베이스나 Active Directory에 저장됨. 
LM 해시는 NT 해시에 비해 비교적 약하므로 빠른 암호 해독 공격에 취약함. 
따라서 Windows에서 암호의 LM 해시를 저장하지 못하게 할 수 있음.</t>
    <phoneticPr fontId="7" type="noConversion"/>
  </si>
  <si>
    <t>해독 불가능한 방식으로 암호를 저장하면, 암호가 유출되더라도 
사용자의 계정 보안이 강화되며, 비밀번호에 대한 무차별 공격을 방어할 수 있음.
따라서, 이 설정을 활성화함으로써 사용자 데이터를 안전하게 보호하고, 
시스템의 전반적인 보안 수준을 높일 수 있음.</t>
    <phoneticPr fontId="7" type="noConversion"/>
  </si>
  <si>
    <t>이 보안 설정은 파일, Active Directory 개체 및 레지스트리 키와 같은 
개별 리소스에 대해 개체 액세스 감사 옵션을 지정할 수 있는 사용자를 결정함.
이 보안 설정은 사용자에게 일반적인 파일 및 개체 액세스 감사를 허용하지 않음.
이러한 감사를 활성화하려면 Computer Configuration\Windows Settings\Security Settings\Local Policies\Audit Policies에 개체 액세스 감사 설정을 구성해야 함.
감사로그 관리 그룹이 Administrators 그룹외의 그룹에 할당되었을 경우 악의적인 사용자에 의해 로그가 위변조 될 수 있음.</t>
    <phoneticPr fontId="7" type="noConversion"/>
  </si>
  <si>
    <t>네트워크에서 이 컴퓨터 액세스 정책은 
다수의 네트워크 프로토콜(SMB 기반 프로토콜, NetBIOS, CIFS(Common Internet File System) 및 COM+ 등) 
접근에 필요한 정책으로 해당 권한 설정이 미흡할 경우, 
임의의 사용자 또는 그룹이 네트워크 서비스로 접근이 가능하여 
시스템 침해 위협이 증가하므로 접근 권한 설정의 적절성을 점검함.</t>
    <phoneticPr fontId="7" type="noConversion"/>
  </si>
  <si>
    <t>로컬로 로그온 허용 사용자 권한이 있는 계정은 컴퓨터의 콘솔에서 로그온할 수 있음.
컴퓨터 콘솔에 로그온해야 하는 적법한 사용자로 
이 사용 권한을 제한하지 않으면 권한이 없는 사용자가 자신의 사용 권한 향상을 위해
악의적인 코드를 다운로드하여 실행할 수 있음.</t>
    <phoneticPr fontId="7" type="noConversion"/>
  </si>
  <si>
    <t>이 보안 설정은 컴퓨터에 로컬로 로그온한 사용자 중에서 
시스템 종료 명령을 사용하여 운영 체제를 종료할 수 있는 사용자 및 그룹을 결정하며 
해당 권한 부여가 부적절 할 경우 서비스 거부 공격에 이용 될 수 있음.</t>
    <phoneticPr fontId="7" type="noConversion"/>
  </si>
  <si>
    <t>이 보안 설정은 원격에서 네트워크를 사용하여 운영 체제를 종료할 수 있는 사용자 및 그룹을 결정하며 
해당 권한 부여가 부적절 할 경우 서비스 거부 공격에 이용 될 수 있음.</t>
    <phoneticPr fontId="7" type="noConversion"/>
  </si>
  <si>
    <t>이 정책 설정은 사용자가 Active Directory 개체, NTFS(NTFS 파일 시스템) 파일 및 폴더, 프린터, 레지스트리 키, 서비스, 프로세스, 스레드를 비롯하여
컴퓨터에 있는 보안 가능한 모든 개체의 소유권을 가져올 수 있는지 여부를 결정함.
* 전역 개체 만들기 설정에 사용할 수 있는 값은 다음과 같음
1. 사용자 정의 계정 목록 
2. 정의되지 않음 파일 또는 다른 개체의 소유권 가져오기 사용자 권한을 가진 사용자는 
개체에 대한 사용 권한에 관계 없이 해당 개체를 제어하고 원하는 대로 변경할 수 있음.
이러한 변경으로 인해 데이터 노출, 데이터 손상 또는 DoS 상황이 발생할 수 있음.</t>
    <phoneticPr fontId="7" type="noConversion"/>
  </si>
  <si>
    <t>이 정책 설정은 프로세스가 보안 로그에 감사 레코드를 생성할 수 있는지 여부를 결정함. 
보안 로그의 정보를 사용하여 무단 컴퓨터 액세스를 추적할 수 있음. 
* 보안 감사 생성 설정에 사용할 수 있는 값은 다음과 같음
1. 사용자 정의 계정 목록 
2. 미정의된 공격자는 보안 로그에 기록할 수 있는 계정을 사용하여 해당 로그를 의미 없는 이벤트로 채울 수 있음.
필요 할 때 이벤트를 덮어쓰도록 컴퓨터가 구성된 경우 
공격자는 이 방법을 사용하여 자신의 무단 작업에 대한 증거를 제거할 수 있음.
컴퓨터가 보안 로그에 기록할 수 없고 
로그 파일을 자동으로 백업하도록 구성되어 있지 않을 때 종료되도록 구성된 경우에는 
이 방법을 사용하여 DoS(서비스 거부) 상황을 만들 수 있음.</t>
    <phoneticPr fontId="7" type="noConversion"/>
  </si>
  <si>
    <t>Windows NT SAM(Security Accounts Manager) 파일에는 공격자가 시스템에 대한 
추가 액세스 권한을 얻기 위해 오프라인에서 해독할 수 있는 암호화된 계정 및 패스워드 정보가 포함되어 있음. 
사용자/그룹 계정 정보에 대한 데이터베이스 관리하여 
사용자 입력정보와 SAM 데이터베이스 정보를 비교하여 인증 여부를 결정함.</t>
    <phoneticPr fontId="7" type="noConversion"/>
  </si>
  <si>
    <t>cmd.exe 등의 시스템 명령어도 Administrator 계정외에는 접근을 제한함. 
실제로 서버관리자를 제외하고는 대부분의 사용자들은 위의 파일을 실행시킬 필요성이 없음.
각종 웜바이러스 및 코드 레드의 경우 cmd.exe 파일을 복제하여 권한을 획득하는 경우가 다반사이기 때문에 
근본적으로 접근자를 제외하고 나머지는 권한은 제거해주는 것이 좋음.</t>
    <phoneticPr fontId="7" type="noConversion"/>
  </si>
  <si>
    <t>command.com 등의 시스템 명령어도 Administrator 계정외에는 접근을 제한함. 
실제로 서버관리자를 제외하고는 대부분의 사용자들은 위의 파일을 실행시킬 필요성이 없음.
각종 웜바이러스 및 코드 레드의 경우 command.com 파일을 복제하여 권한을 획득하는 경우가 다반사이기 때문에 
근본적으로 접근자를 제외하고 나머지는 권한은 제거해주는 것이 좋음.</t>
    <phoneticPr fontId="7" type="noConversion"/>
  </si>
  <si>
    <t>PowerShell은 마이크로소프트사(Microsoft)의 시스템 관리용으로 특별히 설계된 작업 기반 명령줄 쉘 및 스크립트 언어임. 
PowerShell을 사용하여 윈도우와 응용 프로그램의 관리를 쉽게 제어하고 자동화할 수 있음.</t>
    <phoneticPr fontId="7" type="noConversion"/>
  </si>
  <si>
    <t>운영체제는 기본적으로 방화벽 기능을 제공하기 때문에 자체 방화벽 기능을 이용하거나 
IP보안정책 (IPsec), WinUAC 등 3rd-Party 방화벽 제품을 사용하여 공격자의 칩임시도 방어가 필요.</t>
    <phoneticPr fontId="7" type="noConversion"/>
  </si>
  <si>
    <t>서버에서 외부 인터넷 접속이 여과없이 가능할 경우 
각종 악성 프로그램에 노출될 위험이 있으므로 접속을 관리함.</t>
    <phoneticPr fontId="7" type="noConversion"/>
  </si>
  <si>
    <t>"대화형 로그온: 로그온 시도하는 사용자에 대한 메시지 텍스트" 및 
"대화형 로그온: 로그온 시도하는 사용자에 대한 메시지 제목" 설정은 밀접하게 연관되어 있음.
"대화형 로그온 : 로그온을 시도하는 사용자에 대한 메시지 텍스트" 정책 설정은 
사용자가 로그온할 때 표시되는 텍스트 메시지를 지정하며, 
"대화형 로그온: 로그온을 시도하는 사용자에 대한 메시지 제목" 정책 설정은 
해당 텍스트 메시지를 포함하는 창의 제목 표시줄에 표시되는 제목을 지정함. 
여러 조직에서 이 텍스트를 법적인 이유로 사용함.
예를 들어 사용자에게 회사 정보를 올바르지 않은 용도로 사용할 경우 생기는 문제에 대해 경고하거나 
사용자의 동작이 감사될 수 있음을 경고하기 위해 이 텍스트 를 사용할 수 있음.
로그온 전에 경고 메시지가 표시되도록 하면 공격자가 공격을 시작하기 전에 경고함으로써 공격을 막을 수 있음. 
또한 직원들에게 로그온 프로세스 중에 적절한 정책에 대해 알림으로써 회사 정책을 강화할 수 있음.</t>
    <phoneticPr fontId="7" type="noConversion"/>
  </si>
  <si>
    <t xml:space="preserve">디폴트 공유인 C$, D$, Admin$, IPC$ 등을 제외한 공유폴더를 everyone 그룹으로 공유가 금지되었는지 여부를 점검함. 
Everyone이 공유계정에 포함 되어 있을 경우 익명 사용자의 접근이 가능하므로 
접근을 확인하여 제어하게 되면 익명 사용자에 의한 접근을 차단 할 수 있음. </t>
    <phoneticPr fontId="7" type="noConversion"/>
  </si>
  <si>
    <t>널 세션이란 사용자가 ID와 패스워드를 입력하지 않고도 공유 대상인 IPC$(Inter Process Communication)에 연결하는 것임. 
일반적으로 NetBIOS를 사용하는 시스템에서는 IPC$, C$, Admin$은 항상 공유되어 있음. 
원격지에서 널 세션을 이용하여 접속이 가능하다면, 
공격자에게 시스템의 사용자 계정과 공유파일, 프린터에 대한 정보를 제공해 주게 됨. 
널 세션 포트는 TCP/UDP 135~139번임. 
널 세션으로 아래와 같은 정보를 수집할 수 있음. 
 - 패스워드 정보
 - 그룹 정보
 - 서비스 정보
 - 운영 중인 프로세서 정보 
널 세션 접근은 권한을 확대하거나 DoS 공격을 할 때도 사용될 수 있음.</t>
    <phoneticPr fontId="7" type="noConversion"/>
  </si>
  <si>
    <t>SAM(보안 계정 관리자) 계정과 공유의 익명 열거가 허용될 경우 
Windows에서는 익명 사용자가 도메인 계정(사용자, 컴퓨터 및 그룹)과 네트워크 공유의 이름 열거를 통해 
악의적인 사용자가 계정 이름 목록을 익명으로 표시 한 다음 
이 정보를 사용하여 암호를 추측하거나 사회 공학적 기술 공격을 수행 할 수 있음.</t>
    <phoneticPr fontId="7" type="noConversion"/>
  </si>
  <si>
    <t>SNMP 서비스는 시스템 상태를 실시간으로 파악하거나 설정하기 위하여 사용하는 서비스임. 
그러나 이 정보를 받기 위한 일종의 패스워드인 Community String이 Default로 public, private로 설정되어 있는 경우가 많으며, 
이를 변경하지 않으면 이 String을 악용하여 비인가사용자가 시스템의 주요 정보 및 설정 상황을 파악 할 수 있는 취약성이 존재함.</t>
    <phoneticPr fontId="7" type="noConversion"/>
  </si>
  <si>
    <r>
      <t>LP0</t>
    </r>
    <r>
      <rPr>
        <sz val="10"/>
        <color rgb="FFFF0000"/>
        <rFont val="맑은 고딕"/>
        <family val="3"/>
        <charset val="129"/>
        <scheme val="minor"/>
      </rPr>
      <t>3</t>
    </r>
    <r>
      <rPr>
        <sz val="10"/>
        <color theme="1"/>
        <rFont val="맑은 고딕"/>
        <family val="3"/>
        <charset val="129"/>
        <scheme val="minor"/>
      </rPr>
      <t>-A zeroday 공격 위험을 최소화하기 위하여 DEP 기능을 사용하고 있는가?</t>
    </r>
    <phoneticPr fontId="7" type="noConversion"/>
  </si>
  <si>
    <t>os-win-359</t>
    <phoneticPr fontId="7" type="noConversion"/>
  </si>
  <si>
    <t>AC03-A 계정 잠금 임계값이 설정되었는가?</t>
    <phoneticPr fontId="7" type="noConversion"/>
  </si>
  <si>
    <t>AC04-L 주요 백업 파일 접근 권한이 제한되어 있는가?</t>
    <phoneticPr fontId="7" type="noConversion"/>
  </si>
  <si>
    <t>os-linux-2045</t>
    <phoneticPr fontId="7" type="noConversion"/>
  </si>
  <si>
    <t>os-linux-2042</t>
    <phoneticPr fontId="7" type="noConversion"/>
  </si>
  <si>
    <t>os-linux-3150</t>
    <phoneticPr fontId="7" type="noConversion"/>
  </si>
  <si>
    <t>os-solaris-245</t>
    <phoneticPr fontId="7" type="noConversion"/>
  </si>
  <si>
    <t>os-aix-50</t>
    <phoneticPr fontId="7" type="noConversion"/>
  </si>
  <si>
    <t>LP01-A 서버 접속 로그에 대한 접근 권한을 제한 하는가?</t>
    <phoneticPr fontId="7" type="noConversion"/>
  </si>
  <si>
    <t>양호 - 로컬 Administrators 그룹에만 파일 또는 다른 개체의 소유권 가져오기 사용자 권한이 부여된 경우 (Administrators 그룹에 포함된 일반 유저 포함)
취약 - 로컬 Administrators 그룹 외에 그룹 또는 계정이 포함되어 있는 경우</t>
    <phoneticPr fontId="7" type="noConversion"/>
  </si>
  <si>
    <t>1. [Get-ExecutionPolicy] : Restricted 또는 RemoteSigned 확인
※ 64비트는 C:\Windows\SysWOW64\WindowsPowerShell\v1.0\powershell.exe 추가 확인
※ 설정 변경이 불가한 경우 절차에 따라 예외처리 (예외 기한 최대 1년)
 - Restricted 
  * 로컬 스크립트 실행 : 제한 
  * 원격 스크립트 실행 : 제한
 - RemoteSigned
  * 로컬 스크립트 실행 : 가능
  *원격 스크립트 실행 : 디지털서명된 스크립트만 가능</t>
    <phoneticPr fontId="7" type="noConversion"/>
  </si>
  <si>
    <t>무슨 일을 하고 있는지 확인할 수 없는 서비스는 종료 삭제시킬 필요가 있음.
* 주의 : 본 항목은 상황에 따라 필요에 의해 사용되는 서비스를 검사할 수도 있음.</t>
    <phoneticPr fontId="7" type="noConversion"/>
  </si>
  <si>
    <r>
      <t xml:space="preserve">1. 시작 → 실행 → SERVICES.MSC → 불필요한 서비스 선택하여 중지, 사용안함, 서비스 삭제
* 대상 </t>
    </r>
    <r>
      <rPr>
        <sz val="10"/>
        <color rgb="FFFF0000"/>
        <rFont val="맑은 고딕"/>
        <family val="3"/>
        <charset val="129"/>
        <scheme val="minor"/>
      </rPr>
      <t>서버</t>
    </r>
    <r>
      <rPr>
        <sz val="10"/>
        <color theme="1"/>
        <rFont val="맑은 고딕"/>
        <family val="3"/>
        <charset val="129"/>
        <scheme val="minor"/>
      </rPr>
      <t>의 운영 목적 상 해당 서비스를 사용하는 경우 근거자료 확보 필요</t>
    </r>
    <phoneticPr fontId="7" type="noConversion"/>
  </si>
  <si>
    <t xml:space="preserve">1. 시작 → 제어판 → 시스템 → 고급 시스템 설정 → 고급 → 성능 설정 → 양호 기준대로 설정 </t>
    <phoneticPr fontId="7" type="noConversion"/>
  </si>
  <si>
    <t>1. 소유자 [root], 타 사용자 [쓰기권한 없음] 확인
 - [#ls -l /etc/exports]
 - [#ls -l /etc/dfs/dfstab]</t>
    <phoneticPr fontId="7" type="noConversion"/>
  </si>
  <si>
    <t>1. 소유자 [root] 또는 [sys], [bin], 퍼미션 [700] 확인
 - [#ls -l /usr/bin/last]
2. 소유자 [root] 퍼미션 [700] 확인
 - [#ls -l /usr/sbin/ifconfig]
※ 링크파일인 경우 링크된 위치의 명령어 권한 확인</t>
    <phoneticPr fontId="7" type="noConversion"/>
  </si>
  <si>
    <t>1. 소유자 [root], 퍼미션 [755] 확인
 - [#ls -al /etc/profile]
2. 소유자 [소유자 계정], 퍼미션 [소유자 이외 쓰기 권한 없음] 확인
 - [#awk -F ":" '{print $6"/.profile"}' /etc/passwd | xargs ls -al]
※ 사용자 디렉토리 내
&lt;.sh_history 사용 시&gt;
 - 퍼미션 [600] 설정
&lt;.sh_history 미 사용 시&gt;
 - 소유자 [root], 퍼미션 [000] 설정
* 시스템 계정 예외 : daemon, bin, sync, adm, uucp, mail, halt, lp, operator, news, nobody, sshd, shutdown</t>
    <phoneticPr fontId="7" type="noConversion"/>
  </si>
  <si>
    <t>1. [#cat /etc/pam.d/login] 명령을 통해 아래의 설정 유무 확인
    auth required /lib/security/pam_securetty.so (설정이 있어야 함)
* ssh의 경우 /etc/ssh/sshd_config 파일내 PermitRootLogin no 필요
2. [#cat /etc/securetty] 명령을 통해 pts/0 ~ pts/x 관련 설정 미존재 확인
3. 별도의 접근제어 프로그램으로 원격접속을 제한할 경우 설정 값 확인</t>
    <phoneticPr fontId="7" type="noConversion"/>
  </si>
  <si>
    <t xml:space="preserve">서버 접근제어를 위한 관리 프로세스가 있는지 확인하고 프로토콜별(telnet, ssh, ftp, RDP, X11 등 원격접속 관련 PORT) "Deny All" 적용과 접속 호스트 또는 IP를 지정하여 "Allow" 정책이 적용되었는지 확인
&lt;telnet, ssh, ftp 확인&gt;
UAC, TCP Wrapper, ITA 서비스 중 하나라도 설정되어 있는지 확인
1. UAC 
 - /opt/lsware/unity/service/local/ac_agent 디렉토리 존재 확인
 - unityd 프로세스 확인
2. TCP Wrapper
 - /etc/inetd.conf 에서 6번째 필드에 /usr/local/bin/tcpd 가 있는지 확인
 - /etc/hosts.deny 에 ALL:ALL 확인
3. ITA 
 - itaagtd, itamgrd, collogd 프로세스 확인
&lt;Xmanager 확인&gt;
 -1) Xmanager 서비스 동작 확인 (프로세스 : dtlogin or 포트 : 177)
 -2) uac 버전 확인
 - /etc/dt/config/Xaccess or /usr/dt/config/Xaccess 파일 확인
&lt;nftables 확인&gt;
 - #systemctl status nftables
&lt;firewalld 확인&gt;
 - #systemctl status firewalld
* eTrust 등 별도의 보안프로그램으로 적용 時 해당 프로그램의 설정 값을 확인함
* 접근제어 신청 관련 근거 보유
 1) 실제 사용자
 2) 사용 목적
 3) 사용 기간
 4) 신청 구분: 신규/변경/삭제
 ※ 서버 접근을 위한 목적으로 방화벽 허용 신청 문서가 존재할 시 신청서 내 위의 필수포함 항목과 현업 또는 보안 담당자 결재/합의가 포함되어 있다면 인정함
</t>
    <phoneticPr fontId="7" type="noConversion"/>
  </si>
  <si>
    <t>&lt;telnet, ssh, ftp&gt;
UAC, TCP Wrapper, ITA 중 하나를 설치 및 설정
&lt;Xmanager&gt;
Xmanager 서비스를 종료하거나 uac 3.4.5 이상 버전을 사용하거나 /etc/dt/config/Xaccess, /usr/dt/config/Xaccess 파일에서 *로 시작하는 라인 제거
※ 등록된 Allow 정책 內 IP 및 Port 단위 허용 必
※ IP 접근제어 관리를상시 수행하는지 확인이 필요할 경우 추가점검 사항
: 미승인 IP/Port로 접속한 이력이 존재하는지 서버 접속로그 또는 서버접근제어솔루션 로그 확인</t>
    <phoneticPr fontId="7" type="noConversion"/>
  </si>
  <si>
    <t>각 서비스에 대하여 경고 배너를 적용하고 있는지 확인
1. UNIX : telnet, ssh, ftp 등 경고 문구 확인
[telnet]
 - /etc/issue.net 파일 내용 확인
[ftp]
 - /etc/vsftpd/vsftpd.conf 파일에서 ftpd_banner 내용 확인
[ssh]
 - /etc/ssh/sshd_config 파일에서 Banner 에 등록되어 있는 파일의 내용 확인</t>
    <phoneticPr fontId="7" type="noConversion"/>
  </si>
  <si>
    <r>
      <t xml:space="preserve">1. 소유자 [root] 또는 [bin], [adm], 퍼미션 [소유자 이외 쓰기 권한 없음] 확인
 - [#ls -al /etc/cron.allow],
 - [#ls -al /etc/cron.deny]
</t>
    </r>
    <r>
      <rPr>
        <sz val="10"/>
        <color rgb="FFFF0000"/>
        <rFont val="맑은 고딕"/>
        <family val="3"/>
        <charset val="129"/>
        <scheme val="minor"/>
      </rPr>
      <t xml:space="preserve">
2. 소유자 [root] 또는 [bin], [adm], 퍼미션 [소유자 이외 쓰기 권한 없음] 확인
 - [#ls -al /etc/at.allow],
 - [#ls -al /etc/at.deny]</t>
    </r>
    <phoneticPr fontId="7" type="noConversion"/>
  </si>
  <si>
    <r>
      <t xml:space="preserve">1. [#ls -al /etc/cron.allow], [#ls -al /etc/cron.deny] 실행하여 소유자 [root] 또는 [bin], [adm], 퍼미션 [소유자 이외 쓰기 권한 없음] 설정
</t>
    </r>
    <r>
      <rPr>
        <sz val="10"/>
        <color rgb="FFFF0000"/>
        <rFont val="맑은 고딕"/>
        <family val="3"/>
        <charset val="129"/>
        <scheme val="minor"/>
      </rPr>
      <t>2. [#ls -al /etc/at.allow], [#ls -al /etc/at.deny] 실행하여 소유자 [root] 또는 [bin], [adm], 퍼미션 [소유자 이외 쓰기 권한 없음] 설정</t>
    </r>
    <phoneticPr fontId="7" type="noConversion"/>
  </si>
  <si>
    <t>1. root 계정으로 로그인 후 [umask] 실행하여 [022] 또는 [027] 확인 
2. [/etc/profile 또는 /etc/bashrc] 파일에서 [umask] 항목의 [022] 또는 [027] 확인</t>
    <phoneticPr fontId="7" type="noConversion"/>
  </si>
  <si>
    <t>양호 
 - /usr/bin/last 파일의 소유자가 root, sys, bin 이고 퍼미션이 '700'인 경우
 - /usr/sbin/ifconfig 파일의 소유자가 root이고, 퍼미션이 '700'인 경우
취약
 - /usr/bin/last 파일의 소유자가 root, sys, bin이 아니거나 퍼미션이 '700'이 아닌 경우
 - /usr/sbin/ifconfig 파일의 소유자가 root가 아니거나, 퍼미션이 '700'이 아닌 경우</t>
    <phoneticPr fontId="7" type="noConversion"/>
  </si>
  <si>
    <t xml:space="preserve">SNMP 서비스 사용시 Default Community String 값 변경 여부
(#more [snmp 설정 파일] 명령으로 확인)
SNMP 설정 파일 :
 - /etc/snmp/conf/snmpd.conf
 - /etc/sma/snmp/snmpd.conf
 - /etc/net-snmp/snmp/snmpd.conf
※ 변경된 Community String은 패스워드 사용 규칙 준수해야 함
※ 패스워드 사용규칙은 영/수 혼용, 최소 8자리 이상
</t>
    <phoneticPr fontId="7" type="noConversion"/>
  </si>
  <si>
    <t>1. root의 PATH값을 확인
 - [#echo $PATH]
[Solaris]
sh : /etc/profile → $HOME/.profile
ksh : /etc/profile → $HOME/.profile
csh : /etc/.login → $HOME/.cshrc → $HOME/.login
bash : /etc/profile → $HOME/.bash_profile → $HOME/.bash_login → $HOME/.profile</t>
    <phoneticPr fontId="7" type="noConversion"/>
  </si>
  <si>
    <t>1. 운영체제별 벤더사의 판매중지, 유지보수 서비스 중지로 인한 보안패치 불가 여부 확인</t>
    <phoneticPr fontId="7" type="noConversion"/>
  </si>
  <si>
    <t>1. 소유자 [root], 퍼미션 [600] 확인
 - [#ls -al /var/adm/wtmp*]
 - [#ls -al /var/adm/btmp*] 
2. 소유자 [root]. 권한 [600] 확인
 - [#ls -al /var/adm/sulog]
3 소유자 [root], 퍼미션 [644] 확인
 - [#ls -al /var/adm/messages]</t>
    <phoneticPr fontId="7" type="noConversion"/>
  </si>
  <si>
    <t>1. 파일 내용 확인 (Default, Local) 
 - [#cat /etc/security/user]
 1) [maxage]가 13 이하인지 확인
 ※ [maxage] 값은 주(week) 단위로 설정됨
 2) [#cat /etc/shadow | awk -F: '($5 &gt; 90 || $5 == ""){ print $0 }' 실행]
* 시스템 계정 예외 : daemon, bin, sys, adm, uucp, nuucp, lpd, lp, nobody, snapp, ipsec, sshd, guest</t>
    <phoneticPr fontId="7" type="noConversion"/>
  </si>
  <si>
    <t>1. 값을 아래와 같이 설정.
 - loginretries '5'이하
 - logindisable '10'이상
 - logininterval '60'이상
 - loginreenable '30'이상
 ※ root 등 중요 계정이 잠길 경우 서비스가 안되거나 리부팅이 필요할 수 있으니 영향성 확인 후 적용</t>
    <phoneticPr fontId="7" type="noConversion"/>
  </si>
  <si>
    <t>1. [last] : 소유자 [root] 또는 [sys], [bin], 퍼미션 [700]으로 설정.
2. [ifconfig] : 소유자 [root] 퍼미션 [700]으로 설정.</t>
    <phoneticPr fontId="7" type="noConversion"/>
  </si>
  <si>
    <t>1. .rhosts 파일이 존재 하지 않을 경우 touch .rhost, mkdir .rhost로 생성.
2. chown root /etc/hosts.equiv,HOME/.rhosts로 소유자를 변경.
3. chmod 000 /etc/hosts.equiv, HOME/.rhosts로 파일 권한을 변경.
4. /etc/inetd.conf 파일에서 login,shell,exec을 주석처리 후 inetd 서비스 재시작.</t>
    <phoneticPr fontId="7" type="noConversion"/>
  </si>
  <si>
    <t>[/etc/dfs/dfstab 설정 예]
rw=client 형식으로 접속을 허용할 client를 지정해줘야 함.
아래와 같이 지정되어 있지 않은 경우 모든 client의 접속을 허용
 - 취약 : share -F nfs -o r /samsung
 - 양호 : share -F nfs -o r=client1:client2 /samsung
[/etc/exports 설정 예]
r=client 또는 access=client 형식으로 접속을 허용할 client를 지정해줘야 함.
아래와 같이 지정되어 있지 않을 경우 모든 client의 접속을 허용
 - 취약 : share -F nfs -o r(w,rw) /samsung
 - 양호 : /samsung -access=client1:client2,r</t>
    <phoneticPr fontId="7" type="noConversion"/>
  </si>
  <si>
    <t>1. 사용자 환경설정 파일에서 PATH 변수에서 .을 제거.</t>
    <phoneticPr fontId="7" type="noConversion"/>
  </si>
  <si>
    <t>1. 담당자를 통해 바이러스 백신 업데이트 및 [실시간 검사 설정] : 사용 확인</t>
    <phoneticPr fontId="7" type="noConversion"/>
  </si>
  <si>
    <t>1. [접근 권한] : 소유자 [root], 퍼미션 [644] 또는 [600]으로 설정.</t>
    <phoneticPr fontId="7" type="noConversion"/>
  </si>
  <si>
    <t>1. [접근 권한] : 소유자 [root], 퍼미션 [644] 또는 [600]으로 설정.
* hosts파일 내 dns로 검색이 안되는 정보가 있고, 다른 계정(서비스 계정 등)이 해당 정보 필요시 644 설정</t>
    <phoneticPr fontId="7" type="noConversion"/>
  </si>
  <si>
    <t>1. [접근 권한] : 소유자 [root], 퍼미션 [400]으로 설정.</t>
    <phoneticPr fontId="7" type="noConversion"/>
  </si>
  <si>
    <t>1. [접근 권한] : 소유자 [root], 퍼미션 [600]으로 설정.</t>
    <phoneticPr fontId="7" type="noConversion"/>
  </si>
  <si>
    <t xml:space="preserve">1. [접근 권한] : 소유자 [root], 퍼미션 [600]으로 설정. </t>
    <phoneticPr fontId="7" type="noConversion"/>
  </si>
  <si>
    <t>1. [접근 권한] : 소유자 [root], 타 사용자 [쓰기권한 없음]으로 설정.</t>
    <phoneticPr fontId="7" type="noConversion"/>
  </si>
  <si>
    <t>1. [접근 권한] : 소유자 [root], 퍼미션 일반사용자 [쓰기권한 없음]으로 설정.</t>
    <phoneticPr fontId="7" type="noConversion"/>
  </si>
  <si>
    <t>1. [접근 권한] : 소유자 [root], 퍼미션 [소유자 이외 쓰기 권한 없음]으로 설정.</t>
    <phoneticPr fontId="7" type="noConversion"/>
  </si>
  <si>
    <t xml:space="preserve">1. [접근 권한] : 소유자 [root], 퍼미션 [600]으로 설정.  </t>
    <phoneticPr fontId="7" type="noConversion"/>
  </si>
  <si>
    <t>1. umask 값을 '022' 또는 '027'로 설정.</t>
    <phoneticPr fontId="7" type="noConversion"/>
  </si>
  <si>
    <t>1. umask 값을 '022' 또는 '027'로 설정.</t>
    <phoneticPr fontId="7" type="noConversion"/>
  </si>
  <si>
    <t>1. 업무상 필요에 의하여 외부 인터넷 접속이 필요한 경우 해당 목적지를 IP, PORT별로 최소화하여 적용하고 예외처리 必
※ 인터넷과 연결된 서버는 사이버사업장에 준하는 보안관제 등 보안대책 적용</t>
    <phoneticPr fontId="7" type="noConversion"/>
  </si>
  <si>
    <t>[telnet]
 - /etc/security/login.cfg 파일에 배너 내용 작성
[ftp]
 - /etc/ftpaccess.ctl 파일에서 herald: 뒤에 배너 내용 작성
[ssh]
 - /etc/ssh/sshd_config 파일에서 Banner 에 파일 등록 후 파일에 배너 내용 작성</t>
    <phoneticPr fontId="7" type="noConversion"/>
  </si>
  <si>
    <t>1. OTP(one time password) 사용하거나 ssh를 사용.</t>
    <phoneticPr fontId="7" type="noConversion"/>
  </si>
  <si>
    <t>1. community의 이름을 영어+숫자 혼합으로 8자리 이상으로 설정.</t>
    <phoneticPr fontId="7" type="noConversion"/>
  </si>
  <si>
    <t>1. [접근 권한] : 소유자 [root],  퍼미션[644] 또는 [600]
* hosts파일 내 dns로 검색이 안되는 정보가 있고, 다른 계정(서비스 계정 등)이 해당 정보 필요시 [644] 설정</t>
    <phoneticPr fontId="7" type="noConversion"/>
  </si>
  <si>
    <t>1. [접근 권한] : 소유자 [root], 퍼미션[644] 또는 [600]</t>
    <phoneticPr fontId="7" type="noConversion"/>
  </si>
  <si>
    <t>1. 업무상 필요에 의하여 외부 인터넷 접속이 필요한 경우 해당 목적지를 IP, PORT별로 최소화하여 적용하고 예외처리 必
※ 인터넷과 연결된 서버는 사이버사업장에 준하는 보안관제 등 보안대책 적용</t>
    <phoneticPr fontId="7" type="noConversion"/>
  </si>
  <si>
    <t>1. OTP(one time password) 사용하거나 ssh를 사용하도록 한다</t>
    <phoneticPr fontId="7" type="noConversion"/>
  </si>
  <si>
    <t>1,2 [접근 권한] : 소유자 [root], 퍼미션[600]
3 [접근 권한] : 소유자 [root], 퍼미션[644]
* 설정환경에 따라 로그 위치가 다를 경우 /etc/syslog.conf에서 설정된 위치의 로그를 확인 함</t>
    <phoneticPr fontId="7" type="noConversion"/>
  </si>
  <si>
    <t xml:space="preserve">1.  서버 내 모든 계정리스트와 계정관리대장 또는 시스템 내 서버별 [계정 리스트] 일치
2. 서버 설치 시 기본제공 되는 계정들에 대해서는 업무상 필요한 사유가 없으면 삭제하거나 Lock 처리
 예) administrator, guest, ubuntu, ec2-user, admin 등 미사용
3. 2명 이상이 1개의 계정을 공유하여 사용하는 것이 불가피할 경우 공용계정의 실제 사용자가 누구인지 추적이 가능해야 함.
※ 별도 통합계정관리 솔루션 사용시 해당 솔루션 로그 분석
4. 계정 Life-cycle 관리를 상시 수행하는지 확인이 필요할 경우 추가점검 사항
 : 미승인 계정을 사용한 이력이 존재하였는지 로그 분석을 통해 확인
Unix / Linux
 1) 계정 접속 이력 확인
접속성공로그(wtmp), 접속실패로그(btmp, failedlogin(AIX))에서 계정 확인
 2) 계정 삭제 이력 확인
 시스템로그(UNIX/AIX : syslog, Solaris/Linux : message)에서 'delete'로 검색하여 계정 삭제 이력 확인
 ※ 최근 1년간 계정 이벤트 로그 확인
</t>
    <phoneticPr fontId="7" type="noConversion"/>
  </si>
  <si>
    <t>[Redhat]
Redhat에서 pam_cracklib.so 사용 시 (Redhat 6버전 이하)
1. [#cat /etc/pam.d/system-auth]. [#cat /etc/pam.d/password-auth] 실행하여 각각 아래 내용 존재 여부 확인
  ※ Redhat 5버전은 system-auth만 확인
2. [password requisite pam_cracklib.so] 라인에 아래 항목 값 확인
 · try_first_pass retry=3
 · lcredit=-1
 · dcredit=-1
 · ocredit=-1
 · minlen=8
[SUSE, Ubuntu]
 #vi /etc/pam.d/common-password 파일에서
password requisite [pam_cracklib.so|pam_pwquality] 라인에 다음값 설정 minlen=8 이상으로 설정</t>
    <phoneticPr fontId="7" type="noConversion"/>
  </si>
  <si>
    <t>1. /etc/login.defs파일에서 PASS_MAX_DAYS값을 '90'이하로 설정
2. /etc/shadow 파일에 '5'번째 토큰을 '90'보다 작게 설정
※ 리눅스 os, 버전 별 다른 패스워드 설정 파일 및 계정관리 솔루션 도입 등으로 인해 패스워드 설정 방식이 다를 수 있으므로 패스워드 정책에 맞게 적용되어 있으면 인정 됨</t>
    <phoneticPr fontId="7" type="noConversion"/>
  </si>
  <si>
    <t>1. /etc/login.defs 파일에서 PASS_MIN_DAYS값을 '7'이상으로 설정</t>
    <phoneticPr fontId="7" type="noConversion"/>
  </si>
  <si>
    <t>1. [접근 권한] : 소유자 [root], 퍼미션 [644] 또는 [600] 으로 설정</t>
    <phoneticPr fontId="7" type="noConversion"/>
  </si>
  <si>
    <t>1. [접근 권한] : 소유자 [root],  퍼미션[400]
 - /etc/shadow
 - /etc/security/opasswd</t>
    <phoneticPr fontId="7" type="noConversion"/>
  </si>
  <si>
    <t>1. [접근 권한] : 소유자 [root],  퍼미션 [644] 또는 [600] 으로 설정
* hosts파일 내 dns로 검색이 안되는 정보가 있고, 다른 계정(서비스 계정 등)이 해당 정보 필요시 644설정</t>
    <phoneticPr fontId="7" type="noConversion"/>
  </si>
  <si>
    <t>1. [접근 권한] : 소유자 [root],  퍼미션 [644] 또는 [600] 으로 설정</t>
    <phoneticPr fontId="7" type="noConversion"/>
  </si>
  <si>
    <t>1. [접근 권한] : 소유자 [root], 퍼미션 [600] 설정</t>
    <phoneticPr fontId="7" type="noConversion"/>
  </si>
  <si>
    <t xml:space="preserve">[RHEL]
 [접근 권한] : 소유자 [root], 퍼미션 [600] 설정
 - /etc/vsftpd.ftpusers 
 - /etc/vsftpd.user_list 
 - /etc/vsftpd/ftpusers 
 - /etc/vsftpd/user_list
[SUSE, Ubuntu]
[접근 권한] : 소유자 [root], 퍼미션 [600] 설정
 - /etc/vsftpd.conf
/etc/vsftpd.conf 파일의 userlist_enable=YES, userlist_file=[파일경로] 설정 후 해당 파일에 계정 추가
</t>
    <phoneticPr fontId="7" type="noConversion"/>
  </si>
  <si>
    <t>1. [접근 권한] : 소유자 [root], 타 사용자 [쓰기권한 없음] 설정</t>
    <phoneticPr fontId="7" type="noConversion"/>
  </si>
  <si>
    <t>1. umask 값을 '022' 또는 '027'으로 설정</t>
    <phoneticPr fontId="7" type="noConversion"/>
  </si>
  <si>
    <t>1. 업무상 필요에 의하여 외부 인터넷 접속이 필요한 경우 해당 목적지를 IP, PORT별로 최소화하여 적용하고 예외처리 必
※ 인터넷과 연결된 서버는 사이버사업장에 준하는 보안관제 등 보안대책 적용</t>
    <phoneticPr fontId="7" type="noConversion"/>
  </si>
  <si>
    <t>1. 경고문구에는 인가된 사용자만 접근가능, 접근 내역이 모니터링 되고있다는 내용이 포함되어 있어야 함.
[telnet]
 - /etc/issue.net 파일에 배너 내용 작성
[ftp]
 - /etc/vsftpd/vsftpd.conf 파일에 ftpd_banner 항목에 배너 작성 
[ssh]
 - /etc/ssh/sshd_config 파일에서 Banner 에 파일 등록 후 파일에 배너 내용 작성</t>
    <phoneticPr fontId="7" type="noConversion"/>
  </si>
  <si>
    <t>1. 사용자 환경설정 파일의 PATH 환경 변수에서 .을 제거</t>
    <phoneticPr fontId="7" type="noConversion"/>
  </si>
  <si>
    <t>담당자를 통해 바이러스 백신 업데이트 및 [실시간 검사 설정] : 사용 확인</t>
    <phoneticPr fontId="7" type="noConversion"/>
  </si>
  <si>
    <t>1. 백업 목적 등으로 유사이름으로 존재 시 (passwd.old, passwd.050523 등) 소유자 [root], 퍼미션 [600] 확인
 - [#ls -al /etc/passwd*]
 - [#ls -al /etc/inetd.conf*]
 - [#ls -al /etc/services*]
 - [#ls -al /etc/hosts*]
 - [#ls -al /var/adm/wtmp*]
 - [#ls -al /var/adm/utmp*]
 - [#ls -al /var/adm/sulog*]</t>
    <phoneticPr fontId="7" type="noConversion"/>
  </si>
  <si>
    <r>
      <t xml:space="preserve">1. root 계정으로 로그인 한 후 [#umask]를 통해 root 계정의 [umask 설정]이 0022 또는 0027 인지 확인
또는,
1. [/etc/profile] 파일에서 [umask] 항목의 [022] 또는 [027] </t>
    </r>
    <r>
      <rPr>
        <sz val="10"/>
        <color rgb="FFFF0000"/>
        <rFont val="맑은 고딕"/>
        <family val="3"/>
        <charset val="129"/>
        <scheme val="minor"/>
      </rPr>
      <t>확인</t>
    </r>
    <r>
      <rPr>
        <sz val="10"/>
        <color theme="1"/>
        <rFont val="맑은 고딕"/>
        <family val="3"/>
        <charset val="129"/>
        <scheme val="minor"/>
      </rPr>
      <t xml:space="preserve">
[AIX]
sh : /etc/profile → $HOME/.profile
bsh : /etc/profile → $HOME/.profile
ksh : /etc/profile → $HOME/.profile
csh : /etc/csh.login → $HOME/.cshrc
bash : /etc/profile → $HOME/.bash_profile → $HOME/.bash_login → $HOME/.profile  
* 주의 : 설정 값을 제대로 가지고 오지 못할 경우 파일의 소유자 및 퍼미션 확인</t>
    </r>
    <phoneticPr fontId="7" type="noConversion"/>
  </si>
  <si>
    <t>1. [Telnet]
 #cat /etc/security/user
rlogin = false (설정이 있어야 함)
2. [SSH]
 #cat /etc/ssh/sshd_config
PermitRootlogin no (설정이 있어야 함)
3. 별도의 접근제어 프로그램으로 원격접속을 제한할 경우 설정 값을 확인</t>
    <phoneticPr fontId="8" type="noConversion"/>
  </si>
  <si>
    <t>1. $HOME/.rhosts 파일 속성 확인 
* 시스템 계정 예외 : daemon, bin, sys, adm, uucp, nuucp, lpd, lp, nobody, snapp, ipsec, sshd, guest
2. r 계열 서비스 주석(#) 처리 확인
 - [#cat /etc/inetd.conf] 또는
 - [#lssrc -a]
3. /etc/hosts.equiv 파일 확인
 - [#ls -al /etc/hosts.equiv]
 - [#awk -F: '{print $6 "/.rhosts"}' /etc/passwd | xargs ls -al]
 * 미존재 시 생성
4. login, shell, exec의 port LISTEN 상태 확인</t>
    <phoneticPr fontId="7" type="noConversion"/>
  </si>
  <si>
    <t>양호 
 - /etc/hosts.equiv 파일의 권한이 '000' 인 경우
 - /etc/hosts.equiv 파일의 소유자가 root 인 경우
 - .rhosts 파일이 존재하고 권한이 '000' 인 경우
 - .rhosts 파일의 소유자가 root 인 경우
 - /etc/inetd.conf 파일에서 login, shell, exec 가 주석 처리되어 있는 경우
 - login,shell,exec포트상태가 LISTEN이 아닌 경우
취약 
 - /etc/hosts.equiv파일의 권한이 '000'이 아닌 경우
 - /etc/hosts.equiv 파일의 소유자가 root가 아닌 경우
 - .rhosts 파일이 존재하고 권한이 '000'이 아닌 경우
 - .rhosts 파일의 소유자가 root가 아닌 경우
 - .rhosts 파일이 존재하지 않는 경우
 - /etc/inetd.conf 파일에서 login, shell, exec 가 주석 처리되어 있지 않은 경우
 - login,shell,exec 포트상태가 LISTEN인 경우</t>
    <phoneticPr fontId="7" type="noConversion"/>
  </si>
  <si>
    <t>1. /etc/default/security 파일에서 PASSWORD_HISTORY_DEPTH값이 '2'이상으로 설정</t>
    <phoneticPr fontId="7" type="noConversion"/>
  </si>
  <si>
    <t>[tcb 모드]
SAM에서 설정
Auditing and Security | System Security Policies | Password Aging Policies 확인
Password Aging enable
Password Expiration Time 90
[일반 모드]
/etc/default/security 파일에 PASSWORD_MAXDAYS의 값을 90이하로 설정.
/etc/shadow 파일에 5번째 토큰을 90보다 작게 설정.
* Trust Mode 설정 
 - /usr/lbin/tsconvert
* Trust Mode 설정 해제
 - /usr/lbin/tsconvert -r
* Trust Mode 설정 여부 확인방법
 - /etc/passwd 파일의 2nd column 이 "*"로 표시
 - /tcb 디렉토리 존재</t>
    <phoneticPr fontId="7" type="noConversion"/>
  </si>
  <si>
    <t>1. /etc/default/security파일에서 MIN_PASSWORD_LENGTH값을 '8'이상으로 설정.</t>
    <phoneticPr fontId="7" type="noConversion"/>
  </si>
  <si>
    <t>1. [접근 권한] : 소유자 [root],  퍼미션[644] 또는 [600]</t>
    <phoneticPr fontId="7" type="noConversion"/>
  </si>
  <si>
    <t>1. [접근 권한] : 소유자 [root],  퍼미션[400]</t>
    <phoneticPr fontId="7" type="noConversion"/>
  </si>
  <si>
    <t>1. [접근 권한] : 소유자 [root], 퍼미션 [644] 또는 [600]
* hosts파일 내 dns로 검색이 안되는 정보가 있고, 다른 계정(서비스 계정 등)이 해당 정보 필요시 644 설정</t>
    <phoneticPr fontId="7" type="noConversion"/>
  </si>
  <si>
    <t>1. [접근 권한] : 소유자 [root], 퍼미션 [644] 또는 [600]</t>
    <phoneticPr fontId="7" type="noConversion"/>
  </si>
  <si>
    <t>1. [접근 권한] : 소유자 [root], 퍼미션[600]</t>
    <phoneticPr fontId="7" type="noConversion"/>
  </si>
  <si>
    <t>1. [접근 권한] : 소유자 [root], 타 사용자 [쓰기권한 없음]</t>
    <phoneticPr fontId="7" type="noConversion"/>
  </si>
  <si>
    <t>1. [접근 권한] : 소유자 [root], 퍼미션 일반사용자 [쓰기 권한 없음]</t>
    <phoneticPr fontId="7" type="noConversion"/>
  </si>
  <si>
    <t>1. [접근 권한] : 소유자 [root], 퍼미션 [소유자 이외 쓰기 권한 없음]</t>
    <phoneticPr fontId="7" type="noConversion"/>
  </si>
  <si>
    <t>1. umask 값을 '022' 또는 '027'으로 설정</t>
    <phoneticPr fontId="7" type="noConversion"/>
  </si>
  <si>
    <t>[telnet]
 - /etc/inetd.conf 파일에서 telnet 설정중 -b [path] 옵션 설정
설정된 파일이 배너 내용 작성
[ftp]
 - /etc/inetd.conf 파일에서 ftp 설정중 -a 옵션 설정
/etc/ftpd/ftpaccess 파일에 banner에 파일 등록 후 파일에 배너 내용 작성
[ssh]
 - /opt/ssh/etc/sshd_config 파일에서 Banner 에 파일 등록 후 파일에 배너 내용 작성</t>
    <phoneticPr fontId="7" type="noConversion"/>
  </si>
  <si>
    <t>1. OTP(one time password) 사용하거나 ssh를 사용하도록 조치</t>
    <phoneticPr fontId="7" type="noConversion"/>
  </si>
  <si>
    <t>데이터센터 및 사업장 서버룸 내 서버 등 중요 서버 대상</t>
    <phoneticPr fontId="7" type="noConversion"/>
  </si>
  <si>
    <t>1. 사용자 환경설정 파일에서 PATH 변수에서 .을 제거.</t>
    <phoneticPr fontId="7" type="noConversion"/>
  </si>
  <si>
    <t>[tcb 모드](Default, Local) 
1. SAM 에서 사용자 환경 설정 정보 확인 
 [SAM → Auditing and Security → System Security Policies → Password Aging Policies]
 * 시스템 계정 예외 : daemon, bin, sys, adm, uucp, nuucp, lpuname, nobody, smbnull
[일반 모드](Default, Local) 
1. [PASSWORD_MAXDAYS] 값 확인
 - [#cat /etc/default/security]
2. 5번째 토큰 값을 확인
 - [#cat /etc/shadow | awk -F: '($5 &gt; 90 || $5 == "") {print $0}'] 실행</t>
    <phoneticPr fontId="7" type="noConversion"/>
  </si>
  <si>
    <t>1. [/etc/profile]파일에서 [TMOUT] 항목 확인 
2. 각 계정의 home 디렉토리에서 [.bash_profile] 내 [TMOUT] 항목 확인
 - [awk -F ":" '{print $6"/.bash_profile"}' /etc/passwd | xargs ls -al] 
※ 계정이 ksh 사용 시 [.profile] 내 [TMOUT] 항목 확인
* csh 사용 시 [.profile] 내 [TMOUT] 또는 [autologout] 항목 확인</t>
    <phoneticPr fontId="7" type="noConversion"/>
  </si>
  <si>
    <t>1. 백업 목적 등으로 유사이름으로 존재 시 (passwd.old, passwd.050523 등) 소유자 [root], 퍼미션 [600] 확인
 - [#ls -al /etc/passwd*]
 - [#ls -al /etc/inetd.conf*]
 - [#ls -al /etc/services*]
 - [#ls -al /etc/hosts*]
 - [#ls -al /var/adm/wtmp*]
 - [#ls -al /var/adm/btmp*]
 - [#ls -al /var/adm/sulog*]</t>
    <phoneticPr fontId="7" type="noConversion"/>
  </si>
  <si>
    <t>1. r 계열 서비스 주석(#) 처리 확인
 - [#cat /etc/inetd.conf]
2. /etc/hosts.equiv 파일 확인
 - [#ls -al /etc/hosts.equiv]
3. $HOME/.rhosts 파일 속성 확인
 - [#awk -F: '{print $6 "/.rhosts"}' /etc/passwd | xargs ls -al] 실행
 * 미존재 시 생성
 * 시스템 계정 예외 : daemon, bin, sys, adm, uucp, nuucp, lpuname, nobody, smbnull
4. login, shell, exec의 port LISTEN 상태 확인</t>
    <phoneticPr fontId="7" type="noConversion"/>
  </si>
  <si>
    <t>양호
 - /etc/hosts.equiv 파일의 권한이 '000'인 경우
 - /etc/hosts.equiv 파일의 소유자가 root인 경우
 - .rhosts 파일이 존재하고 권한 '000'인 경우
 - .rhosts 파일의 소유자가 root인 경우
 - /etc/inetd.conf 파일에서 login, shell, exec 가 주석처리되어 있는 경우
 - login, shell, exec포트상태가 LISTEN이 아닌 경우
취약
 - /etc/hosts.equiv파일의 권한이 '000'이 아닌 경우
 - /etc/hosts.equiv 파일의 소유자가 root가 아닌 경우 
 - .rhosts 파일이 존재하고 권한'000'이 아닌 경우
 - .rhosts 파일의 소유자가 root가 아닌 경우 
 - .rhosts 파일이 존재하지 않은 경우
 - /etc/inetd.conf 파일에서 login, shell, exec 가 주석처리되어 있지 않은 경우
 - login, shell, exec 포트상태가 LISTEN인 경우</t>
    <phoneticPr fontId="7" type="noConversion"/>
  </si>
  <si>
    <t>1. .rhosts 파일이 존재 하지 않을 경우 touch .rhost, mkdir .rhost로 생성.
2. chown root /etc/hosts.equiv,HOME/.rhosts로 소유자를 변경.
3. chmod 000 /etc/hosts.equiv, HOME/.rhosts로 파일 권한을 변경.
4. /etc/inetd.conf 파일에서 login, shell, exec을 주석처리 후 inetd 서비스 재시작.</t>
    <phoneticPr fontId="7" type="noConversion"/>
  </si>
  <si>
    <t xml:space="preserve">1. root로 로그인한 후 [PATH 환경 변수]에 .(현재 디렉토리)가 포함되어 있는지 확인
 - [#echo $PATH]
sh : /etc/profile → $HOME/.profile
ksh : /etc/profile → $HOME/.profile
csh : /etc/csh.login → $HOME/.cshrc → $HOME/.login
bash : /etc/profile → $HOME/.bash_profile → $HOME/.bash_login → $HOME/.profile 
** 일반 계정이 /etc/profile 파일을 읽을 수 있게 /etc/profile 파일 퍼미션을 644로 변경 ** </t>
    <phoneticPr fontId="7" type="noConversion"/>
  </si>
  <si>
    <t>1. 소유자 [root], 퍼미션 [600] 확인 
 - [#ls -al /var/adm/wtmp*]
 - [#ls -al /var/adm/btmp*]
2. 소유자 [root], 권한 [600] 확인
 - [#ls -al /var/adm/sulog]
3. 소유자 [root], 퍼미션 [644] 확인
 -[#ls -al /var/adm/syslog/syslog.log]</t>
    <phoneticPr fontId="7" type="noConversion"/>
  </si>
  <si>
    <t>양호 
 - /var/adm/wtmp*, /var/adm/btmp*, /var/adm/sulog 파일의 소유자가 root이고, 퍼미션이 '600'인 경우
 - /var/adm/syslog/syslog.log 파일의 소유자가 root이고, 퍼미션이 '644'인 경우
취약 
 - /var/adm/wtmp*, /var/adm/btmp*, /var/adm/sulog 파일의 소유자가 root가 아니거나, 퍼미션이 '600'이 아닌 경우
 - /var/adm/syslog/syslog.log 파일의 소유자가 root가 아니거나, 퍼미션이 '644'가 아닌 경우</t>
    <phoneticPr fontId="7" type="noConversion"/>
  </si>
  <si>
    <t>N</t>
    <phoneticPr fontId="7" type="noConversion"/>
  </si>
  <si>
    <t>N</t>
    <phoneticPr fontId="7" type="noConversion"/>
  </si>
  <si>
    <t>N</t>
    <phoneticPr fontId="7" type="noConversion"/>
  </si>
  <si>
    <t>N</t>
    <phoneticPr fontId="7" type="noConversion"/>
  </si>
  <si>
    <t>N</t>
    <phoneticPr fontId="7" type="noConversion"/>
  </si>
  <si>
    <t>N</t>
    <phoneticPr fontId="7" type="noConversion"/>
  </si>
  <si>
    <t>N</t>
    <phoneticPr fontId="7" type="noConversion"/>
  </si>
  <si>
    <t>N</t>
    <phoneticPr fontId="7" type="noConversion"/>
  </si>
  <si>
    <t>N</t>
    <phoneticPr fontId="7" type="noConversion"/>
  </si>
  <si>
    <t>N</t>
    <phoneticPr fontId="7" type="noConversion"/>
  </si>
  <si>
    <t>N</t>
    <phoneticPr fontId="7" type="noConversion"/>
  </si>
  <si>
    <t>N</t>
    <phoneticPr fontId="7" type="noConversion"/>
  </si>
  <si>
    <t>N</t>
    <phoneticPr fontId="7" type="noConversion"/>
  </si>
  <si>
    <t>N/A</t>
    <phoneticPr fontId="7" type="noConversion"/>
  </si>
  <si>
    <t>N</t>
    <phoneticPr fontId="7" type="noConversion"/>
  </si>
  <si>
    <t>N/A</t>
    <phoneticPr fontId="7" type="noConversion"/>
  </si>
  <si>
    <t>N</t>
    <phoneticPr fontId="7" type="noConversion"/>
  </si>
  <si>
    <t>N</t>
    <phoneticPr fontId="7" type="noConversion"/>
  </si>
  <si>
    <t>판단: OK/BAD</t>
    <phoneticPr fontId="7" type="noConversion"/>
  </si>
  <si>
    <r>
      <t xml:space="preserve">판단: OK/BAD
[양호 기준]
 - NFS 미사용 
OR
(everyone AND Userhome AND / 공유 없음)
[취약 기준]
 - NFS 사용
AND
((everyone OR / OR Userhome 공유 있음)
</t>
    </r>
    <r>
      <rPr>
        <b/>
        <sz val="10"/>
        <color theme="1"/>
        <rFont val="맑은 고딕"/>
        <family val="3"/>
        <charset val="129"/>
        <scheme val="minor"/>
      </rPr>
      <t>OR
접근 제어 설정 host 가 클래스단위(0~31) 존재할경우</t>
    </r>
    <r>
      <rPr>
        <sz val="10"/>
        <color theme="1"/>
        <rFont val="맑은 고딕"/>
        <family val="3"/>
        <charset val="129"/>
        <scheme val="minor"/>
      </rPr>
      <t xml:space="preserve">
* 해당 점검항목은 #showmount -e 의 결과를 점검함</t>
    </r>
    <phoneticPr fontId="7" type="noConversion"/>
  </si>
  <si>
    <t>N</t>
    <phoneticPr fontId="7" type="noConversion"/>
  </si>
  <si>
    <t>[Redhat] : [/etc/pam.d/system-auth] 및 [/etc/pam.d/password-auth] 파일
1. [deny] 항목의 [5] 확인
 - Rhel 5 이하 : [auth required pam_tally.so]
 - Rhel 6 이상, 8 미만 : [auth required pam_tally2.so]
 - Rhel 7 이상 : [auth required pam_faillock.so preauth silent audit], [auth required pam_faillock.so authfail audit]
2. [unlock_time] 항목의 [1800] 확인
 - Rhel 5 이하 : [auth required pam_tally.so]
 - Rhel 6 이상, 8 미만 : [auth required pam_tally2.so]
 - Rhel 7 이상 : [auth required pam_faillock.so preauth silent audit], [auth required pam_faillock.so authfail audit]
※ [unlock_time] 계정이 잠긴 후 풀릴 때까지의 시간. 초단위
* [/etc/pam.d/system-auth] 파일 [no_magic_root reset] 항목 존재 확인
 - Rhel 5 이하 : [auth required pam_tally.so]
 - Rhel 6 이상, 8 미만 : [auth required pam_tally2.so]
※ [no_magic_root reset] 접속시도 성공 시 실패한 횟수 리셋
[Ubuntu] : [/etc/pam.d/common-auth] 파일
1. 아래 3개 라인에서 [deny]항목의 [5] 확인
 -1) [auth required pam_faillock.so preauth audit]
 -2) [auth [default=die] pam_faillock.so authfail audit]
 -3) [auth sufficient pam_faillock.so authsucc audit]
2. 아래 3개 라인에서 [unlock_time]항목의 [1800] 확인
 -1) [auth required pam_faillock.so preauth audit]
 -2) [auth [default=die] pam_faillock.so authfail audit]
 -3) [auth sufficient pam_faillock.so authsucc audit] 
※ pam_tally, pam_tally2도 사용 가능</t>
    <phoneticPr fontId="7" type="noConversion"/>
  </si>
  <si>
    <r>
      <t>양호 
 - /etc/shadow 파일의 소유자가 root이고, 퍼미션이 '400'인 경우
 - /etc/security/opasswd  소유자가 root이고, 퍼미션이 '400'인 경우</t>
    </r>
    <r>
      <rPr>
        <sz val="10"/>
        <color rgb="FFFF0000"/>
        <rFont val="맑은 고딕"/>
        <family val="3"/>
        <charset val="129"/>
        <scheme val="minor"/>
      </rPr>
      <t xml:space="preserve">
</t>
    </r>
    <r>
      <rPr>
        <sz val="10"/>
        <color theme="1"/>
        <rFont val="맑은 고딕"/>
        <family val="3"/>
        <charset val="129"/>
        <scheme val="minor"/>
      </rPr>
      <t xml:space="preserve">
취약 
 - /etc/shadow 파일의 소유자가 root가 아니거나, 퍼미션이 '400'이 아닌 경우
 - /etc/security/opasswd 파일의 소유자가 root가 아니거나, 퍼미션이 '400'이 아닌 경우</t>
    </r>
    <phoneticPr fontId="7" type="noConversion"/>
  </si>
  <si>
    <t>1.  소유자 [root], 퍼미션 [400] 확인
 - [#ls -al /etc/shadow /etc/security/opasswd]</t>
    <phoneticPr fontId="7" type="noConversion"/>
  </si>
  <si>
    <t>AC04-K cron 설정 파일에 대한 접근 권한이 제한되어 있는가?</t>
    <phoneticPr fontId="7" type="noConversion"/>
  </si>
  <si>
    <r>
      <t xml:space="preserve">[Redhat] : 소유자 [root], 퍼미션[600]
 - #ls -al /etc/passwd*
 - #ls -al /etc/xinetd.conf*
 - #ls -al /etc/services*
 - #ls -al /etc/hosts*
 - #ls -al /var/log/wtmp*
 - #ls -al /var/log/btmp*
 - #ls -al /var/log/sulog*
※ 자동으로 생성되는 /etc/passwd- 백업 파일은 소유자 [root], 퍼미션 [600] 또는 [644]
[Ubuntu] : 소유자 [root] </t>
    </r>
    <r>
      <rPr>
        <sz val="10"/>
        <color rgb="FFFF0000"/>
        <rFont val="맑은 고딕"/>
        <family val="3"/>
        <charset val="129"/>
        <scheme val="minor"/>
      </rPr>
      <t>또는 [syslog]</t>
    </r>
    <r>
      <rPr>
        <sz val="10"/>
        <color theme="1"/>
        <rFont val="맑은 고딕"/>
        <family val="3"/>
        <charset val="129"/>
        <scheme val="minor"/>
      </rPr>
      <t xml:space="preserve">, 퍼미션[600]
 - #ls -al /etc/passwd*,
 - #ls -al /etc/xinetd.conf*,
 - #ls -al /etc/services*,
 - #ls -al /etc/hosts*,
 - #ls -al /var/log/wtmp*,
 - #ls -al /var/log/btmp*,
 - #ls -al /var/log/auth.log*
※ 자동으로 생성되는 /etc/passwd- 백업 파일은 소유자 [root] </t>
    </r>
    <r>
      <rPr>
        <sz val="10"/>
        <color rgb="FFFF0000"/>
        <rFont val="맑은 고딕"/>
        <family val="3"/>
        <charset val="129"/>
        <scheme val="minor"/>
      </rPr>
      <t>또는 [syslog]</t>
    </r>
    <r>
      <rPr>
        <sz val="10"/>
        <color theme="1"/>
        <rFont val="맑은 고딕"/>
        <family val="3"/>
        <charset val="129"/>
        <scheme val="minor"/>
      </rPr>
      <t xml:space="preserve">, 퍼미션 [600] 또는 [644]
</t>
    </r>
    <r>
      <rPr>
        <sz val="10"/>
        <color rgb="FFFF0000"/>
        <rFont val="맑은 고딕"/>
        <family val="3"/>
        <charset val="129"/>
        <scheme val="minor"/>
      </rPr>
      <t>※ 권한 적용 시 영향성 분석 후 적용
※ Ubuntu의 경우, 실행중인 로그파일의 소유자를 상위 권한의 소유자로 변경(예. syslog → root)은 로그 저장 실패 등 오류가 발생할 수 있어 권고하지 않음</t>
    </r>
    <phoneticPr fontId="7" type="noConversion"/>
  </si>
  <si>
    <r>
      <t>1. 백업 목적 등으로 유사이름으로 존재 시 (passwd.old, passwd.050523 등) 
[Redhat] : 소유자 [root], 퍼미션 [600] 확인
 - #ls -al /etc/passwd*
 - #ls -al /etc/xinetd.conf*
 - #ls -al /etc/services*
 - #ls -al /etc/hosts*
 - #ls -al /var/log/wtmp*
 - #ls -al /var/log/btmp*
 - #ls -al /var/log/sulog*
[Ubuntu] : 소유자 [root] 또는</t>
    </r>
    <r>
      <rPr>
        <sz val="10"/>
        <color rgb="FFFF0000"/>
        <rFont val="맑은 고딕"/>
        <family val="3"/>
        <charset val="129"/>
        <scheme val="minor"/>
      </rPr>
      <t xml:space="preserve"> [syslog]</t>
    </r>
    <r>
      <rPr>
        <sz val="10"/>
        <color theme="1"/>
        <rFont val="맑은 고딕"/>
        <family val="3"/>
        <charset val="129"/>
        <scheme val="minor"/>
      </rPr>
      <t xml:space="preserve">, 퍼미션 [600] 이하인지 확인
 - #ls -al /etc/passwd*,
 - #ls -al /etc/xinetd.conf*,
 - #ls -al /etc/services*,
 - #ls -al /etc/hosts*,
 - #ls -al /var/log/wtmp*,
 - #ls -al /var/log/btmp*,
 - #ls -al /var/log/auth.log* </t>
    </r>
    <phoneticPr fontId="7" type="noConversion"/>
  </si>
  <si>
    <t>os-linux-2031</t>
    <phoneticPr fontId="7" type="noConversion"/>
  </si>
  <si>
    <t>2018/08/23 정진영 책임 요청
 - 고객사 기준 변경 요청(ScanID 변경)
 - 이전 os-linux-387</t>
    <phoneticPr fontId="7" type="noConversion"/>
  </si>
  <si>
    <t>2018/03/09  양원석
- SEP 점검 추가로 ScanID 변경됨
 - 기존 os-win-375</t>
    <phoneticPr fontId="7" type="noConversion"/>
  </si>
  <si>
    <t>os-win-2560</t>
    <phoneticPr fontId="7" type="noConversion"/>
  </si>
  <si>
    <t>&lt;Administrator 그룹&gt; 
1. 제어판 → 관리도구 → 컴퓨터 관리 → 시스템 도구 → 로컬 사용자 및 그룹 → 그룹 → Administrators → 속성 → 구성원 확인 또는, 
시작 → 실행 → cmd 에서 net localgroup "Administrators" 명령을 실행하여 관리자계정 外 불필요 사용자 등록 여부를 확인
&lt;Power Users 그룹&gt; 
1. 제어판 → 관리도구 → 컴퓨터 관리 → 시스템 도구 → 로컬 사용자 및 그룹 → 그룹 → Power Users → 속성 → 구성원 확인 또는, 
시작 → 실행 → cmd 에서 net localgroup "Power Users" 명령을 실행하여 관리자계정 外 불필요 사용자 등록 여부를 확인
&lt;Backup Operators 그룹&gt; 
1. 제어판 → 관리도구 → 컴퓨터 관리 → 시스템 도구 → 로컬 사용자 및 그룹 → 그룹 → Backup Operators → 속성 → 구성원 확인 또는, 
시작 → 실행 → cmd 에서 net localgroup "Backup Operators" 명령을 실행하여 관리자계정 外 불필요 사용자 등록 여부를 확인</t>
    <phoneticPr fontId="7" type="noConversion"/>
  </si>
  <si>
    <r>
      <t>Administrators그룹은 관리자 계정의 관리를 위한 목적으로 구성되어 있음. 
일반유저 그룹이 아닌</t>
    </r>
    <r>
      <rPr>
        <sz val="10"/>
        <color rgb="FFFF0000"/>
        <rFont val="맑은 고딕"/>
        <family val="3"/>
        <charset val="129"/>
        <scheme val="minor"/>
      </rPr>
      <t xml:space="preserve"> A</t>
    </r>
    <r>
      <rPr>
        <sz val="10"/>
        <color theme="1"/>
        <rFont val="맑은 고딕"/>
        <family val="3"/>
        <charset val="129"/>
        <scheme val="minor"/>
      </rPr>
      <t>dministrators 그룹에 계정이 발견되었을 경우 이 계정은 관리자 계정의 구성원으로 올바른지 확인해야 함.
발견된 계정이 Administrators 그룹의 구성원으로서 올바르지 않을 경우 그룹에서 사용자를 제거해야 함.
Power Users의 그룹은 관리자와 같은 권한을 제공하며 신뢰할 수 있는 사용자에게 계정권한을 부여해야 함.
악의적인 사용자가 이 그룹에 포함되어 있을 경우 상당한 손상을 일으킬 수 있음. 
Power Users 그룹의 구성원을 검토 하고 최소한의 계정만 가지고 신뢰할 수 있는지 확인해야 함.
Backup Operators 그룹에 속한 계정은 관리자 권한을 가지고 있는 사용자의 데이터를 복원할 수 있음. 
백업된 데이터에서 암호화 되지 않은 데이터들을 볼 수 있음. 
Backup Operators 그룹에는 신뢰 할 수 있는 계정인지 확인해야 함.</t>
    </r>
    <phoneticPr fontId="7" type="noConversion"/>
  </si>
  <si>
    <r>
      <t xml:space="preserve">1. [제어판 → 관리 도구 → 컴퓨터 관리 → 시스템 도구 → 로컬 사용자 및 그룹 → 사용자 → </t>
    </r>
    <r>
      <rPr>
        <sz val="10"/>
        <color rgb="FFFF0000"/>
        <rFont val="맑은 고딕"/>
        <family val="3"/>
        <charset val="129"/>
        <scheme val="minor"/>
      </rPr>
      <t>Guest</t>
    </r>
    <r>
      <rPr>
        <sz val="10"/>
        <color theme="1"/>
        <rFont val="맑은 고딕"/>
        <family val="3"/>
        <charset val="129"/>
        <scheme val="minor"/>
      </rPr>
      <t xml:space="preserve"> 속성] : [계정 사용 안함] 체크 박스 확인
또는
1. [시작메뉴 → 실행 → cmd]에서 [net user guest] 명령을 실행하여 [활성 계정] 확인</t>
    </r>
    <phoneticPr fontId="7" type="noConversion"/>
  </si>
  <si>
    <r>
      <t>1. 제어판 → 관리도구 → 로컬 보안 정책 → 계정 정책 → 암호 정책 → "최소 암호 길이"</t>
    </r>
    <r>
      <rPr>
        <sz val="10"/>
        <color rgb="FFFF0000"/>
        <rFont val="맑은 고딕"/>
        <family val="3"/>
        <charset val="129"/>
        <scheme val="minor"/>
      </rPr>
      <t>를</t>
    </r>
    <r>
      <rPr>
        <sz val="10"/>
        <color theme="1"/>
        <rFont val="맑은 고딕"/>
        <family val="3"/>
        <charset val="129"/>
        <scheme val="minor"/>
      </rPr>
      <t xml:space="preserve"> 8 이상 설정</t>
    </r>
    <phoneticPr fontId="7" type="noConversion"/>
  </si>
  <si>
    <r>
      <t>1. [제어판 → 관리 도구 → 로컬 보안 정책 → 계정 정책 → 암호 정책] : [최근 암호 기억] 확인
또는
1. [시작메뉴 → 실행 → cmd]에서 [secedit /export /cfg c:\local.cfg]를 통해 설정 파일 추출
2. [c:\local.cfg] 내의 [</t>
    </r>
    <r>
      <rPr>
        <sz val="10"/>
        <color rgb="FFFF0000"/>
        <rFont val="맑은 고딕"/>
        <family val="3"/>
        <charset val="129"/>
        <scheme val="minor"/>
      </rPr>
      <t>PasswordHistorySize</t>
    </r>
    <r>
      <rPr>
        <sz val="10"/>
        <color theme="1"/>
        <rFont val="맑은 고딕"/>
        <family val="3"/>
        <charset val="129"/>
        <scheme val="minor"/>
      </rPr>
      <t>] 값이 2이상인지 확인</t>
    </r>
    <phoneticPr fontId="7" type="noConversion"/>
  </si>
  <si>
    <r>
      <t xml:space="preserve">1. 제어판 → 관리도구 → 로컬 보안 정책 → 로컬 정책 → 보안 옵션 → [네트워크 보안 : 다음 암호 변경 시 Lan </t>
    </r>
    <r>
      <rPr>
        <sz val="10"/>
        <color rgb="FFFF0000"/>
        <rFont val="맑은 고딕"/>
        <family val="3"/>
        <charset val="129"/>
        <scheme val="minor"/>
      </rPr>
      <t>Manager</t>
    </r>
    <r>
      <rPr>
        <sz val="10"/>
        <color theme="1"/>
        <rFont val="맑은 고딕"/>
        <family val="3"/>
        <charset val="129"/>
        <scheme val="minor"/>
      </rPr>
      <t xml:space="preserve"> 해시값 저장 안 함] 설정</t>
    </r>
    <phoneticPr fontId="7" type="noConversion"/>
  </si>
  <si>
    <r>
      <t xml:space="preserve">1. 제어판 → 관리도구 → 로컬 보안 정책 → 로컬정책 → 사용자 권한 할당 → "네트워크에서 이 컴퓨터 액세스"에서 Administrators (Administrators 포함된 사용자), Authenticated Users, AD 및 IIS 계정만 존재
* </t>
    </r>
    <r>
      <rPr>
        <sz val="10"/>
        <color rgb="FFFF0000"/>
        <rFont val="맑은 고딕"/>
        <family val="3"/>
        <charset val="129"/>
        <scheme val="minor"/>
      </rPr>
      <t>Everyone</t>
    </r>
    <r>
      <rPr>
        <sz val="10"/>
        <color theme="1"/>
        <rFont val="맑은 고딕"/>
        <family val="3"/>
        <charset val="129"/>
        <scheme val="minor"/>
      </rPr>
      <t xml:space="preserve"> 삭제 시, Cluster Node에서는 반드시 Authenticated Users가 포함되어야 함</t>
    </r>
    <phoneticPr fontId="7" type="noConversion"/>
  </si>
  <si>
    <r>
      <t>현재 설치된 프로그램을 확인하여 운영 목적에 부합하지 않는 프로그램이 존재</t>
    </r>
    <r>
      <rPr>
        <sz val="10"/>
        <color rgb="FFFF0000"/>
        <rFont val="맑은 고딕"/>
        <family val="3"/>
        <charset val="129"/>
        <scheme val="minor"/>
      </rPr>
      <t xml:space="preserve">할 </t>
    </r>
    <r>
      <rPr>
        <sz val="10"/>
        <color theme="1"/>
        <rFont val="맑은 고딕"/>
        <family val="3"/>
        <charset val="129"/>
        <scheme val="minor"/>
      </rPr>
      <t>시 제거
1. 원격 접속 프로그램, 웹하드, P2P, 토렌트, 파일 전송 프로그램, 해킹 프로그램, 패킷캡쳐 프로그램 설치 시, 관련 근거 문서 확보여부 확인</t>
    </r>
    <phoneticPr fontId="7" type="noConversion"/>
  </si>
  <si>
    <r>
      <t>사용자들</t>
    </r>
    <r>
      <rPr>
        <sz val="10"/>
        <color rgb="FFFF0000"/>
        <rFont val="맑은 고딕"/>
        <family val="3"/>
        <charset val="129"/>
        <scheme val="minor"/>
      </rPr>
      <t>이</t>
    </r>
    <r>
      <rPr>
        <sz val="10"/>
        <color theme="1"/>
        <rFont val="맑은 고딕"/>
        <family val="3"/>
        <charset val="129"/>
        <scheme val="minor"/>
      </rPr>
      <t xml:space="preserve"> 시스템에서 얼마동안 떨어져있을 </t>
    </r>
    <r>
      <rPr>
        <sz val="10"/>
        <color rgb="FFFF0000"/>
        <rFont val="맑은 고딕"/>
        <family val="3"/>
        <charset val="129"/>
        <scheme val="minor"/>
      </rPr>
      <t>경우에</t>
    </r>
    <r>
      <rPr>
        <sz val="10"/>
        <color theme="1"/>
        <rFont val="맑은 고딕"/>
        <family val="3"/>
        <charset val="129"/>
        <scheme val="minor"/>
      </rPr>
      <t xml:space="preserve"> 로그오프하거나 워크스테이션 잠김 설정이 되어있는지 여부를 확인함.</t>
    </r>
    <phoneticPr fontId="7" type="noConversion"/>
  </si>
  <si>
    <r>
      <t>1. 시작 → 실행 → regedit → HKEY_LOCAL_MACHINE\SYSTEM\</t>
    </r>
    <r>
      <rPr>
        <sz val="10"/>
        <color rgb="FFFF0000"/>
        <rFont val="맑은 고딕"/>
        <family val="3"/>
        <charset val="129"/>
        <scheme val="minor"/>
      </rPr>
      <t>Current</t>
    </r>
    <r>
      <rPr>
        <sz val="10"/>
        <color theme="1"/>
        <rFont val="맑은 고딕"/>
        <family val="3"/>
        <charset val="129"/>
        <scheme val="minor"/>
      </rPr>
      <t>ControlSet\Services\lanmanserver\parameters에서 AutoShareServer 를 0으로 설정
2. 시작 → 실행 → FSMGMT.MSC → 공유 → 기본공유 선택 → 공유 중지 (C$~Z$)
3. Cluster Mode 구성 시에는 C$, D$ 등 삭제 시 장애가 발생하므로 예외처리 해야함</t>
    </r>
    <phoneticPr fontId="7" type="noConversion"/>
  </si>
  <si>
    <t>1. [시작 메뉴 → 실행 → SECPOL.MSC → 로컬 정책 → 보안 옵션 → 네트워크 액세스: SAM 계정과 공유의 익명 열거 허용 안 함 상태 확인]
2. [시작 메뉴 → 실행 → SECPOL.MSC → 로컬 정책 → 보안 옵션 → 네트워크 액세스: SAM 계정의 익명 열거 허용 안 함 상태 확인]
3. [RestrictAnonymous] 값이 '1' 또는 '2'인지 확인
 - [시작 메뉴 → 실행 → regedit → HKLM\SYSTEM\CurrentControlSet\Control\LSA]
 - [시작 메뉴 → 실행 → cmd → regedit /e c:\local.reg HKEY_LOCAL_MACHINE\SYSTEM\CurrentControlSet\Control\LSA를 통해 설정파일 추출 → c:\local.reg]</t>
    <phoneticPr fontId="7" type="noConversion"/>
  </si>
  <si>
    <r>
      <t>기본적인 FTP 서비스는 계정과 패스워드가 암호화 되지 않은 채로 전송 되므로 간단한 Sniffer 에 의해서도 스니핑이 가능하므로 FTP 사용 하지 않을 것을 권고.
불가피하게 FTP 서비스를 이용해야 할 경우 Default 설정으로 되어 있는 익명연결 허용을 금지</t>
    </r>
    <r>
      <rPr>
        <sz val="10"/>
        <color rgb="FFFF0000"/>
        <rFont val="맑은 고딕"/>
        <family val="3"/>
        <charset val="129"/>
        <scheme val="minor"/>
      </rPr>
      <t>하고</t>
    </r>
    <r>
      <rPr>
        <sz val="10"/>
        <color theme="1"/>
        <rFont val="맑은 고딕"/>
        <family val="3"/>
        <charset val="129"/>
        <scheme val="minor"/>
      </rPr>
      <t xml:space="preserve"> FTP를 위한 계정을 따로 만들어서 사용.
Password는 복잡도를 높이고 또한 권한은 해당 디렉터리에 대한 Read 권한만을 부여. 
Home Directory는 Default로 설정하지 말고, 임의의 폴더를 생성하여 설정하는 것이 바람직함.</t>
    </r>
    <phoneticPr fontId="7" type="noConversion"/>
  </si>
  <si>
    <t>이 정책 설정은 컴퓨터의 각 계정 관리 이벤트를 감사할지 여부를 결정.
다음은 계정 관리 이벤트의 예)
사용자 계정 또는 그룹을 만들거나 변경하거나 삭제함.
사용자 계정의 이름을 바꾸거나 사용자 계정을 사용 또는 사용하지 않음.
암호를 설정하거나 변경함.
계정 관리 감사 설정을 구성하면 성공한 이벤트를 감사할지, 실패한 이벤트를 감사할지 아니면 모든 이벤트 유형을 감사하지 않을지를 지정할 수 있음.
성공 감사는 계정 관리 이벤트가 성공할 때 감사 항목을 생성하므로 엔터프라이즈의 모든 컴퓨터에서 사용해야 함.
조직이 보안 관련 문제 상황에 대처할 때는 계정을 만들거나 변경하거나 삭제한 사용자를 추적할 수 있어야 함.
실패 감사는 계정 관리 이벤트가 실패할 때 감사 항목을 생성함.</t>
    <phoneticPr fontId="7" type="noConversion"/>
  </si>
  <si>
    <t>1. [제어판 → 관리 도구 → 로컬 보안 정책 → 로컬 정책 → 감사 정책] : [계정 관리 감사] 확인
2. [계정 로그온 이벤트 감사] 확인
3. [로그온 이벤트 감사] 확인
4. [정책 변경 감사] 확인
5. [시스템 이벤트 감사] 확인
또는,
1. [시작메뉴 → 실행 → cmd]에서 [secedit /export /cfg c:\local.cfg]를 통해 설정파일 추출
2. [c:\local.cfg] 내의 [AuditAccountManage] 값이 3인지 확인
3. [c:\local.cfg] 내의 [AuditAccountLogon] 값이 3인지 확인
4. [c:\local.cfg] 내의 [AuditLogonEvents] 값이 3인지 확인
5. [c:\local.cfg] 내의 [AuditPolicyChange] 값이 1인지 확인
6. [c:\local.cfg] 내의 [AuditSystemEvents] 값이 1인지 확인</t>
    <phoneticPr fontId="7" type="noConversion"/>
  </si>
  <si>
    <t>양호
 - '계정 관리 감사’에 (성공,실패) 설정되어 있는 경우
 - '계정 로그온 이벤트 감사’에 (성공,실패) 설정되어 있는 경우
 - '로그온 이벤트 감사’에 (성공,실패) 설정되어 있는 경우
 - '정책 변경 감사'에 (성공) 설정되어 있는 경우
 - '시스템 이벤트 감사'에 (성공) 설정되어 있는 경우
취약
 - '계정 관리 감사’에 (성공,실패) 설정되어 있지 않은 경우
 - '계정 로그온 이벤트 감사’에 (성공,실패) 설정되어 있지 않은 경우
 - '로그온 이벤트 감사’에 (성공,실패) 설정되어 있지 않은 경우
 - '정책 변경 감사'에 (성공) 설정되어 있지 않은 경우
 - '시스템 이벤트 감사'에 (성공) 설정되어 있지 않은 경우</t>
    <phoneticPr fontId="7" type="noConversion"/>
  </si>
  <si>
    <r>
      <t>시스템 보안 로그 파일등 Administrator 계정외에는 접근을 제한함. 실</t>
    </r>
    <r>
      <rPr>
        <sz val="10"/>
        <color rgb="FFFF0000"/>
        <rFont val="맑은 고딕"/>
        <family val="3"/>
        <charset val="129"/>
        <scheme val="minor"/>
      </rPr>
      <t>질</t>
    </r>
    <r>
      <rPr>
        <sz val="10"/>
        <color theme="1"/>
        <rFont val="맑은 고딕"/>
        <family val="3"/>
        <charset val="129"/>
        <scheme val="minor"/>
      </rPr>
      <t>적으로 서버관리자를 제외하고는 대부분의 사용자들은 위의 파일을 실행시킬 필요성이 없음.
일반 사용자의 권한이 있을경우 파일을 복제하여 시스템 로그 파일에 문제가 발생 할 수 있으므로 근본적으로 접근자를 제외하고 나머지는 권한은 제거해주는 것이 좋음.</t>
    </r>
    <phoneticPr fontId="7" type="noConversion"/>
  </si>
  <si>
    <r>
      <t xml:space="preserve">1. 서버에서 기본 제공되는 관리자 外 추가된 사용자에 대해서는 계정명과 실제 사용자 및 용도 확인 있을 시, 계정 신청서 및 상세한 사유서(결재문서) 확인 필요
새로운 UID로 변경
 #usermod -u [부여할 UID] [UID를 변경할 계정의 로그인 ID]
그룹에 GID 변경
 #groupmod -g [부여할 </t>
    </r>
    <r>
      <rPr>
        <sz val="10"/>
        <color rgb="FFFF0000"/>
        <rFont val="맑은 고딕"/>
        <family val="3"/>
        <charset val="129"/>
        <scheme val="minor"/>
      </rPr>
      <t>GID</t>
    </r>
    <r>
      <rPr>
        <sz val="10"/>
        <color theme="1"/>
        <rFont val="맑은 고딕"/>
        <family val="3"/>
        <charset val="129"/>
        <scheme val="minor"/>
      </rPr>
      <t xml:space="preserve">] [변경할 그룹명]
 /etc/group 파일에서 gid가 0인 그룹에서 root 제외한 계정 제거 
</t>
    </r>
    <phoneticPr fontId="7" type="noConversion"/>
  </si>
  <si>
    <r>
      <t>[5.x, 6.x 버전]
1. [/etc/pam.d/system-auth] 파일에서
password sufficient /lib/security/pam_unix.so remember=2로 설정
[7.x 버전]
1. [/etc/pam.d/system-auth], [/etc/pam.d/password-auth] 파일에서
password requisite pam_pwquality.so try_first_pass local_users_only retry=3 authtok_type=
password requisite pam_pwhistory.so remember=2
password sufficient pam_unix.so sha512 shadow nullok try_first_pass use_authtok
[SUSE]
1. [/etc/pam.d/common-password] 파일에서
password sufficient pam</t>
    </r>
    <r>
      <rPr>
        <sz val="10"/>
        <color rgb="FFFF0000"/>
        <rFont val="맑은 고딕"/>
        <family val="3"/>
        <charset val="129"/>
        <scheme val="minor"/>
      </rPr>
      <t>_</t>
    </r>
    <r>
      <rPr>
        <sz val="10"/>
        <color theme="1"/>
        <rFont val="맑은 고딕"/>
        <family val="3"/>
        <charset val="129"/>
        <scheme val="minor"/>
      </rPr>
      <t>unix.so remember=2 설정
[Ubuntu]
1. [/etc/pam.d/common-password] 파일의 
password requisite [pam_cracklib.so | pam_pwquality.so] 라인에
remember=2 이상으로 설정
※ 리눅스 os, 버전 별 다른 패스워드 설정 파일 및 계정관리 솔루션 도입 등으로 인해 패스워드 설정 방식이 다를 수 있으므로 패스워드 정책에 맞게 적용되어 있으면 인정 됨</t>
    </r>
    <phoneticPr fontId="7" type="noConversion"/>
  </si>
  <si>
    <r>
      <t>[Redhat]
1. [/etc/pam.d/system-auth] 및 [/etc/pam.d/password-auth] 파일
   [password sufficient pam_unix.so] 라인에서 [remember] 항목의 [2] 확인
또는
2. [/etc/pam.d/system-auth] 및 [/etc/pam.d/password-auth] 파일
   [password requisite pam_pwhistory.so] 라인에서 [remember] 항목의 [2] 확인
[SUSE, Ubuntu]
1. [/etc/pam.d/common-password] 파일 [password sufficient pam</t>
    </r>
    <r>
      <rPr>
        <sz val="10"/>
        <color rgb="FFFF0000"/>
        <rFont val="맑은 고딕"/>
        <family val="3"/>
        <charset val="129"/>
        <scheme val="minor"/>
      </rPr>
      <t>_</t>
    </r>
    <r>
      <rPr>
        <sz val="10"/>
        <color theme="1"/>
        <rFont val="맑은 고딕"/>
        <family val="3"/>
        <charset val="129"/>
        <scheme val="minor"/>
      </rPr>
      <t>unix.so] 라인에서 [remember] 항목의 [2] 확인
또는
2. [/etc/pam.d/common-password] 파일 [password requisite pam_pwhistory.so] 라인에서 [remember] 항목의 [2] 확인
※ pam_unix.so, pam_unix2.so, pam_pwhistory.so 사용 가능</t>
    </r>
    <phoneticPr fontId="7" type="noConversion"/>
  </si>
  <si>
    <r>
      <t xml:space="preserve">양호 - /etc/passwd, /etc/group 파일의 소유자가 root이고, 퍼미션이 '644' 또는 '600'인 경우
취약 - </t>
    </r>
    <r>
      <rPr>
        <sz val="10"/>
        <color rgb="FFFF0000"/>
        <rFont val="맑은 고딕"/>
        <family val="3"/>
        <charset val="129"/>
        <scheme val="minor"/>
      </rPr>
      <t>/</t>
    </r>
    <r>
      <rPr>
        <sz val="10"/>
        <color theme="1"/>
        <rFont val="맑은 고딕"/>
        <family val="3"/>
        <charset val="129"/>
        <scheme val="minor"/>
      </rPr>
      <t>etc/passwd, /etc/group 파일의 소유자가 root가 아니거나, 퍼미션이 '644' 또는 '600'이 아닌 경우</t>
    </r>
    <phoneticPr fontId="7" type="noConversion"/>
  </si>
  <si>
    <r>
      <t>1. 소유자 [root], 퍼미션 [600] 확인
 - [</t>
    </r>
    <r>
      <rPr>
        <sz val="10"/>
        <color rgb="FFFF0000"/>
        <rFont val="맑은 고딕"/>
        <family val="3"/>
        <charset val="129"/>
        <scheme val="minor"/>
      </rPr>
      <t>#</t>
    </r>
    <r>
      <rPr>
        <sz val="10"/>
        <color theme="1"/>
        <rFont val="맑은 고딕"/>
        <family val="3"/>
        <charset val="129"/>
        <scheme val="minor"/>
      </rPr>
      <t>ls -l /etc/xinetd.conf]</t>
    </r>
    <phoneticPr fontId="7" type="noConversion"/>
  </si>
  <si>
    <t xml:space="preserve">[Redhat]
1. 소유자 [root/bin], 타 사용자 [쓰기권한 없음] 확인
 - [#ls -l /etc/pam.d/system-auth]
 - [#ls -l /etc/pam.d/password-auth]
[SUSE, Ubuntu]
1. 소유자 [root/bin], 타 사용자 [쓰기권한 없음] 확인
 - [#ls -l /etc/pam.d/common-password]
 - [#ls -l /etc/pam.d/common-auth]
</t>
    <phoneticPr fontId="7" type="noConversion"/>
  </si>
  <si>
    <r>
      <t xml:space="preserve">telnet, ftp 서비스 접속시 아이디/패스워드 </t>
    </r>
    <r>
      <rPr>
        <sz val="10"/>
        <color rgb="FFFF0000"/>
        <rFont val="맑은 고딕"/>
        <family val="3"/>
        <charset val="129"/>
        <scheme val="minor"/>
      </rPr>
      <t>전</t>
    </r>
    <r>
      <rPr>
        <sz val="10"/>
        <color theme="1"/>
        <rFont val="맑은 고딕"/>
        <family val="3"/>
        <charset val="129"/>
        <scheme val="minor"/>
      </rPr>
      <t>송 암호화(ssh, sftp) 또는 OTP(one time password) 를 사용하는지 확인
1. OTP 설정 확인
 - #cat /etc/pam.d/remote | grep ^auth | grep pam_securid.so | grep -v grep | grep -v "^#"
2. sshd 프로세스 확인
 - #ps -ef | grep sshd</t>
    </r>
    <phoneticPr fontId="7" type="noConversion"/>
  </si>
  <si>
    <t>1. /etc/exports 파일 세팅
#vi /etc/exports
2. /etc/exports (everyone) 으로 설정된 라인 제거, / 또는 $HOME 으로 설정된 라인 제거
[/etc/dfs/dfstab 설정 예]
rw=client 형식으로 접속을 허용할 client를 지정해줘야 함
아래와 같이 지정되어 있지 않은 경우 모든 client의 접속을 허용
 - 취약 : share -F nfs -o r /samsung
 - 양호 : share -F nfs -o r=client1:client2 /samsung
[/etc/exports 설정 예]
r=client 또는 access=client 형식으로 접속을 허용할 client를 지정해줘야 함
아래와 같이 지정되어 있지 않을 경우 모든 client의 접속을 허용
 - 취약 : share -F nfs -o r(w,rw) /samsung
 - 양호 : /samsung -access=client1:client2,r</t>
    <phoneticPr fontId="7" type="noConversion"/>
  </si>
  <si>
    <r>
      <t>1. [공유 디렉토리], [권한]이 적정한지 확인
 - [#showmount -e hostname],
 - [#cat /etc/exports],
 - [#</t>
    </r>
    <r>
      <rPr>
        <sz val="10"/>
        <color rgb="FFFF0000"/>
        <rFont val="맑은 고딕"/>
        <family val="3"/>
        <charset val="129"/>
        <scheme val="minor"/>
      </rPr>
      <t>cat</t>
    </r>
    <r>
      <rPr>
        <sz val="10"/>
        <color theme="1"/>
        <rFont val="맑은 고딕"/>
        <family val="3"/>
        <charset val="129"/>
        <scheme val="minor"/>
      </rPr>
      <t xml:space="preserve"> /etc/dfs/dfstab] </t>
    </r>
    <phoneticPr fontId="7" type="noConversion"/>
  </si>
  <si>
    <r>
      <t>1. r 계열 서비스가 중지되었는지 확인
 - [#cat /etc/xinetd.conf]
 - [#service --status-all]
※ Redhat 7 버전 이상, Ubuntu 16.04 버전 이상
 - [#service --status</t>
    </r>
    <r>
      <rPr>
        <sz val="10"/>
        <color rgb="FFFF0000"/>
        <rFont val="맑은 고딕"/>
        <family val="3"/>
        <charset val="129"/>
        <scheme val="minor"/>
      </rPr>
      <t>-all</t>
    </r>
    <r>
      <rPr>
        <sz val="10"/>
        <color theme="1"/>
        <rFont val="맑은 고딕"/>
        <family val="3"/>
        <charset val="129"/>
        <scheme val="minor"/>
      </rPr>
      <t>] 아닌 [#systemctl list-unit-files --type service -all] 으로 실행
2. 미존재 시 생성
 - [#ls -al /etc/hosts.equiv]
 - [#awk -F: '{print $6 "/.rhosts"}' /etc/passwd | xargs ls -al]</t>
    </r>
    <phoneticPr fontId="7" type="noConversion"/>
  </si>
  <si>
    <r>
      <t>1. 실행 결과를 확인하여 불필요 서비스 주석(#) 또는 중지 확인
 - #cat /etc/xinetd.conf, #service --status-all,
 - #ps -ef &lt;불필요 서비스&gt;,
 - #rpcinfo -p, 
 - #netstat -an &lt;불필요 서비스&gt;
※ 불필요 서비스 : 
 bootp, chargen, cmsd, daytime, discard, echo, finger,
 netstat, rusersd, sprayd, systat, tftp, time, ttdbserverd, uucp
※ Redhat 7 버전 이상, Ubuntu 16.04 버전 이상
 - [#service --status</t>
    </r>
    <r>
      <rPr>
        <sz val="10"/>
        <color rgb="FFFF0000"/>
        <rFont val="맑은 고딕"/>
        <family val="3"/>
        <charset val="129"/>
        <scheme val="minor"/>
      </rPr>
      <t>-all</t>
    </r>
    <r>
      <rPr>
        <sz val="10"/>
        <color theme="1"/>
        <rFont val="맑은 고딕"/>
        <family val="3"/>
        <charset val="129"/>
        <scheme val="minor"/>
      </rPr>
      <t>] 아닌 [#systemctl list-unit-files --type service -all] 으로 실행</t>
    </r>
    <phoneticPr fontId="7" type="noConversion"/>
  </si>
  <si>
    <r>
      <t xml:space="preserve">1. 서버에서 기본 제공되는 관리자 外 추가된 사용자에 대해서는 계정명과 실제 사용자 및 용도 확인 있을 시, 계정 신청서 및 상세한 사유서(결재문서) 확인 필요
1. 새로운 UID로 변경
# usermod -u [부여할 UID] [UID를 변경할 계정의 로그인 ID]
2. 그룹에 GID 변경
# groupmod -g [부여할 </t>
    </r>
    <r>
      <rPr>
        <sz val="10"/>
        <color rgb="FFFF0000"/>
        <rFont val="맑은 고딕"/>
        <family val="3"/>
        <charset val="129"/>
        <scheme val="minor"/>
      </rPr>
      <t>G</t>
    </r>
    <r>
      <rPr>
        <sz val="10"/>
        <color theme="1"/>
        <rFont val="맑은 고딕"/>
        <family val="3"/>
        <charset val="129"/>
        <scheme val="minor"/>
      </rPr>
      <t xml:space="preserve">ID] [변경할 그룹명]
3. /etc/group 파일에서 gid가 0인 그룹에서 root 제외한 계정 제거 
</t>
    </r>
    <phoneticPr fontId="7" type="noConversion"/>
  </si>
  <si>
    <r>
      <t xml:space="preserve">1. 서버에서 기본 제공되는 관리자 外 추가된 사용자에 대해서는 계정명과 실제 사용자 및 용도 확인 있을 시, 계정 신청서 및 상세한 사유서(결재문서) 확인 필요
새로운 UID로 변경
# usermod -u [부여할 UID] [UID를 변경할 계정의 로그인 ID]
그룹에 GID 변경
# groupmod -g [부여할 </t>
    </r>
    <r>
      <rPr>
        <sz val="10"/>
        <color rgb="FFFF0000"/>
        <rFont val="맑은 고딕"/>
        <family val="3"/>
        <charset val="129"/>
        <scheme val="minor"/>
      </rPr>
      <t>G</t>
    </r>
    <r>
      <rPr>
        <sz val="10"/>
        <color theme="1"/>
        <rFont val="맑은 고딕"/>
        <family val="3"/>
        <charset val="129"/>
        <scheme val="minor"/>
      </rPr>
      <t xml:space="preserve">ID] [변경할 그룹명]
/etc/group 파일에서 gid가 0인 그룹에서 root 제외한 계정 제거 
</t>
    </r>
    <phoneticPr fontId="7" type="noConversion"/>
  </si>
  <si>
    <r>
      <t xml:space="preserve">1. 서버에서 기본 제공되는 관리자 外 추가된 사용자에 대해서는 계정명과 실제 사용자 및 용도 확인 있을 시 계정 신청서 및 상세한 사유서(결재문서) 확인 필요
새로운 UID로 변경
# usermod -u [부여할 UID] [UID를 변경할 계정의 로그인 ID]
그룹에 GID 변경
# groupmod -g [부여할 </t>
    </r>
    <r>
      <rPr>
        <sz val="10"/>
        <color rgb="FFFF0000"/>
        <rFont val="맑은 고딕"/>
        <family val="3"/>
        <charset val="129"/>
        <scheme val="minor"/>
      </rPr>
      <t>GID</t>
    </r>
    <r>
      <rPr>
        <sz val="10"/>
        <color theme="1"/>
        <rFont val="맑은 고딕"/>
        <family val="3"/>
        <charset val="129"/>
        <scheme val="minor"/>
      </rPr>
      <t xml:space="preserve">] [변경할 그룹명]
/etc/group 파일에서 gid가 0인 그룹에서 root 제외한 계정 제거
</t>
    </r>
    <phoneticPr fontId="7" type="noConversion"/>
  </si>
  <si>
    <t>양호 - 아래와 같이 설정된 경우
 1) MINALPHA : '1'
 2) MINDIGIT : '1'
 3) MINSPECIAL : '1'
 4) WHITESPACE : 'NO'
취약 - 양호조건으로 설정되어 있지 않은 경우</t>
    <phoneticPr fontId="7" type="noConversion"/>
  </si>
  <si>
    <r>
      <t xml:space="preserve">1. MINALPHA를 '4'이상, MINOTHER '2'이상으로 설정
 - [#cat /etc/security/user]
※ 패스워드 설정 가이드
 - 8자리 이상의 알파벳 </t>
    </r>
    <r>
      <rPr>
        <sz val="10"/>
        <color rgb="FFFF0000"/>
        <rFont val="맑은 고딕"/>
        <family val="3"/>
        <charset val="129"/>
        <scheme val="minor"/>
      </rPr>
      <t>대소문자</t>
    </r>
    <r>
      <rPr>
        <sz val="10"/>
        <color theme="1"/>
        <rFont val="맑은 고딕"/>
        <family val="3"/>
        <charset val="129"/>
        <scheme val="minor"/>
      </rPr>
      <t>, 특수문자, 숫자 중 2종류이상 또는 10자리 이상의 알파벳 대소문자, 특수문자 중 1종류로 구성된 문자열로 생성
※ ISMS 등 인증 대상사는 기술적/관리적 보호조치 기준 준수
 ( 2종류 이상을 조합하여 최소 10자리 이상, 3종류 이상을 조합하여 최소 8자리 이상)</t>
    </r>
    <phoneticPr fontId="7" type="noConversion"/>
  </si>
  <si>
    <r>
      <t xml:space="preserve">1. 일반모드와 트러스트 모드 중 실제 시스템에 적용된 모드에 따라 점검
2. 별도 계정 관리 S/W에 의해 제어 될 경우 동일 정책으로 적용
* Trust Mode 설정 
 - /usr/lbin/tsconvert 
* Trust Mode 설정 해제
 - /usr/lbin/tsconvert -r
* Trust Mode 설정 여부 확인방법
 - /etc/passwd 파일의 2nd column 이 "*"로 표시
 - /tcb 디렉토리 존재
* 패스워드 설정 가이드
 - 8자리 이상의 알파벳 </t>
    </r>
    <r>
      <rPr>
        <sz val="10"/>
        <color rgb="FFFF0000"/>
        <rFont val="맑은 고딕"/>
        <family val="3"/>
        <charset val="129"/>
        <scheme val="minor"/>
      </rPr>
      <t>대소문자</t>
    </r>
    <r>
      <rPr>
        <sz val="10"/>
        <color theme="1"/>
        <rFont val="맑은 고딕"/>
        <family val="3"/>
        <charset val="129"/>
        <scheme val="minor"/>
      </rPr>
      <t xml:space="preserve">, 특수문자, 숫자 중 2종류 이상 또는 10자리 이상의 알파벳 대소문자, 특수문자 중 1종류로 구성된 문자열로 생성
 </t>
    </r>
    <r>
      <rPr>
        <sz val="10"/>
        <color theme="1"/>
        <rFont val="맑은 고딕"/>
        <family val="3"/>
        <charset val="129"/>
      </rPr>
      <t>※</t>
    </r>
    <r>
      <rPr>
        <sz val="10"/>
        <color theme="1"/>
        <rFont val="맑은 고딕"/>
        <family val="3"/>
        <charset val="129"/>
        <scheme val="minor"/>
      </rPr>
      <t xml:space="preserve"> ISMS 등 인증 대상사는 기술적/관리적 보호조치 기준 준수
 (2종류 이상을 조합하여 최소 10자리 이상, 3종류 이상을 조합하여 최소 8자리 이상)
 - 계정, 호스트명, 회사명 등 쉽게 추측 가능한 패스워드 사용 금지 (예 : samsung00)</t>
    </r>
    <phoneticPr fontId="7" type="noConversion"/>
  </si>
  <si>
    <t>[Redhat]
 - Redhat에서 pam_cracklib.so 사용 시 (Redhat 6버전 이하)
1. [#cat /etc/pam.d/system-auth]. [#cat /etc/pam.d/password-auth] 실행하여 각각 아래 내용 존재 여부 확인
  ※ Redhat 5버전은 system-auth만 확인
2. [password requisite pam_cracklib.so] 라인에 아래 항목 값 확인
 · try_first_pass retry=3
 · lcredit=-1
 · dcredit=-1
 · ocredit=-1
 · minlen=8
[7.x 버전]
1-1. [/etc/pam.d/system-auth] [/etc/pam.d/password-auth] 파일의 [password requisite pam_pwquality.so] 라인이 존재해야 하며,
/etc/security/pwquality.conf 파일에 아래 항목 설정
 · dcredit=-1
 · lcredit=-1
 · ocredit=-1
또는
1-2. [/etc/pam.d/system-auth] [/etc/pam.d/password-auth] 파일의 [password requisite pam_pwquality.so] 라인에서 아래 항목 설정
 · dcredit=-1
 · lcredit=-1
 · ocredit=-1
[Ubuntu]
1-1. password requisite [pam_cracklib.so | pam_pwquality.so] 라인에서 아래 항목 설정
 · dcredit = -1
 · lcredit = -1
 · ocredit = -1
또는
1-2. [/etc/security/pwquality.conf] 파일 내에 아래항목 설정
 · dcredit = -1
 · lcredit = -1
 · ocredit = -1
[SUSE]
1. [/etc/pam.d/common-password] 파일에
password required pam_cracklib.so 라인에 아래 항목 설정
 · dcredit=-1
 · lcredit=-1
 · ocredit=-1
* /etc/pam.d/common-auth, /etc/pam.d/common-account 파일에
auth required pam_tally2.so 설정
* 잘못된 PAM 설정은 로그인 불가능, 패스워드 변경 불가등의 장애가 발생할 수 있으므로 영향성 확인 후 설정</t>
    <phoneticPr fontId="7" type="noConversion"/>
  </si>
  <si>
    <r>
      <t xml:space="preserve">양호 - lcredit '-1'이하, dcredit '-1'이하, ocredit '-1'이하로 설정되어 있을 경우
취약 - lcredit '0'이상, dcredit '0'이상, ocredit '0'이상으로 설정되어 있을 경우
 ※리눅스 OS, 버전 별 다른 패스워드 설정 파일 및 계정관리 솔루션 도입 등으로 인해 패스워드 정책에 맞게 적용되어 있으면 인정 됨
 ※ 패스워드 설정 가이드
 - 8자리 이상의 알파벳 </t>
    </r>
    <r>
      <rPr>
        <sz val="10"/>
        <color rgb="FFFF0000"/>
        <rFont val="맑은 고딕"/>
        <family val="3"/>
        <charset val="129"/>
        <scheme val="minor"/>
      </rPr>
      <t>대소문자</t>
    </r>
    <r>
      <rPr>
        <sz val="10"/>
        <color theme="1"/>
        <rFont val="맑은 고딕"/>
        <family val="3"/>
        <charset val="129"/>
        <scheme val="minor"/>
      </rPr>
      <t>, 특수문자, 숫자 중 2종류 이상 또는 10자리 이상의 알파벳 대소문자, 특수문자 중 1종류로 구성된 문자열로 생성
 ※ ISMS 등 인증 대상사는 기술적/관리적 보호조치 기준 준수
    (2종류 이상을 조합하여 최소 10자리 이상, 3종류 이상을 조합하여 최소 8자리 이상)
 - 계정, 호스트명, 회사명 등 쉽게 추측 가능한 패스워드 사용 금지 (ex : samsung00)</t>
    </r>
    <phoneticPr fontId="7" type="noConversion"/>
  </si>
  <si>
    <t>[5.x, 6.x 버전]
[/etc/pam.d/system-auth] 및 [/etc/pam.d/password-auth] 파일의 [password requisite pam_cracklib.so] 라인에서 아래항목확인
 · dcredit = -1
 · lcredit = -1
 · ocredit = -1
[7.x 버전]
[/etc/pam.d/system-auth] 및 [/etc/pam.d/password-auth] 파일의 [password requisite pam_pwquality.so] 라인에서 아래항목 확인
 · dcredit = -1
 · lcredit = -1
 · ocredit = -1
또는
[/etc/security/pwquality.conf] 파일에 아래 항목 확인
 · dcredit = -1
 · lcredit = -1
 · ocredit = -1
※ 기존 pam_cracklib.so 사용 가능 (신규 서버는 pam_pwquality.so 적용 권고)
[Ubuntu]
1-1. password requisite [pam_cracklib.so | pam_pwquality.so] 라인에서 아래항목 확인
 · dcredit = -1
 · lcredit = -1
 · ocredit = -1
또는
1-2. [/etc/security/pwquality.conf] 파일 내에 아래항목 확인
 · dcredit = -1
 · lcredit = -1
 · ocredit = -1</t>
    <phoneticPr fontId="7" type="noConversion"/>
  </si>
  <si>
    <r>
      <t xml:space="preserve">1. /etc/default/passwd 파일에 다음과 같이 설정
 - MINALPHA=1
 - MINDIGIT=1
 - MINSPECIAL=1 
 - WHITESPACE=NO
* 패스워드 설정 가이드
 - 8자리 이상의 알파벳 </t>
    </r>
    <r>
      <rPr>
        <sz val="10"/>
        <color rgb="FFFF0000"/>
        <rFont val="맑은 고딕"/>
        <family val="3"/>
        <charset val="129"/>
        <scheme val="minor"/>
      </rPr>
      <t>대소문자</t>
    </r>
    <r>
      <rPr>
        <sz val="10"/>
        <color theme="1"/>
        <rFont val="맑은 고딕"/>
        <family val="3"/>
        <charset val="129"/>
        <scheme val="minor"/>
      </rPr>
      <t>, 숫자 중 2종류 이상 또는 10자리 이상의 알파벳 대소문자, 특수문자 중 1종류로 구성된 문자열로 생성
 ※ ISMS 등 인증 대상사는 기술적/관리적 보호조치 기준 준수
 (2종류 이상을 조합하여 최소 10자리 이상, 3종류 이상을 조합하여 최소 8자리 이상)
 - 계정, 호스트명, 회사명 등 쉽게 추측 가능한 패스워드 사용 금지 (예: samsung00)</t>
    </r>
    <phoneticPr fontId="7" type="noConversion"/>
  </si>
  <si>
    <t>양호 - MINALPHA가 '4'이상이고, MINOTHER가 '2'이상인 경우 
취약 - MINALPHA가 '4'미만이거나, MINOTHER가 '2'미만인 경우 
* 패스워드 설정 가이드
 - 8자리 이상의 알파벳 대소문자, 특수문자, 숫자 중 2종류 이상 또는 10자리 이상의 알파벳 대소문자, 특수문자 중 1종류로 구성된 문자열로 생성
 - 계정, 호스트명, 회사명 등 쉽게 추측 가능한 패스워드 사용 금지 (예 : samsung00)</t>
  </si>
  <si>
    <t>1. MINLEN 값을 '8'이상으로 설정.
 - [#cat /etc/security/user]
※ 패스워드 설정 가이드
 - 8자리 이상의 알파벳 대소문자, 특수문자, 숫자 중 2종류이상 또는 10자리 이상의 알파벳 대소문자, 특수문자 중 1종류로 구성된 문자열로 생성
※ ISMS 등 인증 대상사는 기술적/관리적 보호조치 기준 준수
 ( 2종류 이상을 조합하여 최소 10자리 이상, 3종류 이상을 조합하여 최소 8자리 이상)</t>
  </si>
  <si>
    <t>1. /etc/default/passwd 파일에서 PASSLENGTH값을 '8'이상으로 설정
* 패스워드 설정 가이드
 - 8자리 이상의 알파벳 대소문자, 특수문자, 숫자 중 2종류 이상 또는 10자리 이상의 알파벳 대소문자, 특수문자 중 1종류로 구성된 문자열로 생성
 ※ ISMS 등 인증 대상사는 기술적/관리적 보호조치 기준 준수
 (2종류 이상을 조합하여 최소 10자리 이상, 3종류 이상을 조합하여 최소 8자리 이상)
 - 계정, 호스트명, 회사명 등 쉽게 추측 가능한 패스워드 사용 금지 (예: samsung00)</t>
    <phoneticPr fontId="7" type="noConversion"/>
  </si>
  <si>
    <r>
      <t>원격 접속 시 root 계정으로 바로 접속 할 수 없도록 설정파일 수정
[Telnet]
1. vi 편집기를 이용하여 “/etc/default/login” 파일을 연 후
2. 아래와 같이 주석 제거 또는, 신규 삽입
(수정 전) #CONSOLE=/dev/console
(수정 후) CONSOLE=/dev/console
[SSH]
1. vi 편집기를 이용하여 "/etc/</t>
    </r>
    <r>
      <rPr>
        <sz val="10"/>
        <color rgb="FFFF0000"/>
        <rFont val="맑은 고딕"/>
        <family val="3"/>
        <charset val="129"/>
        <scheme val="minor"/>
      </rPr>
      <t>ssh</t>
    </r>
    <r>
      <rPr>
        <sz val="10"/>
        <color theme="1"/>
        <rFont val="맑은 고딕"/>
        <family val="3"/>
        <charset val="129"/>
        <scheme val="minor"/>
      </rPr>
      <t>/sshd_config" 파일을 연 후
2. 아래와 같이 설정 변경
(수정 전 1) #PermitRootLogin no
(수정 전 2) PermitRootLogin yes
(수정 후) PermitRootLogin no</t>
    </r>
    <phoneticPr fontId="8" type="noConversion"/>
  </si>
  <si>
    <r>
      <t xml:space="preserve">[telnet]
 - /etc/issue 파일 내용 확인
[ftp]
1. </t>
    </r>
    <r>
      <rPr>
        <sz val="10"/>
        <color rgb="FFFF0000"/>
        <rFont val="맑은 고딕"/>
        <family val="3"/>
        <charset val="129"/>
        <scheme val="minor"/>
      </rPr>
      <t>Solaris</t>
    </r>
    <r>
      <rPr>
        <sz val="10"/>
        <color theme="1"/>
        <rFont val="맑은 고딕"/>
        <family val="3"/>
        <charset val="129"/>
        <scheme val="minor"/>
      </rPr>
      <t xml:space="preserve"> 8 버전 - /etc/default/ftpd 파일 내용 확인
2. Solaris 9,10 버전 - /etc/ftpd/ftpaccess 파일에서 banner 에 등록되어 있는 파일의 내용 확인
3. Solaris 11 버전 - /etc/proftpd.conf 파일의 DisplayConnect 에 등록되어 있는 파일의 내용 확인 
[ssh]
 - /etc/ssh/sshd_config 파일에서 Banner 에 등록되어 있는 파일의 내용 확인</t>
    </r>
    <phoneticPr fontId="7" type="noConversion"/>
  </si>
  <si>
    <r>
      <t>[telnet]
 - /etc/issue 파일에 배너 내용 작성
[ftp]
&lt;</t>
    </r>
    <r>
      <rPr>
        <sz val="10"/>
        <color rgb="FFFF0000"/>
        <rFont val="맑은 고딕"/>
        <family val="3"/>
        <charset val="129"/>
        <scheme val="minor"/>
      </rPr>
      <t>Solaris</t>
    </r>
    <r>
      <rPr>
        <sz val="10"/>
        <color theme="1"/>
        <rFont val="맑은 고딕"/>
        <family val="3"/>
        <charset val="129"/>
        <scheme val="minor"/>
      </rPr>
      <t xml:space="preserve"> 8 버전&gt;
 - /etc/default/ftpd 파일에 배너 내용 작성
&lt;Solaris 9, 10 버전&gt;
 - /etc/ftpd/ftpaccess 파일에 banner에 파일 등록 후 파일에 배너 내용 작성 
&lt;Solaris 11 버전&gt;
 - /etc/proftpd.conf 파일의 DisplayConnect 에 파일 등록 후 파일에 배너 내용 작성 
[ssh]
 - /etc/ssh/sshd_config 파일에서 Banner 에 파일 등록 후 파일에 배너 내용 작성</t>
    </r>
    <phoneticPr fontId="7" type="noConversion"/>
  </si>
  <si>
    <r>
      <t>1. .rhosts 파일이 존재 하지 않을 경우 touch .</t>
    </r>
    <r>
      <rPr>
        <sz val="10"/>
        <color rgb="FFFF0000"/>
        <rFont val="맑은 고딕"/>
        <family val="3"/>
        <charset val="129"/>
        <scheme val="minor"/>
      </rPr>
      <t>rhosts</t>
    </r>
    <r>
      <rPr>
        <sz val="10"/>
        <color theme="1"/>
        <rFont val="맑은 고딕"/>
        <family val="3"/>
        <charset val="129"/>
        <scheme val="minor"/>
      </rPr>
      <t>, mkdir .</t>
    </r>
    <r>
      <rPr>
        <sz val="10"/>
        <color rgb="FFFF0000"/>
        <rFont val="맑은 고딕"/>
        <family val="3"/>
        <charset val="129"/>
        <scheme val="minor"/>
      </rPr>
      <t>rhosts</t>
    </r>
    <r>
      <rPr>
        <sz val="10"/>
        <color theme="1"/>
        <rFont val="맑은 고딕"/>
        <family val="3"/>
        <charset val="129"/>
        <scheme val="minor"/>
      </rPr>
      <t xml:space="preserve"> 로 생성 
2. chown root /etc/hosts.equiv,HOME/.rhosts로 소유자를 변경
3. chmod 000 /etc/hosts.equiv, HOME/.rhosts로 파일 권한을 변경
4. /etc/inetd.conf 파일에서 login,shell,exec을 주석처리 후 inetd 서비스 재시작
* </t>
    </r>
    <r>
      <rPr>
        <sz val="10"/>
        <color rgb="FFFF0000"/>
        <rFont val="맑은 고딕"/>
        <family val="3"/>
        <charset val="129"/>
        <scheme val="minor"/>
      </rPr>
      <t>solaris</t>
    </r>
    <r>
      <rPr>
        <sz val="10"/>
        <color theme="1"/>
        <rFont val="맑은 고딕"/>
        <family val="3"/>
        <charset val="129"/>
        <scheme val="minor"/>
      </rPr>
      <t xml:space="preserve"> 10 이상 버전에서는 svcadm 명령을 이용</t>
    </r>
    <phoneticPr fontId="7" type="noConversion"/>
  </si>
  <si>
    <r>
      <t xml:space="preserve">1. /etc/inetd.conf 파일에서 해당 서비스 주석 처리 후 inetd 서비스 재시작
(SOLARIS 10 이상인경우 </t>
    </r>
    <r>
      <rPr>
        <sz val="10"/>
        <color rgb="FFFF0000"/>
        <rFont val="맑은 고딕"/>
        <family val="3"/>
        <charset val="129"/>
        <scheme val="minor"/>
      </rPr>
      <t>svcadm</t>
    </r>
    <r>
      <rPr>
        <sz val="10"/>
        <color theme="1"/>
        <rFont val="맑은 고딕"/>
        <family val="3"/>
        <charset val="129"/>
        <scheme val="minor"/>
      </rPr>
      <t xml:space="preserve"> disable 데몬명)
2. kill -9 해당프로세스 PID로 프로세스 kill</t>
    </r>
    <phoneticPr fontId="7" type="noConversion"/>
  </si>
  <si>
    <t>보안패치를 하지 않았을 경우 외부의 공격에 매우 취약하므로 정기적으로 최신 패치인지 확인하여야 함. 
각종 물리적 접근, 계정 도용, 파일 시스템 비밀성 및 무결성 침해, 비 인가된 네트워크 접근 등의 다양한 공격들에 의하여 침입을 당할 위험이 있으므로 정기적인 점검이 필요함.</t>
    <phoneticPr fontId="7" type="noConversion"/>
  </si>
  <si>
    <t>LP01-3.2 보안 업데이트가 적용되었는가?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</si>
</sst>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5" x14ac:knownFonts="1">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font>
    <font>
      <sz val="8"/>
      <name val="맑은 고딕"/>
      <family val="3"/>
      <charset val="129"/>
      <scheme val="minor"/>
    </font>
    <font>
      <sz val="8"/>
      <name val="맑은 고딕"/>
      <family val="2"/>
      <charset val="129"/>
      <scheme val="minor"/>
    </font>
    <font>
      <b/>
      <sz val="10"/>
      <color theme="1"/>
      <name val="맑은 고딕"/>
      <family val="3"/>
      <charset val="129"/>
    </font>
    <font>
      <b/>
      <sz val="11"/>
      <color theme="1"/>
      <name val="맑은 고딕"/>
      <family val="3"/>
      <charset val="129"/>
      <scheme val="minor"/>
    </font>
    <font>
      <b/>
      <sz val="12"/>
      <color theme="1"/>
      <name val="맑은 고딕"/>
      <family val="3"/>
      <charset val="129"/>
      <scheme val="minor"/>
    </font>
    <font>
      <sz val="11"/>
      <color theme="1"/>
      <name val="맑은 고딕"/>
      <family val="2"/>
      <scheme val="minor"/>
    </font>
    <font>
      <b/>
      <sz val="10"/>
      <color theme="1"/>
      <name val="맑은 고딕"/>
      <family val="3"/>
      <charset val="129"/>
      <scheme val="minor"/>
    </font>
    <font>
      <sz val="10"/>
      <color theme="1"/>
      <name val="맑은 고딕"/>
      <family val="3"/>
      <charset val="129"/>
      <scheme val="minor"/>
    </font>
    <font>
      <sz val="10"/>
      <color theme="1"/>
      <name val="맑은 고딕"/>
      <family val="2"/>
      <charset val="129"/>
      <scheme val="minor"/>
    </font>
    <font>
      <b/>
      <sz val="10"/>
      <color rgb="FF484848"/>
      <name val="Verdana"/>
      <family val="2"/>
    </font>
    <font>
      <sz val="10"/>
      <color rgb="FF484848"/>
      <name val="Verdana"/>
      <family val="2"/>
    </font>
    <font>
      <b/>
      <sz val="10"/>
      <color rgb="FFFFFFFF"/>
      <name val="굴림"/>
      <family val="3"/>
      <charset val="129"/>
    </font>
    <font>
      <b/>
      <sz val="10"/>
      <color theme="0"/>
      <name val="굴림"/>
      <family val="3"/>
      <charset val="129"/>
    </font>
    <font>
      <b/>
      <sz val="10"/>
      <color theme="0"/>
      <name val="맑은 고딕"/>
      <family val="3"/>
      <charset val="129"/>
      <scheme val="minor"/>
    </font>
    <font>
      <sz val="10"/>
      <name val="맑은 고딕"/>
      <family val="3"/>
      <charset val="129"/>
      <scheme val="minor"/>
    </font>
    <font>
      <sz val="11"/>
      <color theme="1"/>
      <name val="맑은 고딕"/>
      <family val="3"/>
      <charset val="129"/>
      <scheme val="minor"/>
    </font>
    <font>
      <b/>
      <sz val="10"/>
      <color rgb="FFFF0000"/>
      <name val="맑은 고딕"/>
      <family val="3"/>
      <charset val="129"/>
      <scheme val="minor"/>
    </font>
    <font>
      <sz val="10"/>
      <color indexed="8"/>
      <name val="맑은 고딕"/>
      <family val="3"/>
      <charset val="129"/>
      <scheme val="minor"/>
    </font>
    <font>
      <sz val="11"/>
      <color indexed="8"/>
      <name val="맑은 고딕"/>
      <family val="3"/>
      <charset val="129"/>
      <scheme val="minor"/>
    </font>
    <font>
      <sz val="11"/>
      <name val="맑은 고딕"/>
      <family val="3"/>
      <charset val="129"/>
      <scheme val="minor"/>
    </font>
    <font>
      <sz val="11"/>
      <color rgb="FF006100"/>
      <name val="맑은 고딕"/>
      <family val="2"/>
      <charset val="129"/>
      <scheme val="minor"/>
    </font>
    <font>
      <sz val="10"/>
      <color rgb="FFFF0000"/>
      <name val="맑은 고딕"/>
      <family val="3"/>
      <charset val="129"/>
      <scheme val="minor"/>
    </font>
    <font>
      <b/>
      <sz val="10"/>
      <color theme="0"/>
      <name val="맑은 고딕"/>
      <family val="3"/>
      <charset val="129"/>
      <scheme val="major"/>
    </font>
    <font>
      <sz val="10"/>
      <color theme="1"/>
      <name val="맑은 고딕"/>
      <family val="3"/>
      <charset val="129"/>
      <scheme val="major"/>
    </font>
    <font>
      <sz val="11"/>
      <color indexed="8"/>
      <name val="맑은 고딕"/>
      <family val="3"/>
      <charset val="129"/>
      <scheme val="major"/>
    </font>
    <font>
      <sz val="11"/>
      <color theme="1"/>
      <name val="맑은 고딕"/>
      <family val="3"/>
      <charset val="129"/>
      <scheme val="major"/>
    </font>
    <font>
      <sz val="8"/>
      <name val="돋움"/>
      <family val="3"/>
      <charset val="129"/>
    </font>
    <font>
      <sz val="10"/>
      <color theme="1"/>
      <name val="맑은 고딕"/>
      <family val="3"/>
      <charset val="129"/>
    </font>
  </fonts>
  <fills count="13">
    <fill>
      <patternFill patternType="none"/>
    </fill>
    <fill>
      <patternFill patternType="gray125"/>
    </fill>
    <fill>
      <patternFill patternType="solid">
        <fgColor rgb="FF00B0F0"/>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
      <patternFill patternType="solid">
        <fgColor rgb="FF00ACEC"/>
        <bgColor indexed="64"/>
      </patternFill>
    </fill>
    <fill>
      <patternFill patternType="solid">
        <fgColor rgb="FF7030A0"/>
        <bgColor indexed="64"/>
      </patternFill>
    </fill>
    <fill>
      <patternFill patternType="solid">
        <fgColor theme="6" tint="0.59999389629810485"/>
        <bgColor indexed="64"/>
      </patternFill>
    </fill>
    <fill>
      <patternFill patternType="solid">
        <fgColor theme="0"/>
        <bgColor indexed="64"/>
      </patternFill>
    </fill>
    <fill>
      <patternFill patternType="solid">
        <fgColor rgb="FFC6EFCE"/>
      </patternFill>
    </fill>
    <fill>
      <patternFill patternType="solid">
        <fgColor theme="9" tint="0.59999389629810485"/>
        <bgColor indexed="64"/>
      </patternFill>
    </fill>
  </fills>
  <borders count="17">
    <border>
      <left/>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s>
  <cellStyleXfs count="12">
    <xf numFmtId="0" fontId="0" fillId="0" borderId="0">
      <alignment vertical="center"/>
    </xf>
    <xf numFmtId="0" fontId="12" fillId="0" borderId="0"/>
    <xf numFmtId="0" fontId="5" fillId="0" borderId="0">
      <alignment vertical="center"/>
    </xf>
    <xf numFmtId="0" fontId="22"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7" fillId="11" borderId="0" applyNumberFormat="0" applyBorder="0" applyAlignment="0" applyProtection="0">
      <alignment vertical="center"/>
    </xf>
    <xf numFmtId="0" fontId="22" fillId="0" borderId="0">
      <alignment vertical="center"/>
    </xf>
    <xf numFmtId="0" fontId="1" fillId="0" borderId="0">
      <alignment vertical="center"/>
    </xf>
  </cellStyleXfs>
  <cellXfs count="149">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0" fontId="9" fillId="4" borderId="1" xfId="0" applyFont="1" applyFill="1" applyBorder="1" applyAlignment="1">
      <alignment horizontal="center" vertical="center" wrapText="1"/>
    </xf>
    <xf numFmtId="0" fontId="10" fillId="4" borderId="2" xfId="0" applyFont="1" applyFill="1" applyBorder="1">
      <alignment vertical="center"/>
    </xf>
    <xf numFmtId="0" fontId="10" fillId="4" borderId="1" xfId="0" applyFont="1" applyFill="1" applyBorder="1">
      <alignment vertical="center"/>
    </xf>
    <xf numFmtId="0" fontId="9" fillId="0" borderId="5" xfId="0" applyFont="1" applyBorder="1" applyAlignment="1">
      <alignment horizontal="justify" vertical="center" wrapText="1"/>
    </xf>
    <xf numFmtId="0" fontId="0" fillId="0" borderId="6" xfId="0" applyBorder="1">
      <alignment vertical="center"/>
    </xf>
    <xf numFmtId="0" fontId="10" fillId="0" borderId="5" xfId="0" applyFont="1" applyBorder="1">
      <alignment vertical="center"/>
    </xf>
    <xf numFmtId="49" fontId="0" fillId="0" borderId="7" xfId="0" applyNumberFormat="1" applyBorder="1" applyAlignment="1">
      <alignment horizontal="center" vertical="center"/>
    </xf>
    <xf numFmtId="0" fontId="0" fillId="0" borderId="7" xfId="0" applyBorder="1" applyAlignment="1">
      <alignment horizontal="center" vertical="center"/>
    </xf>
    <xf numFmtId="0" fontId="0" fillId="0" borderId="6" xfId="0" applyBorder="1" applyAlignment="1">
      <alignment vertical="center" wrapText="1"/>
    </xf>
    <xf numFmtId="0" fontId="0" fillId="0" borderId="7" xfId="0" applyBorder="1">
      <alignment vertical="center"/>
    </xf>
    <xf numFmtId="0" fontId="0" fillId="0" borderId="8" xfId="0" applyBorder="1">
      <alignment vertical="center"/>
    </xf>
    <xf numFmtId="0" fontId="9" fillId="0" borderId="9" xfId="0" applyFont="1" applyBorder="1" applyAlignment="1">
      <alignment horizontal="justify" vertical="center" wrapText="1"/>
    </xf>
    <xf numFmtId="0" fontId="0" fillId="0" borderId="10" xfId="0" applyBorder="1" applyAlignment="1">
      <alignment horizontal="left" vertical="top" wrapText="1"/>
    </xf>
    <xf numFmtId="0" fontId="10" fillId="0" borderId="9" xfId="0" applyFont="1" applyBorder="1">
      <alignment vertical="center"/>
    </xf>
    <xf numFmtId="0" fontId="11" fillId="0" borderId="0" xfId="0" applyFont="1">
      <alignment vertical="center"/>
    </xf>
    <xf numFmtId="0" fontId="13" fillId="4" borderId="1" xfId="1" applyFont="1" applyFill="1" applyBorder="1" applyAlignment="1">
      <alignment horizontal="center" vertical="center"/>
    </xf>
    <xf numFmtId="0" fontId="13" fillId="4" borderId="3" xfId="1" applyFont="1" applyFill="1" applyBorder="1" applyAlignment="1">
      <alignment horizontal="center" vertical="center"/>
    </xf>
    <xf numFmtId="0" fontId="13" fillId="0" borderId="0" xfId="0" applyFont="1">
      <alignment vertical="center"/>
    </xf>
    <xf numFmtId="0" fontId="15" fillId="0" borderId="0" xfId="0" applyFont="1">
      <alignment vertical="center"/>
    </xf>
    <xf numFmtId="0" fontId="0" fillId="5" borderId="7" xfId="0" applyFill="1" applyBorder="1" applyAlignment="1">
      <alignment horizontal="left" vertical="center"/>
    </xf>
    <xf numFmtId="0" fontId="16" fillId="4" borderId="7" xfId="0" applyFont="1" applyFill="1" applyBorder="1" applyAlignment="1">
      <alignment vertical="center" wrapText="1"/>
    </xf>
    <xf numFmtId="0" fontId="17" fillId="6" borderId="7" xfId="0" applyFont="1" applyFill="1" applyBorder="1" applyAlignment="1">
      <alignment vertical="center" wrapText="1"/>
    </xf>
    <xf numFmtId="0" fontId="17" fillId="5" borderId="7" xfId="0" applyFont="1" applyFill="1" applyBorder="1" applyAlignment="1">
      <alignment vertical="center" wrapText="1"/>
    </xf>
    <xf numFmtId="49" fontId="18" fillId="7" borderId="7" xfId="0" applyNumberFormat="1" applyFont="1" applyFill="1" applyBorder="1" applyAlignment="1">
      <alignment horizontal="center" vertical="center" wrapText="1"/>
    </xf>
    <xf numFmtId="49" fontId="19" fillId="7" borderId="7" xfId="0" applyNumberFormat="1" applyFont="1" applyFill="1" applyBorder="1" applyAlignment="1">
      <alignment horizontal="center" vertical="center" wrapText="1"/>
    </xf>
    <xf numFmtId="49" fontId="19" fillId="3" borderId="7" xfId="0" applyNumberFormat="1" applyFont="1" applyFill="1" applyBorder="1" applyAlignment="1">
      <alignment horizontal="center" vertical="center" wrapText="1"/>
    </xf>
    <xf numFmtId="0" fontId="20" fillId="8" borderId="7" xfId="0" applyFont="1" applyFill="1" applyBorder="1" applyAlignment="1">
      <alignment horizontal="center" vertical="center" wrapText="1"/>
    </xf>
    <xf numFmtId="0" fontId="0" fillId="0" borderId="0" xfId="0" applyAlignment="1">
      <alignment horizontal="left" vertical="top"/>
    </xf>
    <xf numFmtId="0" fontId="14" fillId="0" borderId="0" xfId="0" applyFont="1" applyAlignment="1">
      <alignment horizontal="center" vertical="center"/>
    </xf>
    <xf numFmtId="0" fontId="14" fillId="0" borderId="0" xfId="0" applyFont="1" applyAlignment="1">
      <alignment horizontal="left" vertical="top"/>
    </xf>
    <xf numFmtId="0" fontId="14" fillId="0" borderId="7" xfId="0" applyFont="1" applyBorder="1" applyAlignment="1">
      <alignment horizontal="left" vertical="top" wrapText="1"/>
    </xf>
    <xf numFmtId="0" fontId="0" fillId="0" borderId="0" xfId="0" applyAlignment="1">
      <alignment horizontal="center" vertical="center" wrapText="1"/>
    </xf>
    <xf numFmtId="0" fontId="13" fillId="0" borderId="7" xfId="0" applyFont="1" applyBorder="1" applyAlignment="1">
      <alignment horizontal="center" vertical="center"/>
    </xf>
    <xf numFmtId="0" fontId="14" fillId="0" borderId="7" xfId="0" applyFont="1" applyBorder="1" applyAlignment="1">
      <alignment vertical="center" wrapText="1"/>
    </xf>
    <xf numFmtId="0" fontId="23" fillId="0" borderId="7" xfId="0" applyFont="1" applyBorder="1" applyAlignment="1">
      <alignment vertical="center" wrapText="1"/>
    </xf>
    <xf numFmtId="0" fontId="14" fillId="0" borderId="0" xfId="0" applyFont="1">
      <alignment vertical="center"/>
    </xf>
    <xf numFmtId="0" fontId="14" fillId="2" borderId="7" xfId="0" applyFont="1" applyFill="1" applyBorder="1" applyAlignment="1">
      <alignment vertical="center" wrapText="1"/>
    </xf>
    <xf numFmtId="0" fontId="14" fillId="3" borderId="7" xfId="0" applyFont="1" applyFill="1" applyBorder="1" applyAlignment="1">
      <alignment vertical="center" wrapText="1"/>
    </xf>
    <xf numFmtId="0" fontId="14" fillId="3" borderId="7" xfId="0" applyFont="1" applyFill="1" applyBorder="1">
      <alignment vertical="center"/>
    </xf>
    <xf numFmtId="0" fontId="14" fillId="4" borderId="7" xfId="0" applyFont="1" applyFill="1" applyBorder="1" applyAlignment="1">
      <alignment vertical="center" wrapText="1"/>
    </xf>
    <xf numFmtId="0" fontId="14" fillId="4" borderId="7" xfId="0" applyFont="1" applyFill="1" applyBorder="1">
      <alignment vertical="center"/>
    </xf>
    <xf numFmtId="0" fontId="14" fillId="5" borderId="7" xfId="0" applyFont="1" applyFill="1" applyBorder="1" applyAlignment="1">
      <alignment vertical="center" wrapText="1"/>
    </xf>
    <xf numFmtId="0" fontId="14" fillId="5" borderId="7" xfId="0" applyFont="1" applyFill="1" applyBorder="1">
      <alignment vertical="center"/>
    </xf>
    <xf numFmtId="0" fontId="24" fillId="0" borderId="7" xfId="0" applyFont="1" applyBorder="1" applyAlignment="1">
      <alignment horizontal="left" vertical="top" wrapText="1"/>
    </xf>
    <xf numFmtId="0" fontId="25" fillId="0" borderId="0" xfId="0" applyFont="1">
      <alignment vertical="center"/>
    </xf>
    <xf numFmtId="0" fontId="24" fillId="0" borderId="0" xfId="0" applyFont="1" applyAlignment="1">
      <alignment horizontal="left" vertical="top" wrapText="1"/>
    </xf>
    <xf numFmtId="0" fontId="25" fillId="0" borderId="7" xfId="0" applyFont="1" applyBorder="1" applyAlignment="1">
      <alignment vertical="center" wrapText="1"/>
    </xf>
    <xf numFmtId="0" fontId="24" fillId="0" borderId="0" xfId="0" applyFont="1" applyAlignment="1">
      <alignment horizontal="left" vertical="top"/>
    </xf>
    <xf numFmtId="0" fontId="25" fillId="0" borderId="0" xfId="0" applyFont="1" applyAlignment="1">
      <alignment vertical="center" wrapText="1"/>
    </xf>
    <xf numFmtId="14" fontId="24" fillId="0" borderId="7" xfId="0" applyNumberFormat="1" applyFont="1" applyBorder="1" applyAlignment="1">
      <alignment horizontal="left" vertical="top" wrapText="1"/>
    </xf>
    <xf numFmtId="0" fontId="25" fillId="0" borderId="0" xfId="0" applyFont="1" applyAlignment="1">
      <alignment horizontal="left" vertical="top"/>
    </xf>
    <xf numFmtId="49" fontId="18" fillId="7" borderId="1" xfId="0" applyNumberFormat="1" applyFont="1" applyFill="1" applyBorder="1" applyAlignment="1">
      <alignment horizontal="center" vertical="center" wrapText="1"/>
    </xf>
    <xf numFmtId="49" fontId="19" fillId="7" borderId="3" xfId="0" applyNumberFormat="1" applyFont="1" applyFill="1" applyBorder="1" applyAlignment="1">
      <alignment horizontal="center" vertical="center" wrapText="1"/>
    </xf>
    <xf numFmtId="49" fontId="19" fillId="3" borderId="3" xfId="0" applyNumberFormat="1" applyFont="1" applyFill="1" applyBorder="1" applyAlignment="1">
      <alignment horizontal="center" vertical="center" wrapText="1"/>
    </xf>
    <xf numFmtId="0" fontId="21" fillId="10" borderId="7" xfId="0" applyFont="1" applyFill="1" applyBorder="1" applyAlignment="1">
      <alignment horizontal="left" vertical="top" wrapText="1"/>
    </xf>
    <xf numFmtId="0" fontId="21" fillId="10" borderId="0" xfId="0" applyFont="1" applyFill="1" applyAlignment="1">
      <alignment horizontal="left" vertical="top"/>
    </xf>
    <xf numFmtId="0" fontId="26" fillId="10" borderId="0" xfId="0" applyFont="1" applyFill="1">
      <alignment vertical="center"/>
    </xf>
    <xf numFmtId="0" fontId="21" fillId="0" borderId="7" xfId="0" applyFont="1" applyBorder="1" applyAlignment="1">
      <alignment horizontal="left" vertical="top" wrapText="1"/>
    </xf>
    <xf numFmtId="0" fontId="14" fillId="10" borderId="7" xfId="0" applyFont="1" applyFill="1" applyBorder="1" applyAlignment="1">
      <alignment horizontal="left" vertical="top" wrapText="1"/>
    </xf>
    <xf numFmtId="0" fontId="14" fillId="10" borderId="8" xfId="0" applyFont="1" applyFill="1" applyBorder="1" applyAlignment="1">
      <alignment horizontal="left" vertical="top"/>
    </xf>
    <xf numFmtId="0" fontId="14" fillId="10" borderId="0" xfId="0" applyFont="1" applyFill="1" applyAlignment="1">
      <alignment horizontal="left" vertical="top" wrapText="1"/>
    </xf>
    <xf numFmtId="0" fontId="24" fillId="10" borderId="7" xfId="0" applyFont="1" applyFill="1" applyBorder="1" applyAlignment="1">
      <alignment horizontal="left" vertical="top" wrapText="1"/>
    </xf>
    <xf numFmtId="0" fontId="25" fillId="10" borderId="0" xfId="0" applyFont="1" applyFill="1">
      <alignment vertical="center"/>
    </xf>
    <xf numFmtId="0" fontId="0" fillId="10" borderId="0" xfId="0" applyFill="1">
      <alignment vertical="center"/>
    </xf>
    <xf numFmtId="0" fontId="21" fillId="0" borderId="0" xfId="0" applyFont="1" applyAlignment="1">
      <alignment horizontal="left" vertical="top" wrapText="1"/>
    </xf>
    <xf numFmtId="0" fontId="21" fillId="12" borderId="7" xfId="0" applyFont="1" applyFill="1" applyBorder="1" applyAlignment="1">
      <alignment horizontal="left" vertical="top" wrapText="1"/>
    </xf>
    <xf numFmtId="0" fontId="21" fillId="10" borderId="11" xfId="0" applyFont="1" applyFill="1" applyBorder="1" applyAlignment="1">
      <alignment horizontal="left" vertical="top" wrapText="1"/>
    </xf>
    <xf numFmtId="0" fontId="24" fillId="0" borderId="5" xfId="0" applyFont="1" applyBorder="1" applyAlignment="1">
      <alignment horizontal="center" vertical="center" wrapText="1"/>
    </xf>
    <xf numFmtId="0" fontId="24" fillId="10" borderId="5" xfId="0" applyFont="1" applyFill="1" applyBorder="1" applyAlignment="1">
      <alignment horizontal="center" vertical="center" wrapText="1"/>
    </xf>
    <xf numFmtId="0" fontId="24" fillId="0" borderId="9"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11" xfId="0" applyFont="1" applyBorder="1" applyAlignment="1">
      <alignment horizontal="left" vertical="top" wrapText="1"/>
    </xf>
    <xf numFmtId="0" fontId="13" fillId="4" borderId="1"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4" xfId="0" applyFont="1" applyFill="1" applyBorder="1" applyAlignment="1">
      <alignment horizontal="center" vertical="center"/>
    </xf>
    <xf numFmtId="0" fontId="14" fillId="0" borderId="5" xfId="0" applyFont="1" applyBorder="1" applyAlignment="1">
      <alignment horizontal="center" vertical="center"/>
    </xf>
    <xf numFmtId="0" fontId="14" fillId="0" borderId="7" xfId="0" applyFont="1" applyBorder="1">
      <alignment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5" borderId="7" xfId="0" applyFont="1" applyFill="1" applyBorder="1" applyAlignment="1">
      <alignment horizontal="center" vertical="center"/>
    </xf>
    <xf numFmtId="0" fontId="14" fillId="5" borderId="8" xfId="0" applyFont="1" applyFill="1" applyBorder="1" applyAlignment="1">
      <alignment horizontal="center" vertical="center"/>
    </xf>
    <xf numFmtId="0" fontId="14" fillId="0" borderId="9" xfId="0" applyFont="1" applyBorder="1" applyAlignment="1">
      <alignment horizontal="center" vertical="center"/>
    </xf>
    <xf numFmtId="0" fontId="14" fillId="0" borderId="11" xfId="0" applyFont="1" applyBorder="1">
      <alignment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4" borderId="7" xfId="0" applyFont="1" applyFill="1" applyBorder="1" applyAlignment="1">
      <alignment horizontal="center" vertical="center"/>
    </xf>
    <xf numFmtId="0" fontId="14" fillId="0" borderId="15" xfId="0" applyFont="1" applyBorder="1">
      <alignment vertical="center"/>
    </xf>
    <xf numFmtId="0" fontId="24" fillId="0" borderId="0" xfId="0" applyFont="1" applyAlignment="1">
      <alignment horizontal="center" vertical="center"/>
    </xf>
    <xf numFmtId="0" fontId="25" fillId="0" borderId="0" xfId="0" applyFont="1" applyAlignment="1">
      <alignment horizontal="center" vertical="center"/>
    </xf>
    <xf numFmtId="0" fontId="14" fillId="0" borderId="7" xfId="0" applyFont="1" applyBorder="1" applyAlignment="1">
      <alignment horizontal="center" vertical="center" wrapText="1"/>
    </xf>
    <xf numFmtId="0" fontId="24" fillId="0" borderId="7" xfId="2" applyFont="1" applyBorder="1" applyAlignment="1">
      <alignment horizontal="center" vertical="center" wrapText="1"/>
    </xf>
    <xf numFmtId="0" fontId="25" fillId="0" borderId="0" xfId="0" applyFont="1" applyAlignment="1">
      <alignment horizontal="center" vertical="center" wrapText="1"/>
    </xf>
    <xf numFmtId="0" fontId="14" fillId="0" borderId="7" xfId="0" applyFont="1" applyBorder="1" applyAlignment="1">
      <alignment horizontal="center" vertical="top" wrapText="1"/>
    </xf>
    <xf numFmtId="0" fontId="14" fillId="0" borderId="7" xfId="2" applyFont="1" applyBorder="1" applyAlignment="1">
      <alignment horizontal="center" vertical="center" wrapText="1"/>
    </xf>
    <xf numFmtId="0" fontId="14" fillId="0" borderId="8" xfId="0" applyFont="1" applyBorder="1" applyAlignment="1">
      <alignment horizontal="left" vertical="top"/>
    </xf>
    <xf numFmtId="0" fontId="24" fillId="0" borderId="7" xfId="0" applyFont="1" applyBorder="1" applyAlignment="1">
      <alignment horizontal="center" vertical="top" wrapText="1"/>
    </xf>
    <xf numFmtId="0" fontId="25" fillId="0" borderId="7" xfId="0" applyFont="1" applyBorder="1">
      <alignment vertical="center"/>
    </xf>
    <xf numFmtId="0" fontId="25" fillId="0" borderId="7" xfId="0" applyFont="1" applyBorder="1" applyAlignment="1">
      <alignment horizontal="center" vertical="center"/>
    </xf>
    <xf numFmtId="49" fontId="19" fillId="7" borderId="7" xfId="0" applyNumberFormat="1" applyFont="1" applyFill="1" applyBorder="1" applyAlignment="1">
      <alignment horizontal="left" vertical="top" wrapText="1"/>
    </xf>
    <xf numFmtId="0" fontId="25" fillId="0" borderId="0" xfId="0" applyFont="1" applyAlignment="1">
      <alignment horizontal="left" vertical="top" wrapText="1"/>
    </xf>
    <xf numFmtId="0" fontId="0" fillId="0" borderId="0" xfId="0" applyAlignment="1">
      <alignment horizontal="left" vertical="top" wrapText="1"/>
    </xf>
    <xf numFmtId="49" fontId="20" fillId="3" borderId="7" xfId="0" applyNumberFormat="1" applyFont="1" applyFill="1" applyBorder="1" applyAlignment="1">
      <alignment horizontal="left" vertical="top" wrapText="1"/>
    </xf>
    <xf numFmtId="49" fontId="29" fillId="3" borderId="7" xfId="0" applyNumberFormat="1" applyFont="1" applyFill="1" applyBorder="1" applyAlignment="1">
      <alignment horizontal="left" vertical="top" wrapText="1"/>
    </xf>
    <xf numFmtId="0" fontId="31" fillId="0" borderId="0" xfId="0" applyFont="1" applyAlignment="1">
      <alignment horizontal="left" vertical="top" wrapText="1"/>
    </xf>
    <xf numFmtId="0" fontId="32" fillId="0" borderId="0" xfId="0" applyFont="1" applyAlignment="1">
      <alignment horizontal="left" vertical="top" wrapText="1"/>
    </xf>
    <xf numFmtId="0" fontId="14" fillId="0" borderId="7" xfId="0" applyFont="1" applyFill="1" applyBorder="1" applyAlignment="1">
      <alignment horizontal="left" vertical="top" wrapText="1"/>
    </xf>
    <xf numFmtId="0" fontId="25" fillId="0" borderId="0" xfId="0" applyFont="1" applyAlignment="1">
      <alignment vertical="top"/>
    </xf>
    <xf numFmtId="0" fontId="0" fillId="0" borderId="0" xfId="0" applyAlignment="1">
      <alignment vertical="top"/>
    </xf>
    <xf numFmtId="0" fontId="14" fillId="0" borderId="7" xfId="0" applyFont="1" applyFill="1" applyBorder="1" applyAlignment="1">
      <alignment vertical="top" wrapText="1"/>
    </xf>
    <xf numFmtId="0" fontId="14" fillId="0" borderId="7" xfId="0" applyFont="1" applyFill="1" applyBorder="1" applyAlignment="1">
      <alignment horizontal="center" vertical="center" wrapText="1"/>
    </xf>
    <xf numFmtId="0" fontId="14" fillId="0" borderId="0" xfId="0" applyFont="1" applyFill="1" applyAlignment="1">
      <alignment horizontal="left" vertical="top" wrapText="1"/>
    </xf>
    <xf numFmtId="0" fontId="14" fillId="0" borderId="13" xfId="0" applyFont="1" applyFill="1" applyBorder="1" applyAlignment="1">
      <alignment horizontal="left" vertical="top" wrapText="1"/>
    </xf>
    <xf numFmtId="0" fontId="14" fillId="0" borderId="7" xfId="11" applyFont="1" applyFill="1" applyBorder="1" applyAlignment="1">
      <alignment horizontal="left" vertical="top" wrapText="1"/>
    </xf>
    <xf numFmtId="0" fontId="14" fillId="0" borderId="7" xfId="11" applyFont="1" applyFill="1" applyBorder="1" applyAlignment="1">
      <alignment horizontal="center" vertical="center" wrapText="1"/>
    </xf>
    <xf numFmtId="0" fontId="14" fillId="0" borderId="6" xfId="0" applyFont="1" applyFill="1" applyBorder="1" applyAlignment="1">
      <alignment horizontal="left" vertical="top" wrapText="1"/>
    </xf>
    <xf numFmtId="0" fontId="0" fillId="0" borderId="7" xfId="0" applyFont="1" applyFill="1" applyBorder="1" applyAlignment="1">
      <alignment vertical="center" wrapText="1"/>
    </xf>
    <xf numFmtId="0" fontId="14" fillId="0" borderId="7" xfId="9" applyFont="1" applyFill="1" applyBorder="1" applyAlignment="1">
      <alignment horizontal="left" vertical="top" wrapText="1"/>
    </xf>
    <xf numFmtId="0" fontId="0" fillId="0" borderId="7" xfId="9" applyFont="1" applyFill="1" applyBorder="1" applyAlignment="1">
      <alignment horizontal="center" vertical="center" wrapText="1"/>
    </xf>
    <xf numFmtId="0" fontId="14" fillId="0" borderId="7" xfId="2" applyFont="1" applyFill="1" applyBorder="1" applyAlignment="1">
      <alignment horizontal="left" vertical="top" wrapText="1"/>
    </xf>
    <xf numFmtId="0" fontId="14" fillId="0" borderId="7" xfId="2" applyFont="1" applyFill="1" applyBorder="1" applyAlignment="1">
      <alignment horizontal="center" vertical="center" wrapText="1"/>
    </xf>
    <xf numFmtId="0" fontId="30" fillId="0" borderId="7" xfId="0" applyFont="1" applyFill="1" applyBorder="1" applyAlignment="1">
      <alignment horizontal="left" vertical="top" wrapText="1"/>
    </xf>
    <xf numFmtId="0" fontId="0" fillId="0" borderId="7" xfId="0" applyFont="1" applyFill="1" applyBorder="1" applyAlignment="1">
      <alignment horizontal="left" vertical="top"/>
    </xf>
    <xf numFmtId="0" fontId="14" fillId="0" borderId="7" xfId="0" applyFont="1" applyFill="1" applyBorder="1" applyAlignment="1">
      <alignment horizontal="left" vertical="top"/>
    </xf>
    <xf numFmtId="0" fontId="32" fillId="0" borderId="7" xfId="0" applyFont="1" applyFill="1" applyBorder="1" applyAlignment="1">
      <alignment horizontal="left" vertical="top" wrapText="1"/>
    </xf>
    <xf numFmtId="0" fontId="0" fillId="0" borderId="7" xfId="0" applyFont="1" applyFill="1" applyBorder="1" applyAlignment="1">
      <alignment horizontal="center" vertical="center" wrapText="1"/>
    </xf>
    <xf numFmtId="0" fontId="14" fillId="0" borderId="7" xfId="0" applyFont="1" applyFill="1" applyBorder="1" applyAlignment="1">
      <alignment vertical="top"/>
    </xf>
    <xf numFmtId="0" fontId="0" fillId="0" borderId="7" xfId="0" applyBorder="1" applyAlignment="1">
      <alignment horizontal="center" vertical="center"/>
    </xf>
    <xf numFmtId="0" fontId="14" fillId="4" borderId="7" xfId="0" applyFont="1" applyFill="1" applyBorder="1" applyAlignment="1">
      <alignment horizontal="left" vertical="top" wrapText="1"/>
    </xf>
    <xf numFmtId="0" fontId="28" fillId="4" borderId="7" xfId="0" applyFont="1" applyFill="1" applyBorder="1" applyAlignment="1">
      <alignment horizontal="left" vertical="top" wrapText="1"/>
    </xf>
    <xf numFmtId="0" fontId="14" fillId="10" borderId="16" xfId="0" applyFont="1" applyFill="1" applyBorder="1" applyAlignment="1">
      <alignment horizontal="left" vertical="top" wrapText="1"/>
    </xf>
    <xf numFmtId="0" fontId="28" fillId="4" borderId="7" xfId="0" applyFont="1" applyFill="1" applyBorder="1" applyAlignment="1">
      <alignment vertical="top" wrapText="1"/>
    </xf>
    <xf numFmtId="0" fontId="14" fillId="0" borderId="7" xfId="9" applyFont="1" applyFill="1" applyBorder="1" applyAlignment="1">
      <alignment horizontal="left" vertical="top"/>
    </xf>
    <xf numFmtId="0" fontId="14" fillId="4" borderId="0" xfId="0" applyFont="1" applyFill="1" applyAlignment="1">
      <alignment horizontal="left" vertical="top" wrapText="1"/>
    </xf>
    <xf numFmtId="0" fontId="14" fillId="10" borderId="7" xfId="0" applyFont="1" applyFill="1" applyBorder="1" applyAlignment="1">
      <alignment vertical="top" wrapText="1"/>
    </xf>
    <xf numFmtId="0" fontId="13" fillId="9" borderId="7" xfId="0" applyFont="1" applyFill="1" applyBorder="1" applyAlignment="1">
      <alignment horizontal="center" vertical="center"/>
    </xf>
    <xf numFmtId="0" fontId="14" fillId="0" borderId="7" xfId="0" applyFont="1" applyBorder="1" applyAlignment="1">
      <alignment horizontal="left" vertical="center" wrapText="1"/>
    </xf>
    <xf numFmtId="0" fontId="17" fillId="6" borderId="7" xfId="0" applyFont="1" applyFill="1" applyBorder="1" applyAlignment="1">
      <alignment vertical="center" wrapText="1"/>
    </xf>
    <xf numFmtId="0" fontId="17" fillId="6" borderId="13" xfId="0" applyFont="1" applyFill="1" applyBorder="1" applyAlignment="1">
      <alignment horizontal="left" vertical="center" wrapText="1"/>
    </xf>
    <xf numFmtId="0" fontId="17" fillId="6" borderId="15" xfId="0" applyFont="1" applyFill="1" applyBorder="1" applyAlignment="1">
      <alignment horizontal="left" vertical="center" wrapText="1"/>
    </xf>
    <xf numFmtId="0" fontId="17" fillId="6" borderId="14" xfId="0" applyFont="1" applyFill="1" applyBorder="1" applyAlignment="1">
      <alignment horizontal="left" vertical="center" wrapText="1"/>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49" fontId="0" fillId="0" borderId="7" xfId="0" applyNumberFormat="1" applyBorder="1" applyAlignment="1">
      <alignment horizontal="center" vertical="center"/>
    </xf>
    <xf numFmtId="0" fontId="0" fillId="0" borderId="7"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cellXfs>
  <cellStyles count="12">
    <cellStyle name="좋음" xfId="9" builtinId="26"/>
    <cellStyle name="표준" xfId="0" builtinId="0"/>
    <cellStyle name="표준 10" xfId="10"/>
    <cellStyle name="표준 2" xfId="1"/>
    <cellStyle name="표준 3" xfId="2"/>
    <cellStyle name="표준 3 2" xfId="5"/>
    <cellStyle name="표준 3 3" xfId="7"/>
    <cellStyle name="표준 4" xfId="4"/>
    <cellStyle name="표준 4 2" xfId="6"/>
    <cellStyle name="표준 4 3" xfId="8"/>
    <cellStyle name="표준 4 4" xfId="11"/>
    <cellStyle name="표준 5" xfId="3"/>
  </cellStyles>
  <dxfs count="0"/>
  <tableStyles count="0" defaultTableStyle="TableStyleMedium2" defaultPivotStyle="PivotStyleLight16"/>
  <colors>
    <mruColors>
      <color rgb="FFFF9999"/>
      <color rgb="FFFFCC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4" Type="http://schemas.openxmlformats.org/officeDocument/2006/relationships/printerSettings" Target="../printerSettings/printerSettings14.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2.bin"/><Relationship Id="rId3" Type="http://schemas.openxmlformats.org/officeDocument/2006/relationships/printerSettings" Target="../printerSettings/printerSettings17.bin"/><Relationship Id="rId7" Type="http://schemas.openxmlformats.org/officeDocument/2006/relationships/printerSettings" Target="../printerSettings/printerSettings21.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6" Type="http://schemas.openxmlformats.org/officeDocument/2006/relationships/printerSettings" Target="../printerSettings/printerSettings20.bin"/><Relationship Id="rId5" Type="http://schemas.openxmlformats.org/officeDocument/2006/relationships/printerSettings" Target="../printerSettings/printerSettings19.bin"/><Relationship Id="rId10" Type="http://schemas.openxmlformats.org/officeDocument/2006/relationships/printerSettings" Target="../printerSettings/printerSettings24.bin"/><Relationship Id="rId4" Type="http://schemas.openxmlformats.org/officeDocument/2006/relationships/printerSettings" Target="../printerSettings/printerSettings18.bin"/><Relationship Id="rId9" Type="http://schemas.openxmlformats.org/officeDocument/2006/relationships/printerSettings" Target="../printerSettings/printerSettings23.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32.bin"/><Relationship Id="rId3" Type="http://schemas.openxmlformats.org/officeDocument/2006/relationships/printerSettings" Target="../printerSettings/printerSettings27.bin"/><Relationship Id="rId7" Type="http://schemas.openxmlformats.org/officeDocument/2006/relationships/printerSettings" Target="../printerSettings/printerSettings31.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6" Type="http://schemas.openxmlformats.org/officeDocument/2006/relationships/printerSettings" Target="../printerSettings/printerSettings30.bin"/><Relationship Id="rId5" Type="http://schemas.openxmlformats.org/officeDocument/2006/relationships/printerSettings" Target="../printerSettings/printerSettings29.bin"/><Relationship Id="rId10" Type="http://schemas.openxmlformats.org/officeDocument/2006/relationships/printerSettings" Target="../printerSettings/printerSettings34.bin"/><Relationship Id="rId4" Type="http://schemas.openxmlformats.org/officeDocument/2006/relationships/printerSettings" Target="../printerSettings/printerSettings28.bin"/><Relationship Id="rId9" Type="http://schemas.openxmlformats.org/officeDocument/2006/relationships/printerSettings" Target="../printerSettings/printerSettings33.bin"/></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42.bin"/><Relationship Id="rId3" Type="http://schemas.openxmlformats.org/officeDocument/2006/relationships/printerSettings" Target="../printerSettings/printerSettings37.bin"/><Relationship Id="rId7" Type="http://schemas.openxmlformats.org/officeDocument/2006/relationships/printerSettings" Target="../printerSettings/printerSettings41.bin"/><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 Id="rId6" Type="http://schemas.openxmlformats.org/officeDocument/2006/relationships/printerSettings" Target="../printerSettings/printerSettings40.bin"/><Relationship Id="rId5" Type="http://schemas.openxmlformats.org/officeDocument/2006/relationships/printerSettings" Target="../printerSettings/printerSettings39.bin"/><Relationship Id="rId10" Type="http://schemas.openxmlformats.org/officeDocument/2006/relationships/printerSettings" Target="../printerSettings/printerSettings44.bin"/><Relationship Id="rId4" Type="http://schemas.openxmlformats.org/officeDocument/2006/relationships/printerSettings" Target="../printerSettings/printerSettings38.bin"/><Relationship Id="rId9" Type="http://schemas.openxmlformats.org/officeDocument/2006/relationships/printerSettings" Target="../printerSettings/printerSettings43.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printerSettings" Target="../printerSettings/printerSettings47.bin"/><Relationship Id="rId7" Type="http://schemas.openxmlformats.org/officeDocument/2006/relationships/printerSettings" Target="../printerSettings/printerSettings51.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6" Type="http://schemas.openxmlformats.org/officeDocument/2006/relationships/printerSettings" Target="../printerSettings/printerSettings50.bin"/><Relationship Id="rId5" Type="http://schemas.openxmlformats.org/officeDocument/2006/relationships/printerSettings" Target="../printerSettings/printerSettings49.bin"/><Relationship Id="rId10" Type="http://schemas.openxmlformats.org/officeDocument/2006/relationships/printerSettings" Target="../printerSettings/printerSettings54.bin"/><Relationship Id="rId4" Type="http://schemas.openxmlformats.org/officeDocument/2006/relationships/printerSettings" Target="../printerSettings/printerSettings48.bin"/><Relationship Id="rId9" Type="http://schemas.openxmlformats.org/officeDocument/2006/relationships/printerSettings" Target="../printerSettings/printerSettings53.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62.bin"/><Relationship Id="rId3" Type="http://schemas.openxmlformats.org/officeDocument/2006/relationships/printerSettings" Target="../printerSettings/printerSettings57.bin"/><Relationship Id="rId7" Type="http://schemas.openxmlformats.org/officeDocument/2006/relationships/printerSettings" Target="../printerSettings/printerSettings61.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 Id="rId6" Type="http://schemas.openxmlformats.org/officeDocument/2006/relationships/printerSettings" Target="../printerSettings/printerSettings60.bin"/><Relationship Id="rId5" Type="http://schemas.openxmlformats.org/officeDocument/2006/relationships/printerSettings" Target="../printerSettings/printerSettings59.bin"/><Relationship Id="rId10" Type="http://schemas.openxmlformats.org/officeDocument/2006/relationships/printerSettings" Target="../printerSettings/printerSettings64.bin"/><Relationship Id="rId4" Type="http://schemas.openxmlformats.org/officeDocument/2006/relationships/printerSettings" Target="../printerSettings/printerSettings58.bin"/><Relationship Id="rId9" Type="http://schemas.openxmlformats.org/officeDocument/2006/relationships/printerSettings" Target="../printerSettings/printerSettings6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8"/>
  <sheetViews>
    <sheetView zoomScale="85" zoomScaleNormal="85" workbookViewId="0">
      <selection activeCell="C10" sqref="C10"/>
    </sheetView>
  </sheetViews>
  <sheetFormatPr defaultRowHeight="16.5" x14ac:dyDescent="0.3"/>
  <cols>
    <col min="2" max="2" width="14.625" bestFit="1" customWidth="1"/>
    <col min="3" max="3" width="94.5" customWidth="1"/>
    <col min="4" max="4" width="13.5" customWidth="1"/>
    <col min="5" max="5" width="43.75" customWidth="1"/>
  </cols>
  <sheetData>
    <row r="1" spans="2:3" x14ac:dyDescent="0.3">
      <c r="B1" s="137" t="s">
        <v>196</v>
      </c>
      <c r="C1" s="137"/>
    </row>
    <row r="2" spans="2:3" x14ac:dyDescent="0.3">
      <c r="B2" s="137" t="s">
        <v>197</v>
      </c>
      <c r="C2" s="137" t="s">
        <v>198</v>
      </c>
    </row>
    <row r="3" spans="2:3" ht="54" x14ac:dyDescent="0.3">
      <c r="B3" s="35" t="s">
        <v>199</v>
      </c>
      <c r="C3" s="36" t="s">
        <v>472</v>
      </c>
    </row>
    <row r="4" spans="2:3" x14ac:dyDescent="0.3">
      <c r="B4" s="35" t="s">
        <v>200</v>
      </c>
      <c r="C4" s="37"/>
    </row>
    <row r="5" spans="2:3" ht="67.5" x14ac:dyDescent="0.3">
      <c r="B5" s="35" t="s">
        <v>201</v>
      </c>
      <c r="C5" s="36" t="s">
        <v>473</v>
      </c>
    </row>
    <row r="6" spans="2:3" x14ac:dyDescent="0.3">
      <c r="B6" s="35" t="s">
        <v>202</v>
      </c>
      <c r="C6" s="36" t="s">
        <v>474</v>
      </c>
    </row>
    <row r="7" spans="2:3" ht="40.5" x14ac:dyDescent="0.3">
      <c r="B7" s="35" t="s">
        <v>203</v>
      </c>
      <c r="C7" s="36" t="s">
        <v>214</v>
      </c>
    </row>
    <row r="8" spans="2:3" x14ac:dyDescent="0.3">
      <c r="B8" s="35" t="s">
        <v>204</v>
      </c>
      <c r="C8" s="36"/>
    </row>
    <row r="9" spans="2:3" x14ac:dyDescent="0.3">
      <c r="B9" s="35" t="s">
        <v>205</v>
      </c>
      <c r="C9" s="36"/>
    </row>
    <row r="10" spans="2:3" x14ac:dyDescent="0.3">
      <c r="B10" s="38"/>
      <c r="C10" s="38"/>
    </row>
    <row r="11" spans="2:3" x14ac:dyDescent="0.3">
      <c r="B11" s="137" t="s">
        <v>77</v>
      </c>
      <c r="C11" s="137"/>
    </row>
    <row r="12" spans="2:3" ht="54" customHeight="1" x14ac:dyDescent="0.3">
      <c r="B12" s="138" t="s">
        <v>475</v>
      </c>
      <c r="C12" s="138"/>
    </row>
    <row r="13" spans="2:3" x14ac:dyDescent="0.3">
      <c r="B13" s="38"/>
      <c r="C13" s="38"/>
    </row>
    <row r="14" spans="2:3" x14ac:dyDescent="0.3">
      <c r="B14" s="137" t="s">
        <v>206</v>
      </c>
      <c r="C14" s="137"/>
    </row>
    <row r="15" spans="2:3" ht="40.5" x14ac:dyDescent="0.3">
      <c r="B15" s="39" t="s">
        <v>207</v>
      </c>
      <c r="C15" s="39" t="s">
        <v>208</v>
      </c>
    </row>
    <row r="16" spans="2:3" ht="40.5" x14ac:dyDescent="0.3">
      <c r="B16" s="40" t="s">
        <v>209</v>
      </c>
      <c r="C16" s="41" t="s">
        <v>210</v>
      </c>
    </row>
    <row r="17" spans="2:3" ht="40.5" x14ac:dyDescent="0.3">
      <c r="B17" s="42" t="s">
        <v>211</v>
      </c>
      <c r="C17" s="43" t="s">
        <v>212</v>
      </c>
    </row>
    <row r="18" spans="2:3" ht="40.5" x14ac:dyDescent="0.3">
      <c r="B18" s="44" t="s">
        <v>78</v>
      </c>
      <c r="C18" s="45" t="s">
        <v>213</v>
      </c>
    </row>
  </sheetData>
  <customSheetViews>
    <customSheetView guid="{2EEA926C-3156-4AC6-9229-A7AA2DF955D3}" scale="85">
      <selection activeCell="C10" sqref="C10"/>
      <pageMargins left="0.7" right="0.7" top="0.75" bottom="0.75" header="0.3" footer="0.3"/>
      <pageSetup paperSize="9" orientation="portrait" r:id="rId1"/>
    </customSheetView>
    <customSheetView guid="{2DB1E318-7147-48DF-A27A-64EE5389D79D}" scale="85">
      <selection activeCell="C10" sqref="C10"/>
      <pageMargins left="0.7" right="0.7" top="0.75" bottom="0.75" header="0.3" footer="0.3"/>
      <pageSetup paperSize="9" orientation="portrait" r:id="rId2"/>
    </customSheetView>
    <customSheetView guid="{173D36D5-56F6-4F44-8AEA-1BCCEB5BEB01}" scale="85">
      <selection activeCell="C10" sqref="C10"/>
      <pageMargins left="0.7" right="0.7" top="0.75" bottom="0.75" header="0.3" footer="0.3"/>
      <pageSetup paperSize="9" orientation="portrait" r:id="rId3"/>
    </customSheetView>
    <customSheetView guid="{E54B5D21-78A5-49ED-8A41-5B0BD6CF5BF8}" scale="85">
      <selection activeCell="C10" sqref="C10"/>
      <pageMargins left="0.7" right="0.7" top="0.75" bottom="0.75" header="0.3" footer="0.3"/>
      <pageSetup paperSize="9" orientation="portrait" r:id="rId4"/>
    </customSheetView>
    <customSheetView guid="{118B26FA-458B-4EBF-A611-352DC7919B8F}" scale="85">
      <selection activeCell="B20" sqref="B20"/>
      <pageMargins left="0.7" right="0.7" top="0.75" bottom="0.75" header="0.3" footer="0.3"/>
      <pageSetup paperSize="9" orientation="portrait" r:id="rId5"/>
    </customSheetView>
    <customSheetView guid="{7E89C46F-A64B-40A0-896B-BA6F5B13D9A1}" scale="85">
      <selection activeCell="B13" sqref="B13"/>
      <pageMargins left="0.7" right="0.7" top="0.75" bottom="0.75" header="0.3" footer="0.3"/>
      <pageSetup paperSize="9" orientation="portrait" r:id="rId6"/>
    </customSheetView>
    <customSheetView guid="{A97CC407-D832-4D6B-889F-79EA371F2140}" scale="85">
      <selection activeCell="B20" sqref="B20"/>
      <pageMargins left="0.7" right="0.7" top="0.75" bottom="0.75" header="0.3" footer="0.3"/>
      <pageSetup paperSize="9" orientation="portrait" r:id="rId7"/>
    </customSheetView>
    <customSheetView guid="{B95F8ECF-EE4B-497E-8AFD-61960D2C04DE}" scale="85">
      <selection activeCell="B20" sqref="B20"/>
      <pageMargins left="0.7" right="0.7" top="0.75" bottom="0.75" header="0.3" footer="0.3"/>
      <pageSetup paperSize="9" orientation="portrait" r:id="rId8"/>
    </customSheetView>
    <customSheetView guid="{D1303DE8-82E6-497F-898A-86E0FE4EA44C}" scale="85">
      <selection activeCell="C10" sqref="C10"/>
      <pageMargins left="0.7" right="0.7" top="0.75" bottom="0.75" header="0.3" footer="0.3"/>
      <pageSetup paperSize="9" orientation="portrait" r:id="rId9"/>
    </customSheetView>
  </customSheetViews>
  <mergeCells count="5">
    <mergeCell ref="B14:C14"/>
    <mergeCell ref="B1:C1"/>
    <mergeCell ref="B2:C2"/>
    <mergeCell ref="B11:C11"/>
    <mergeCell ref="B12:C12"/>
  </mergeCells>
  <phoneticPr fontId="7" type="noConversion"/>
  <pageMargins left="0.7" right="0.7" top="0.75" bottom="0.75" header="0.3" footer="0.3"/>
  <pageSetup paperSize="9"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6"/>
  <sheetViews>
    <sheetView zoomScale="85" zoomScaleNormal="85" workbookViewId="0">
      <selection activeCell="I22" sqref="I22"/>
    </sheetView>
  </sheetViews>
  <sheetFormatPr defaultRowHeight="16.5" x14ac:dyDescent="0.3"/>
  <cols>
    <col min="2" max="2" width="11.875" bestFit="1" customWidth="1"/>
    <col min="3" max="3" width="23" customWidth="1"/>
    <col min="4" max="4" width="20.75" customWidth="1"/>
  </cols>
  <sheetData>
    <row r="2" spans="2:4" x14ac:dyDescent="0.3">
      <c r="B2" s="20" t="s">
        <v>60</v>
      </c>
      <c r="C2" s="21"/>
      <c r="D2" s="21"/>
    </row>
    <row r="3" spans="2:4" x14ac:dyDescent="0.3">
      <c r="B3" s="23" t="s">
        <v>61</v>
      </c>
      <c r="C3" s="23" t="s">
        <v>35</v>
      </c>
      <c r="D3" s="23" t="s">
        <v>36</v>
      </c>
    </row>
    <row r="4" spans="2:4" x14ac:dyDescent="0.3">
      <c r="B4" s="139" t="s">
        <v>62</v>
      </c>
      <c r="C4" s="139" t="s">
        <v>37</v>
      </c>
      <c r="D4" s="24" t="s">
        <v>38</v>
      </c>
    </row>
    <row r="5" spans="2:4" x14ac:dyDescent="0.3">
      <c r="B5" s="139"/>
      <c r="C5" s="139"/>
      <c r="D5" s="24" t="s">
        <v>39</v>
      </c>
    </row>
    <row r="6" spans="2:4" x14ac:dyDescent="0.3">
      <c r="B6" s="139"/>
      <c r="C6" s="139"/>
      <c r="D6" s="24" t="s">
        <v>40</v>
      </c>
    </row>
    <row r="7" spans="2:4" x14ac:dyDescent="0.3">
      <c r="B7" s="139"/>
      <c r="C7" s="139"/>
      <c r="D7" s="24" t="s">
        <v>476</v>
      </c>
    </row>
    <row r="8" spans="2:4" x14ac:dyDescent="0.3">
      <c r="B8" s="139"/>
      <c r="C8" s="139"/>
      <c r="D8" s="24" t="s">
        <v>477</v>
      </c>
    </row>
    <row r="9" spans="2:4" x14ac:dyDescent="0.3">
      <c r="B9" s="139" t="s">
        <v>41</v>
      </c>
      <c r="C9" s="139" t="s">
        <v>42</v>
      </c>
      <c r="D9" s="25" t="s">
        <v>43</v>
      </c>
    </row>
    <row r="10" spans="2:4" x14ac:dyDescent="0.3">
      <c r="B10" s="139"/>
      <c r="C10" s="139"/>
      <c r="D10" s="25" t="s">
        <v>44</v>
      </c>
    </row>
    <row r="11" spans="2:4" x14ac:dyDescent="0.3">
      <c r="B11" s="139"/>
      <c r="C11" s="139"/>
      <c r="D11" s="24" t="s">
        <v>45</v>
      </c>
    </row>
    <row r="12" spans="2:4" x14ac:dyDescent="0.3">
      <c r="B12" s="139"/>
      <c r="C12" s="139"/>
      <c r="D12" s="24" t="s">
        <v>46</v>
      </c>
    </row>
    <row r="13" spans="2:4" x14ac:dyDescent="0.3">
      <c r="B13" s="139"/>
      <c r="C13" s="139"/>
      <c r="D13" s="24" t="s">
        <v>47</v>
      </c>
    </row>
    <row r="14" spans="2:4" x14ac:dyDescent="0.3">
      <c r="B14" s="139"/>
      <c r="C14" s="139"/>
      <c r="D14" s="24" t="s">
        <v>478</v>
      </c>
    </row>
    <row r="15" spans="2:4" x14ac:dyDescent="0.3">
      <c r="B15" s="139" t="s">
        <v>48</v>
      </c>
      <c r="C15" s="139" t="s">
        <v>49</v>
      </c>
      <c r="D15" s="24" t="s">
        <v>50</v>
      </c>
    </row>
    <row r="16" spans="2:4" x14ac:dyDescent="0.3">
      <c r="B16" s="139"/>
      <c r="C16" s="139"/>
      <c r="D16" s="24" t="s">
        <v>51</v>
      </c>
    </row>
    <row r="17" spans="2:4" x14ac:dyDescent="0.3">
      <c r="B17" s="139"/>
      <c r="C17" s="139"/>
      <c r="D17" s="24" t="s">
        <v>52</v>
      </c>
    </row>
    <row r="18" spans="2:4" x14ac:dyDescent="0.3">
      <c r="B18" s="139" t="s">
        <v>25</v>
      </c>
      <c r="C18" s="139" t="s">
        <v>53</v>
      </c>
      <c r="D18" s="24" t="s">
        <v>54</v>
      </c>
    </row>
    <row r="19" spans="2:4" x14ac:dyDescent="0.3">
      <c r="B19" s="139"/>
      <c r="C19" s="139"/>
      <c r="D19" s="24" t="s">
        <v>55</v>
      </c>
    </row>
    <row r="20" spans="2:4" x14ac:dyDescent="0.3">
      <c r="B20" s="139"/>
      <c r="C20" s="139"/>
      <c r="D20" s="24" t="s">
        <v>56</v>
      </c>
    </row>
    <row r="21" spans="2:4" x14ac:dyDescent="0.3">
      <c r="B21" s="140" t="s">
        <v>26</v>
      </c>
      <c r="C21" s="139" t="s">
        <v>57</v>
      </c>
      <c r="D21" s="24" t="s">
        <v>58</v>
      </c>
    </row>
    <row r="22" spans="2:4" x14ac:dyDescent="0.3">
      <c r="B22" s="141"/>
      <c r="C22" s="139"/>
      <c r="D22" s="24" t="s">
        <v>59</v>
      </c>
    </row>
    <row r="23" spans="2:4" x14ac:dyDescent="0.3">
      <c r="B23" s="141"/>
      <c r="C23" s="139"/>
      <c r="D23" s="25" t="s">
        <v>63</v>
      </c>
    </row>
    <row r="24" spans="2:4" x14ac:dyDescent="0.3">
      <c r="B24" s="142"/>
      <c r="C24" s="12" t="s">
        <v>64</v>
      </c>
      <c r="D24" s="22">
        <v>11.3</v>
      </c>
    </row>
    <row r="26" spans="2:4" x14ac:dyDescent="0.3">
      <c r="B26" t="s">
        <v>65</v>
      </c>
    </row>
  </sheetData>
  <customSheetViews>
    <customSheetView guid="{2EEA926C-3156-4AC6-9229-A7AA2DF955D3}" scale="85">
      <selection activeCell="I22" sqref="I22"/>
      <pageMargins left="0.7" right="0.7" top="0.75" bottom="0.75" header="0.3" footer="0.3"/>
    </customSheetView>
    <customSheetView guid="{2DB1E318-7147-48DF-A27A-64EE5389D79D}" scale="85">
      <selection activeCell="I22" sqref="I22"/>
      <pageMargins left="0.7" right="0.7" top="0.75" bottom="0.75" header="0.3" footer="0.3"/>
    </customSheetView>
    <customSheetView guid="{173D36D5-56F6-4F44-8AEA-1BCCEB5BEB01}" scale="85">
      <selection activeCell="I22" sqref="I22"/>
      <pageMargins left="0.7" right="0.7" top="0.75" bottom="0.75" header="0.3" footer="0.3"/>
    </customSheetView>
    <customSheetView guid="{E54B5D21-78A5-49ED-8A41-5B0BD6CF5BF8}" scale="85">
      <selection activeCell="I22" sqref="I22"/>
      <pageMargins left="0.7" right="0.7" top="0.75" bottom="0.75" header="0.3" footer="0.3"/>
    </customSheetView>
    <customSheetView guid="{118B26FA-458B-4EBF-A611-352DC7919B8F}" scale="85">
      <selection activeCell="B23" sqref="B23"/>
      <pageMargins left="0.7" right="0.7" top="0.75" bottom="0.75" header="0.3" footer="0.3"/>
    </customSheetView>
    <customSheetView guid="{7E89C46F-A64B-40A0-896B-BA6F5B13D9A1}" scale="85">
      <selection activeCell="B23" sqref="B23"/>
      <pageMargins left="0.7" right="0.7" top="0.75" bottom="0.75" header="0.3" footer="0.3"/>
    </customSheetView>
    <customSheetView guid="{A97CC407-D832-4D6B-889F-79EA371F2140}" scale="85">
      <selection activeCell="B23" sqref="B23"/>
      <pageMargins left="0.7" right="0.7" top="0.75" bottom="0.75" header="0.3" footer="0.3"/>
    </customSheetView>
    <customSheetView guid="{B95F8ECF-EE4B-497E-8AFD-61960D2C04DE}" scale="85">
      <selection activeCell="B23" sqref="B23"/>
      <pageMargins left="0.7" right="0.7" top="0.75" bottom="0.75" header="0.3" footer="0.3"/>
    </customSheetView>
    <customSheetView guid="{D1303DE8-82E6-497F-898A-86E0FE4EA44C}" scale="85">
      <selection activeCell="I22" sqref="I22"/>
      <pageMargins left="0.7" right="0.7" top="0.75" bottom="0.75" header="0.3" footer="0.3"/>
    </customSheetView>
  </customSheetViews>
  <mergeCells count="10">
    <mergeCell ref="B18:B20"/>
    <mergeCell ref="C18:C20"/>
    <mergeCell ref="C21:C23"/>
    <mergeCell ref="B21:B24"/>
    <mergeCell ref="B4:B8"/>
    <mergeCell ref="C4:C8"/>
    <mergeCell ref="B9:B14"/>
    <mergeCell ref="C9:C14"/>
    <mergeCell ref="B15:B17"/>
    <mergeCell ref="C15:C17"/>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56"/>
  <sheetViews>
    <sheetView zoomScale="80" zoomScaleNormal="80" workbookViewId="0">
      <selection activeCell="R4" sqref="R4:R53"/>
    </sheetView>
  </sheetViews>
  <sheetFormatPr defaultRowHeight="16.5" x14ac:dyDescent="0.3"/>
  <cols>
    <col min="2" max="2" width="9.875" bestFit="1" customWidth="1"/>
    <col min="3" max="3" width="15.125" customWidth="1"/>
    <col min="4" max="4" width="82.375" customWidth="1"/>
    <col min="5" max="5" width="10.25" bestFit="1" customWidth="1"/>
    <col min="6" max="6" width="15.5" bestFit="1" customWidth="1"/>
    <col min="7" max="7" width="13.75" bestFit="1" customWidth="1"/>
    <col min="8" max="8" width="11.5" bestFit="1" customWidth="1"/>
    <col min="9" max="9" width="9.625" bestFit="1" customWidth="1"/>
    <col min="10" max="10" width="12.125" bestFit="1" customWidth="1"/>
    <col min="11" max="11" width="11.375" bestFit="1" customWidth="1"/>
    <col min="13" max="13" width="10.125" bestFit="1" customWidth="1"/>
    <col min="14" max="14" width="16.375" bestFit="1" customWidth="1"/>
    <col min="15" max="15" width="81.5" customWidth="1"/>
    <col min="16" max="16" width="10.25" bestFit="1" customWidth="1"/>
    <col min="17" max="17" width="15.5" bestFit="1" customWidth="1"/>
    <col min="18" max="18" width="13.75" bestFit="1" customWidth="1"/>
    <col min="19" max="19" width="14.25" bestFit="1" customWidth="1"/>
  </cols>
  <sheetData>
    <row r="2" spans="2:19" ht="18" thickBot="1" x14ac:dyDescent="0.35">
      <c r="D2" s="17" t="s">
        <v>31</v>
      </c>
      <c r="O2" s="17" t="s">
        <v>32</v>
      </c>
    </row>
    <row r="3" spans="2:19" x14ac:dyDescent="0.3">
      <c r="B3" s="75" t="s">
        <v>578</v>
      </c>
      <c r="C3" s="19" t="s">
        <v>579</v>
      </c>
      <c r="D3" s="19" t="s">
        <v>33</v>
      </c>
      <c r="E3" s="76" t="s">
        <v>580</v>
      </c>
      <c r="F3" s="76" t="s">
        <v>581</v>
      </c>
      <c r="G3" s="76" t="s">
        <v>582</v>
      </c>
      <c r="H3" s="76" t="s">
        <v>583</v>
      </c>
      <c r="I3" s="76" t="s">
        <v>584</v>
      </c>
      <c r="J3" s="76" t="s">
        <v>585</v>
      </c>
      <c r="K3" s="77" t="s">
        <v>643</v>
      </c>
      <c r="L3" s="38"/>
      <c r="M3" s="18" t="s">
        <v>684</v>
      </c>
      <c r="N3" s="19" t="s">
        <v>34</v>
      </c>
      <c r="O3" s="19" t="s">
        <v>33</v>
      </c>
      <c r="P3" s="76" t="s">
        <v>580</v>
      </c>
      <c r="Q3" s="76" t="s">
        <v>581</v>
      </c>
      <c r="R3" s="76" t="s">
        <v>582</v>
      </c>
      <c r="S3" s="77" t="s">
        <v>602</v>
      </c>
    </row>
    <row r="4" spans="2:19" x14ac:dyDescent="0.3">
      <c r="B4" s="78">
        <v>1</v>
      </c>
      <c r="C4" s="57" t="s">
        <v>98</v>
      </c>
      <c r="D4" s="57" t="s">
        <v>603</v>
      </c>
      <c r="E4" s="79" t="s">
        <v>530</v>
      </c>
      <c r="F4" s="80" t="s">
        <v>733</v>
      </c>
      <c r="G4" s="80" t="s">
        <v>575</v>
      </c>
      <c r="H4" s="80" t="s">
        <v>644</v>
      </c>
      <c r="I4" s="80" t="s">
        <v>644</v>
      </c>
      <c r="J4" s="80" t="s">
        <v>644</v>
      </c>
      <c r="K4" s="81" t="s">
        <v>644</v>
      </c>
      <c r="L4" s="38"/>
      <c r="M4" s="70">
        <v>1</v>
      </c>
      <c r="N4" s="46" t="s">
        <v>98</v>
      </c>
      <c r="O4" s="46" t="s">
        <v>603</v>
      </c>
      <c r="P4" s="79" t="s">
        <v>696</v>
      </c>
      <c r="Q4" s="80" t="s">
        <v>733</v>
      </c>
      <c r="R4" s="80" t="s">
        <v>575</v>
      </c>
      <c r="S4" s="81" t="s">
        <v>685</v>
      </c>
    </row>
    <row r="5" spans="2:19" x14ac:dyDescent="0.3">
      <c r="B5" s="78">
        <v>2</v>
      </c>
      <c r="C5" s="57" t="s">
        <v>98</v>
      </c>
      <c r="D5" s="57" t="s">
        <v>604</v>
      </c>
      <c r="E5" s="79" t="s">
        <v>12</v>
      </c>
      <c r="F5" s="80" t="s">
        <v>733</v>
      </c>
      <c r="G5" s="80" t="s">
        <v>575</v>
      </c>
      <c r="H5" s="80" t="s">
        <v>644</v>
      </c>
      <c r="I5" s="80" t="s">
        <v>644</v>
      </c>
      <c r="J5" s="80" t="s">
        <v>644</v>
      </c>
      <c r="K5" s="81" t="s">
        <v>644</v>
      </c>
      <c r="L5" s="38"/>
      <c r="M5" s="70">
        <v>2</v>
      </c>
      <c r="N5" s="46" t="s">
        <v>98</v>
      </c>
      <c r="O5" s="46" t="s">
        <v>604</v>
      </c>
      <c r="P5" s="79" t="s">
        <v>697</v>
      </c>
      <c r="Q5" s="80" t="s">
        <v>733</v>
      </c>
      <c r="R5" s="80" t="s">
        <v>575</v>
      </c>
      <c r="S5" s="81" t="s">
        <v>685</v>
      </c>
    </row>
    <row r="6" spans="2:19" x14ac:dyDescent="0.3">
      <c r="B6" s="78">
        <v>3</v>
      </c>
      <c r="C6" s="64" t="s">
        <v>99</v>
      </c>
      <c r="D6" s="64" t="s">
        <v>605</v>
      </c>
      <c r="E6" s="79" t="s">
        <v>494</v>
      </c>
      <c r="F6" s="80" t="s">
        <v>733</v>
      </c>
      <c r="G6" s="80" t="s">
        <v>575</v>
      </c>
      <c r="H6" s="80" t="s">
        <v>644</v>
      </c>
      <c r="I6" s="80" t="s">
        <v>644</v>
      </c>
      <c r="J6" s="80" t="s">
        <v>644</v>
      </c>
      <c r="K6" s="81" t="s">
        <v>644</v>
      </c>
      <c r="L6" s="38"/>
      <c r="M6" s="71">
        <v>3</v>
      </c>
      <c r="N6" s="64" t="s">
        <v>98</v>
      </c>
      <c r="O6" s="64" t="s">
        <v>605</v>
      </c>
      <c r="P6" s="79" t="s">
        <v>698</v>
      </c>
      <c r="Q6" s="80" t="s">
        <v>733</v>
      </c>
      <c r="R6" s="80" t="s">
        <v>575</v>
      </c>
      <c r="S6" s="81" t="s">
        <v>685</v>
      </c>
    </row>
    <row r="7" spans="2:19" x14ac:dyDescent="0.3">
      <c r="B7" s="78">
        <v>4</v>
      </c>
      <c r="C7" s="57" t="s">
        <v>98</v>
      </c>
      <c r="D7" s="57" t="s">
        <v>606</v>
      </c>
      <c r="E7" s="79" t="s">
        <v>535</v>
      </c>
      <c r="F7" s="80" t="s">
        <v>733</v>
      </c>
      <c r="G7" s="80" t="s">
        <v>586</v>
      </c>
      <c r="H7" s="80" t="s">
        <v>644</v>
      </c>
      <c r="I7" s="80" t="s">
        <v>644</v>
      </c>
      <c r="J7" s="82"/>
      <c r="K7" s="81" t="s">
        <v>644</v>
      </c>
      <c r="L7" s="38"/>
      <c r="M7" s="70">
        <v>4</v>
      </c>
      <c r="N7" s="46" t="s">
        <v>99</v>
      </c>
      <c r="O7" s="46" t="s">
        <v>645</v>
      </c>
      <c r="P7" s="79" t="s">
        <v>699</v>
      </c>
      <c r="Q7" s="80" t="s">
        <v>733</v>
      </c>
      <c r="R7" s="80" t="s">
        <v>586</v>
      </c>
      <c r="S7" s="81" t="s">
        <v>685</v>
      </c>
    </row>
    <row r="8" spans="2:19" x14ac:dyDescent="0.3">
      <c r="B8" s="78">
        <v>5</v>
      </c>
      <c r="C8" s="57" t="s">
        <v>98</v>
      </c>
      <c r="D8" s="68" t="s">
        <v>734</v>
      </c>
      <c r="E8" s="38" t="s">
        <v>736</v>
      </c>
      <c r="F8" s="80" t="s">
        <v>733</v>
      </c>
      <c r="G8" s="80" t="s">
        <v>586</v>
      </c>
      <c r="H8" s="82"/>
      <c r="I8" s="82"/>
      <c r="J8" s="80" t="s">
        <v>644</v>
      </c>
      <c r="K8" s="83"/>
      <c r="L8" s="38"/>
      <c r="M8" s="70">
        <v>5</v>
      </c>
      <c r="N8" s="46" t="s">
        <v>99</v>
      </c>
      <c r="O8" s="46" t="s">
        <v>646</v>
      </c>
      <c r="P8" s="79" t="s">
        <v>700</v>
      </c>
      <c r="Q8" s="80" t="s">
        <v>733</v>
      </c>
      <c r="R8" s="80" t="s">
        <v>586</v>
      </c>
      <c r="S8" s="81" t="s">
        <v>685</v>
      </c>
    </row>
    <row r="9" spans="2:19" x14ac:dyDescent="0.3">
      <c r="B9" s="78">
        <v>6</v>
      </c>
      <c r="C9" s="57" t="s">
        <v>98</v>
      </c>
      <c r="D9" s="57" t="s">
        <v>607</v>
      </c>
      <c r="E9" s="79" t="s">
        <v>534</v>
      </c>
      <c r="F9" s="80" t="s">
        <v>733</v>
      </c>
      <c r="G9" s="80" t="s">
        <v>586</v>
      </c>
      <c r="H9" s="80" t="s">
        <v>644</v>
      </c>
      <c r="I9" s="80" t="s">
        <v>644</v>
      </c>
      <c r="J9" s="80" t="s">
        <v>644</v>
      </c>
      <c r="K9" s="81" t="s">
        <v>644</v>
      </c>
      <c r="L9" s="38"/>
      <c r="M9" s="71">
        <v>6</v>
      </c>
      <c r="N9" s="46" t="s">
        <v>99</v>
      </c>
      <c r="O9" s="46" t="s">
        <v>647</v>
      </c>
      <c r="P9" s="79" t="s">
        <v>701</v>
      </c>
      <c r="Q9" s="80" t="s">
        <v>733</v>
      </c>
      <c r="R9" s="80" t="s">
        <v>587</v>
      </c>
      <c r="S9" s="81" t="s">
        <v>685</v>
      </c>
    </row>
    <row r="10" spans="2:19" x14ac:dyDescent="0.3">
      <c r="B10" s="78">
        <v>7</v>
      </c>
      <c r="C10" s="57" t="s">
        <v>98</v>
      </c>
      <c r="D10" s="57" t="s">
        <v>608</v>
      </c>
      <c r="E10" s="79" t="s">
        <v>534</v>
      </c>
      <c r="F10" s="80" t="s">
        <v>733</v>
      </c>
      <c r="G10" s="80" t="s">
        <v>587</v>
      </c>
      <c r="H10" s="80" t="s">
        <v>644</v>
      </c>
      <c r="I10" s="80" t="s">
        <v>644</v>
      </c>
      <c r="J10" s="80" t="s">
        <v>644</v>
      </c>
      <c r="K10" s="81" t="s">
        <v>644</v>
      </c>
      <c r="L10" s="38"/>
      <c r="M10" s="70">
        <v>7</v>
      </c>
      <c r="N10" s="46" t="s">
        <v>99</v>
      </c>
      <c r="O10" s="46" t="s">
        <v>648</v>
      </c>
      <c r="P10" s="79" t="s">
        <v>702</v>
      </c>
      <c r="Q10" s="80" t="s">
        <v>733</v>
      </c>
      <c r="R10" s="80" t="s">
        <v>587</v>
      </c>
      <c r="S10" s="81" t="s">
        <v>685</v>
      </c>
    </row>
    <row r="11" spans="2:19" x14ac:dyDescent="0.3">
      <c r="B11" s="78">
        <v>8</v>
      </c>
      <c r="C11" s="57" t="s">
        <v>98</v>
      </c>
      <c r="D11" s="57" t="s">
        <v>609</v>
      </c>
      <c r="E11" s="79" t="s">
        <v>534</v>
      </c>
      <c r="F11" s="80" t="s">
        <v>733</v>
      </c>
      <c r="G11" s="80" t="s">
        <v>587</v>
      </c>
      <c r="H11" s="80" t="s">
        <v>644</v>
      </c>
      <c r="I11" s="80" t="s">
        <v>644</v>
      </c>
      <c r="J11" s="80" t="s">
        <v>644</v>
      </c>
      <c r="K11" s="81" t="s">
        <v>644</v>
      </c>
      <c r="L11" s="38"/>
      <c r="M11" s="70">
        <v>8</v>
      </c>
      <c r="N11" s="46" t="s">
        <v>99</v>
      </c>
      <c r="O11" s="46" t="s">
        <v>649</v>
      </c>
      <c r="P11" s="79" t="s">
        <v>703</v>
      </c>
      <c r="Q11" s="80" t="s">
        <v>733</v>
      </c>
      <c r="R11" s="80" t="s">
        <v>588</v>
      </c>
      <c r="S11" s="81" t="s">
        <v>685</v>
      </c>
    </row>
    <row r="12" spans="2:19" x14ac:dyDescent="0.3">
      <c r="B12" s="78">
        <v>9</v>
      </c>
      <c r="C12" s="57" t="s">
        <v>98</v>
      </c>
      <c r="D12" s="57" t="s">
        <v>610</v>
      </c>
      <c r="E12" s="79" t="s">
        <v>534</v>
      </c>
      <c r="F12" s="80" t="s">
        <v>733</v>
      </c>
      <c r="G12" s="80" t="s">
        <v>587</v>
      </c>
      <c r="H12" s="80" t="s">
        <v>644</v>
      </c>
      <c r="I12" s="80" t="s">
        <v>644</v>
      </c>
      <c r="J12" s="80" t="s">
        <v>644</v>
      </c>
      <c r="K12" s="81" t="s">
        <v>644</v>
      </c>
      <c r="L12" s="38"/>
      <c r="M12" s="71">
        <v>9</v>
      </c>
      <c r="N12" s="46" t="s">
        <v>99</v>
      </c>
      <c r="O12" s="46" t="s">
        <v>650</v>
      </c>
      <c r="P12" s="79" t="s">
        <v>704</v>
      </c>
      <c r="Q12" s="80" t="s">
        <v>733</v>
      </c>
      <c r="R12" s="80" t="s">
        <v>588</v>
      </c>
      <c r="S12" s="81" t="s">
        <v>685</v>
      </c>
    </row>
    <row r="13" spans="2:19" x14ac:dyDescent="0.3">
      <c r="B13" s="78">
        <v>10</v>
      </c>
      <c r="C13" s="57" t="s">
        <v>98</v>
      </c>
      <c r="D13" s="57" t="s">
        <v>611</v>
      </c>
      <c r="E13" s="79" t="s">
        <v>686</v>
      </c>
      <c r="F13" s="80" t="s">
        <v>733</v>
      </c>
      <c r="G13" s="80" t="s">
        <v>588</v>
      </c>
      <c r="H13" s="80" t="s">
        <v>644</v>
      </c>
      <c r="I13" s="82"/>
      <c r="J13" s="80" t="s">
        <v>644</v>
      </c>
      <c r="K13" s="81" t="s">
        <v>644</v>
      </c>
      <c r="L13" s="38"/>
      <c r="M13" s="70">
        <v>10</v>
      </c>
      <c r="N13" s="46" t="s">
        <v>99</v>
      </c>
      <c r="O13" s="46" t="s">
        <v>651</v>
      </c>
      <c r="P13" s="79" t="s">
        <v>705</v>
      </c>
      <c r="Q13" s="80" t="s">
        <v>733</v>
      </c>
      <c r="R13" s="80" t="s">
        <v>588</v>
      </c>
      <c r="S13" s="81" t="s">
        <v>685</v>
      </c>
    </row>
    <row r="14" spans="2:19" x14ac:dyDescent="0.3">
      <c r="B14" s="78">
        <v>11</v>
      </c>
      <c r="C14" s="57" t="s">
        <v>98</v>
      </c>
      <c r="D14" s="68" t="s">
        <v>737</v>
      </c>
      <c r="E14" s="89" t="s">
        <v>738</v>
      </c>
      <c r="F14" s="80" t="s">
        <v>733</v>
      </c>
      <c r="G14" s="80" t="s">
        <v>588</v>
      </c>
      <c r="H14" s="82"/>
      <c r="I14" s="80" t="s">
        <v>644</v>
      </c>
      <c r="J14" s="82"/>
      <c r="K14" s="83"/>
      <c r="L14" s="38"/>
      <c r="M14" s="70">
        <v>11</v>
      </c>
      <c r="N14" s="46" t="s">
        <v>99</v>
      </c>
      <c r="O14" s="46" t="s">
        <v>652</v>
      </c>
      <c r="P14" s="79" t="s">
        <v>706</v>
      </c>
      <c r="Q14" s="80" t="s">
        <v>733</v>
      </c>
      <c r="R14" s="80" t="s">
        <v>590</v>
      </c>
      <c r="S14" s="81" t="s">
        <v>685</v>
      </c>
    </row>
    <row r="15" spans="2:19" x14ac:dyDescent="0.3">
      <c r="B15" s="78">
        <v>12</v>
      </c>
      <c r="C15" s="57" t="s">
        <v>98</v>
      </c>
      <c r="D15" s="57" t="s">
        <v>612</v>
      </c>
      <c r="E15" s="79" t="s">
        <v>13</v>
      </c>
      <c r="F15" s="80" t="s">
        <v>733</v>
      </c>
      <c r="G15" s="80" t="s">
        <v>590</v>
      </c>
      <c r="H15" s="80" t="s">
        <v>644</v>
      </c>
      <c r="I15" s="80" t="s">
        <v>644</v>
      </c>
      <c r="J15" s="80" t="s">
        <v>644</v>
      </c>
      <c r="K15" s="81" t="s">
        <v>644</v>
      </c>
      <c r="L15" s="38"/>
      <c r="M15" s="71">
        <v>12</v>
      </c>
      <c r="N15" s="46" t="s">
        <v>99</v>
      </c>
      <c r="O15" s="46" t="s">
        <v>653</v>
      </c>
      <c r="P15" s="79" t="s">
        <v>707</v>
      </c>
      <c r="Q15" s="80" t="s">
        <v>733</v>
      </c>
      <c r="R15" s="80" t="s">
        <v>590</v>
      </c>
      <c r="S15" s="81" t="s">
        <v>685</v>
      </c>
    </row>
    <row r="16" spans="2:19" x14ac:dyDescent="0.3">
      <c r="B16" s="78">
        <v>13</v>
      </c>
      <c r="C16" s="57" t="s">
        <v>98</v>
      </c>
      <c r="D16" s="57" t="s">
        <v>613</v>
      </c>
      <c r="E16" s="79" t="s">
        <v>13</v>
      </c>
      <c r="F16" s="80" t="s">
        <v>733</v>
      </c>
      <c r="G16" s="80" t="s">
        <v>590</v>
      </c>
      <c r="H16" s="80" t="s">
        <v>644</v>
      </c>
      <c r="I16" s="80" t="s">
        <v>644</v>
      </c>
      <c r="J16" s="80" t="s">
        <v>644</v>
      </c>
      <c r="K16" s="81" t="s">
        <v>644</v>
      </c>
      <c r="L16" s="38"/>
      <c r="M16" s="70">
        <v>13</v>
      </c>
      <c r="N16" s="46" t="s">
        <v>99</v>
      </c>
      <c r="O16" s="46" t="s">
        <v>654</v>
      </c>
      <c r="P16" s="79" t="s">
        <v>708</v>
      </c>
      <c r="Q16" s="80" t="s">
        <v>733</v>
      </c>
      <c r="R16" s="80" t="s">
        <v>589</v>
      </c>
      <c r="S16" s="81" t="s">
        <v>685</v>
      </c>
    </row>
    <row r="17" spans="2:19" x14ac:dyDescent="0.3">
      <c r="B17" s="78">
        <v>14</v>
      </c>
      <c r="C17" s="57" t="s">
        <v>98</v>
      </c>
      <c r="D17" s="57" t="s">
        <v>614</v>
      </c>
      <c r="E17" s="79" t="s">
        <v>13</v>
      </c>
      <c r="F17" s="80" t="s">
        <v>733</v>
      </c>
      <c r="G17" s="80" t="s">
        <v>590</v>
      </c>
      <c r="H17" s="80" t="s">
        <v>644</v>
      </c>
      <c r="I17" s="80" t="s">
        <v>644</v>
      </c>
      <c r="J17" s="80" t="s">
        <v>644</v>
      </c>
      <c r="K17" s="81" t="s">
        <v>644</v>
      </c>
      <c r="L17" s="38"/>
      <c r="M17" s="70">
        <v>14</v>
      </c>
      <c r="N17" s="46" t="s">
        <v>99</v>
      </c>
      <c r="O17" s="46" t="s">
        <v>655</v>
      </c>
      <c r="P17" s="79" t="s">
        <v>709</v>
      </c>
      <c r="Q17" s="80" t="s">
        <v>733</v>
      </c>
      <c r="R17" s="80" t="s">
        <v>591</v>
      </c>
      <c r="S17" s="81" t="s">
        <v>685</v>
      </c>
    </row>
    <row r="18" spans="2:19" x14ac:dyDescent="0.3">
      <c r="B18" s="78">
        <v>15</v>
      </c>
      <c r="C18" s="57" t="s">
        <v>98</v>
      </c>
      <c r="D18" s="57" t="s">
        <v>615</v>
      </c>
      <c r="E18" s="79" t="s">
        <v>13</v>
      </c>
      <c r="F18" s="80" t="s">
        <v>733</v>
      </c>
      <c r="G18" s="80" t="s">
        <v>590</v>
      </c>
      <c r="H18" s="80" t="s">
        <v>644</v>
      </c>
      <c r="I18" s="80" t="s">
        <v>644</v>
      </c>
      <c r="J18" s="80" t="s">
        <v>644</v>
      </c>
      <c r="K18" s="81" t="s">
        <v>644</v>
      </c>
      <c r="L18" s="38"/>
      <c r="M18" s="71">
        <v>15</v>
      </c>
      <c r="N18" s="46" t="s">
        <v>99</v>
      </c>
      <c r="O18" s="46" t="s">
        <v>656</v>
      </c>
      <c r="P18" s="79" t="s">
        <v>710</v>
      </c>
      <c r="Q18" s="80" t="s">
        <v>733</v>
      </c>
      <c r="R18" s="80" t="s">
        <v>591</v>
      </c>
      <c r="S18" s="81" t="s">
        <v>685</v>
      </c>
    </row>
    <row r="19" spans="2:19" x14ac:dyDescent="0.3">
      <c r="B19" s="78">
        <v>16</v>
      </c>
      <c r="C19" s="57" t="s">
        <v>98</v>
      </c>
      <c r="D19" s="57" t="s">
        <v>616</v>
      </c>
      <c r="E19" s="79" t="s">
        <v>13</v>
      </c>
      <c r="F19" s="80" t="s">
        <v>733</v>
      </c>
      <c r="G19" s="80" t="s">
        <v>590</v>
      </c>
      <c r="H19" s="80" t="s">
        <v>644</v>
      </c>
      <c r="I19" s="80" t="s">
        <v>644</v>
      </c>
      <c r="J19" s="80" t="s">
        <v>644</v>
      </c>
      <c r="K19" s="81" t="s">
        <v>644</v>
      </c>
      <c r="L19" s="38"/>
      <c r="M19" s="70">
        <v>16</v>
      </c>
      <c r="N19" s="46" t="s">
        <v>99</v>
      </c>
      <c r="O19" s="46" t="s">
        <v>657</v>
      </c>
      <c r="P19" s="79" t="s">
        <v>711</v>
      </c>
      <c r="Q19" s="80" t="s">
        <v>733</v>
      </c>
      <c r="R19" s="80" t="s">
        <v>591</v>
      </c>
      <c r="S19" s="81" t="s">
        <v>685</v>
      </c>
    </row>
    <row r="20" spans="2:19" x14ac:dyDescent="0.3">
      <c r="B20" s="78">
        <v>17</v>
      </c>
      <c r="C20" s="57" t="s">
        <v>98</v>
      </c>
      <c r="D20" s="57" t="s">
        <v>617</v>
      </c>
      <c r="E20" s="79" t="s">
        <v>13</v>
      </c>
      <c r="F20" s="80" t="s">
        <v>733</v>
      </c>
      <c r="G20" s="80" t="s">
        <v>590</v>
      </c>
      <c r="H20" s="80" t="s">
        <v>644</v>
      </c>
      <c r="I20" s="80" t="s">
        <v>644</v>
      </c>
      <c r="J20" s="80" t="s">
        <v>644</v>
      </c>
      <c r="K20" s="81" t="s">
        <v>644</v>
      </c>
      <c r="L20" s="38"/>
      <c r="M20" s="70">
        <v>17</v>
      </c>
      <c r="N20" s="46" t="s">
        <v>99</v>
      </c>
      <c r="O20" s="46" t="s">
        <v>658</v>
      </c>
      <c r="P20" s="79" t="s">
        <v>17</v>
      </c>
      <c r="Q20" s="80" t="s">
        <v>733</v>
      </c>
      <c r="R20" s="80" t="s">
        <v>591</v>
      </c>
      <c r="S20" s="81" t="s">
        <v>685</v>
      </c>
    </row>
    <row r="21" spans="2:19" x14ac:dyDescent="0.3">
      <c r="B21" s="78">
        <v>18</v>
      </c>
      <c r="C21" s="57" t="s">
        <v>98</v>
      </c>
      <c r="D21" s="57" t="s">
        <v>618</v>
      </c>
      <c r="E21" s="79" t="s">
        <v>13</v>
      </c>
      <c r="F21" s="80" t="s">
        <v>733</v>
      </c>
      <c r="G21" s="80" t="s">
        <v>590</v>
      </c>
      <c r="H21" s="80" t="s">
        <v>644</v>
      </c>
      <c r="I21" s="80" t="s">
        <v>644</v>
      </c>
      <c r="J21" s="80" t="s">
        <v>644</v>
      </c>
      <c r="K21" s="81" t="s">
        <v>644</v>
      </c>
      <c r="L21" s="38"/>
      <c r="M21" s="71">
        <v>18</v>
      </c>
      <c r="N21" s="46" t="s">
        <v>99</v>
      </c>
      <c r="O21" s="46" t="s">
        <v>659</v>
      </c>
      <c r="P21" s="79" t="s">
        <v>18</v>
      </c>
      <c r="Q21" s="80" t="s">
        <v>733</v>
      </c>
      <c r="R21" s="80" t="s">
        <v>591</v>
      </c>
      <c r="S21" s="81" t="s">
        <v>685</v>
      </c>
    </row>
    <row r="22" spans="2:19" x14ac:dyDescent="0.3">
      <c r="B22" s="78">
        <v>19</v>
      </c>
      <c r="C22" s="57" t="s">
        <v>98</v>
      </c>
      <c r="D22" s="57" t="s">
        <v>619</v>
      </c>
      <c r="E22" s="79" t="s">
        <v>13</v>
      </c>
      <c r="F22" s="80" t="s">
        <v>733</v>
      </c>
      <c r="G22" s="80" t="s">
        <v>590</v>
      </c>
      <c r="H22" s="80" t="s">
        <v>644</v>
      </c>
      <c r="I22" s="80" t="s">
        <v>644</v>
      </c>
      <c r="J22" s="80" t="s">
        <v>644</v>
      </c>
      <c r="K22" s="81" t="s">
        <v>644</v>
      </c>
      <c r="L22" s="38"/>
      <c r="M22" s="70">
        <v>19</v>
      </c>
      <c r="N22" s="46" t="s">
        <v>99</v>
      </c>
      <c r="O22" s="46" t="s">
        <v>660</v>
      </c>
      <c r="P22" s="79" t="s">
        <v>712</v>
      </c>
      <c r="Q22" s="80" t="s">
        <v>733</v>
      </c>
      <c r="R22" s="80" t="s">
        <v>591</v>
      </c>
      <c r="S22" s="81" t="s">
        <v>685</v>
      </c>
    </row>
    <row r="23" spans="2:19" x14ac:dyDescent="0.3">
      <c r="B23" s="78">
        <v>20</v>
      </c>
      <c r="C23" s="57" t="s">
        <v>98</v>
      </c>
      <c r="D23" s="57" t="s">
        <v>620</v>
      </c>
      <c r="E23" s="79" t="s">
        <v>13</v>
      </c>
      <c r="F23" s="80" t="s">
        <v>733</v>
      </c>
      <c r="G23" s="80" t="s">
        <v>590</v>
      </c>
      <c r="H23" s="80" t="s">
        <v>644</v>
      </c>
      <c r="I23" s="80" t="s">
        <v>644</v>
      </c>
      <c r="J23" s="80" t="s">
        <v>644</v>
      </c>
      <c r="K23" s="81" t="s">
        <v>644</v>
      </c>
      <c r="L23" s="38"/>
      <c r="M23" s="70">
        <v>20</v>
      </c>
      <c r="N23" s="46" t="s">
        <v>99</v>
      </c>
      <c r="O23" s="46" t="s">
        <v>661</v>
      </c>
      <c r="P23" s="79" t="s">
        <v>713</v>
      </c>
      <c r="Q23" s="80" t="s">
        <v>733</v>
      </c>
      <c r="R23" s="80" t="s">
        <v>591</v>
      </c>
      <c r="S23" s="81" t="s">
        <v>685</v>
      </c>
    </row>
    <row r="24" spans="2:19" x14ac:dyDescent="0.3">
      <c r="B24" s="78">
        <v>21</v>
      </c>
      <c r="C24" s="57" t="s">
        <v>98</v>
      </c>
      <c r="D24" s="57" t="s">
        <v>621</v>
      </c>
      <c r="E24" s="79" t="s">
        <v>13</v>
      </c>
      <c r="F24" s="80" t="s">
        <v>733</v>
      </c>
      <c r="G24" s="80" t="s">
        <v>590</v>
      </c>
      <c r="H24" s="80" t="s">
        <v>644</v>
      </c>
      <c r="I24" s="80" t="s">
        <v>644</v>
      </c>
      <c r="J24" s="80" t="s">
        <v>644</v>
      </c>
      <c r="K24" s="81" t="s">
        <v>644</v>
      </c>
      <c r="L24" s="38"/>
      <c r="M24" s="71">
        <v>21</v>
      </c>
      <c r="N24" s="46" t="s">
        <v>99</v>
      </c>
      <c r="O24" s="46" t="s">
        <v>662</v>
      </c>
      <c r="P24" s="79" t="s">
        <v>714</v>
      </c>
      <c r="Q24" s="80" t="s">
        <v>733</v>
      </c>
      <c r="R24" s="80" t="s">
        <v>592</v>
      </c>
      <c r="S24" s="81" t="s">
        <v>685</v>
      </c>
    </row>
    <row r="25" spans="2:19" x14ac:dyDescent="0.3">
      <c r="B25" s="78">
        <v>22</v>
      </c>
      <c r="C25" s="57" t="s">
        <v>98</v>
      </c>
      <c r="D25" s="57" t="s">
        <v>622</v>
      </c>
      <c r="E25" s="79" t="s">
        <v>13</v>
      </c>
      <c r="F25" s="80" t="s">
        <v>733</v>
      </c>
      <c r="G25" s="80" t="s">
        <v>590</v>
      </c>
      <c r="H25" s="80" t="s">
        <v>644</v>
      </c>
      <c r="I25" s="80" t="s">
        <v>644</v>
      </c>
      <c r="J25" s="80" t="s">
        <v>644</v>
      </c>
      <c r="K25" s="81" t="s">
        <v>644</v>
      </c>
      <c r="L25" s="38"/>
      <c r="M25" s="70">
        <v>22</v>
      </c>
      <c r="N25" s="46" t="s">
        <v>99</v>
      </c>
      <c r="O25" s="46" t="s">
        <v>663</v>
      </c>
      <c r="P25" s="79" t="s">
        <v>715</v>
      </c>
      <c r="Q25" s="80" t="s">
        <v>733</v>
      </c>
      <c r="R25" s="80" t="s">
        <v>592</v>
      </c>
      <c r="S25" s="81" t="s">
        <v>685</v>
      </c>
    </row>
    <row r="26" spans="2:19" x14ac:dyDescent="0.3">
      <c r="B26" s="78">
        <v>23</v>
      </c>
      <c r="C26" s="57" t="s">
        <v>98</v>
      </c>
      <c r="D26" s="57" t="s">
        <v>623</v>
      </c>
      <c r="E26" s="79" t="s">
        <v>13</v>
      </c>
      <c r="F26" s="80" t="s">
        <v>733</v>
      </c>
      <c r="G26" s="80" t="s">
        <v>590</v>
      </c>
      <c r="H26" s="80" t="s">
        <v>644</v>
      </c>
      <c r="I26" s="80" t="s">
        <v>644</v>
      </c>
      <c r="J26" s="80" t="s">
        <v>644</v>
      </c>
      <c r="K26" s="81" t="s">
        <v>644</v>
      </c>
      <c r="L26" s="38"/>
      <c r="M26" s="70">
        <v>23</v>
      </c>
      <c r="N26" s="46" t="s">
        <v>99</v>
      </c>
      <c r="O26" s="46" t="s">
        <v>664</v>
      </c>
      <c r="P26" s="79" t="s">
        <v>716</v>
      </c>
      <c r="Q26" s="80" t="s">
        <v>733</v>
      </c>
      <c r="R26" s="80" t="s">
        <v>592</v>
      </c>
      <c r="S26" s="81" t="s">
        <v>685</v>
      </c>
    </row>
    <row r="27" spans="2:19" x14ac:dyDescent="0.3">
      <c r="B27" s="78">
        <v>24</v>
      </c>
      <c r="C27" s="57" t="s">
        <v>98</v>
      </c>
      <c r="D27" s="57" t="s">
        <v>624</v>
      </c>
      <c r="E27" s="79" t="s">
        <v>15</v>
      </c>
      <c r="F27" s="80" t="s">
        <v>733</v>
      </c>
      <c r="G27" s="80" t="s">
        <v>589</v>
      </c>
      <c r="H27" s="80" t="s">
        <v>644</v>
      </c>
      <c r="I27" s="80" t="s">
        <v>644</v>
      </c>
      <c r="J27" s="80" t="s">
        <v>644</v>
      </c>
      <c r="K27" s="81" t="s">
        <v>644</v>
      </c>
      <c r="L27" s="38"/>
      <c r="M27" s="71">
        <v>24</v>
      </c>
      <c r="N27" s="46" t="s">
        <v>99</v>
      </c>
      <c r="O27" s="46" t="s">
        <v>665</v>
      </c>
      <c r="P27" s="79" t="s">
        <v>717</v>
      </c>
      <c r="Q27" s="80" t="s">
        <v>733</v>
      </c>
      <c r="R27" s="80" t="s">
        <v>592</v>
      </c>
      <c r="S27" s="81" t="s">
        <v>685</v>
      </c>
    </row>
    <row r="28" spans="2:19" x14ac:dyDescent="0.3">
      <c r="B28" s="78">
        <v>25</v>
      </c>
      <c r="C28" s="57" t="s">
        <v>98</v>
      </c>
      <c r="D28" s="57" t="s">
        <v>625</v>
      </c>
      <c r="E28" s="79" t="s">
        <v>16</v>
      </c>
      <c r="F28" s="80" t="s">
        <v>733</v>
      </c>
      <c r="G28" s="80" t="s">
        <v>589</v>
      </c>
      <c r="H28" s="80" t="s">
        <v>644</v>
      </c>
      <c r="I28" s="80" t="s">
        <v>644</v>
      </c>
      <c r="J28" s="80" t="s">
        <v>644</v>
      </c>
      <c r="K28" s="81" t="s">
        <v>644</v>
      </c>
      <c r="L28" s="38"/>
      <c r="M28" s="70">
        <v>25</v>
      </c>
      <c r="N28" s="46" t="s">
        <v>99</v>
      </c>
      <c r="O28" s="46" t="s">
        <v>666</v>
      </c>
      <c r="P28" s="79" t="s">
        <v>717</v>
      </c>
      <c r="Q28" s="80" t="s">
        <v>733</v>
      </c>
      <c r="R28" s="80" t="s">
        <v>592</v>
      </c>
      <c r="S28" s="81" t="s">
        <v>685</v>
      </c>
    </row>
    <row r="29" spans="2:19" x14ac:dyDescent="0.3">
      <c r="B29" s="78">
        <v>26</v>
      </c>
      <c r="C29" s="57" t="s">
        <v>98</v>
      </c>
      <c r="D29" s="61" t="s">
        <v>626</v>
      </c>
      <c r="E29" s="79" t="s">
        <v>687</v>
      </c>
      <c r="F29" s="80" t="s">
        <v>733</v>
      </c>
      <c r="G29" s="80" t="s">
        <v>589</v>
      </c>
      <c r="H29" s="80" t="s">
        <v>644</v>
      </c>
      <c r="I29" s="80" t="s">
        <v>644</v>
      </c>
      <c r="J29" s="80" t="s">
        <v>644</v>
      </c>
      <c r="K29" s="81" t="s">
        <v>644</v>
      </c>
      <c r="L29" s="38"/>
      <c r="M29" s="70">
        <v>26</v>
      </c>
      <c r="N29" s="46" t="s">
        <v>100</v>
      </c>
      <c r="O29" s="46" t="s">
        <v>628</v>
      </c>
      <c r="P29" s="79" t="s">
        <v>20</v>
      </c>
      <c r="Q29" s="80" t="s">
        <v>733</v>
      </c>
      <c r="R29" s="80" t="s">
        <v>576</v>
      </c>
      <c r="S29" s="81" t="s">
        <v>685</v>
      </c>
    </row>
    <row r="30" spans="2:19" x14ac:dyDescent="0.3">
      <c r="B30" s="78">
        <v>27</v>
      </c>
      <c r="C30" s="57" t="s">
        <v>98</v>
      </c>
      <c r="D30" s="57" t="s">
        <v>627</v>
      </c>
      <c r="E30" s="79" t="s">
        <v>688</v>
      </c>
      <c r="F30" s="80" t="s">
        <v>733</v>
      </c>
      <c r="G30" s="80" t="s">
        <v>591</v>
      </c>
      <c r="H30" s="80" t="s">
        <v>644</v>
      </c>
      <c r="I30" s="80" t="s">
        <v>644</v>
      </c>
      <c r="J30" s="80" t="s">
        <v>644</v>
      </c>
      <c r="K30" s="81" t="s">
        <v>644</v>
      </c>
      <c r="L30" s="38"/>
      <c r="M30" s="71">
        <v>27</v>
      </c>
      <c r="N30" s="46" t="s">
        <v>100</v>
      </c>
      <c r="O30" s="46" t="s">
        <v>629</v>
      </c>
      <c r="P30" s="79" t="s">
        <v>718</v>
      </c>
      <c r="Q30" s="80" t="s">
        <v>733</v>
      </c>
      <c r="R30" s="80" t="s">
        <v>576</v>
      </c>
      <c r="S30" s="81" t="s">
        <v>685</v>
      </c>
    </row>
    <row r="31" spans="2:19" x14ac:dyDescent="0.3">
      <c r="B31" s="78">
        <v>28</v>
      </c>
      <c r="C31" s="57" t="s">
        <v>105</v>
      </c>
      <c r="D31" s="57" t="s">
        <v>628</v>
      </c>
      <c r="E31" s="79" t="s">
        <v>689</v>
      </c>
      <c r="F31" s="80" t="s">
        <v>733</v>
      </c>
      <c r="G31" s="80" t="s">
        <v>576</v>
      </c>
      <c r="H31" s="80" t="s">
        <v>644</v>
      </c>
      <c r="I31" s="80" t="s">
        <v>644</v>
      </c>
      <c r="J31" s="80" t="s">
        <v>644</v>
      </c>
      <c r="K31" s="81" t="s">
        <v>644</v>
      </c>
      <c r="L31" s="38"/>
      <c r="M31" s="70">
        <v>28</v>
      </c>
      <c r="N31" s="46" t="s">
        <v>100</v>
      </c>
      <c r="O31" s="46" t="s">
        <v>630</v>
      </c>
      <c r="P31" s="79" t="s">
        <v>501</v>
      </c>
      <c r="Q31" s="80" t="s">
        <v>733</v>
      </c>
      <c r="R31" s="80" t="s">
        <v>576</v>
      </c>
      <c r="S31" s="81" t="s">
        <v>685</v>
      </c>
    </row>
    <row r="32" spans="2:19" x14ac:dyDescent="0.3">
      <c r="B32" s="78">
        <v>29</v>
      </c>
      <c r="C32" s="57" t="s">
        <v>100</v>
      </c>
      <c r="D32" s="60" t="s">
        <v>629</v>
      </c>
      <c r="E32" s="79" t="s">
        <v>500</v>
      </c>
      <c r="F32" s="80" t="s">
        <v>733</v>
      </c>
      <c r="G32" s="80" t="s">
        <v>576</v>
      </c>
      <c r="H32" s="80" t="s">
        <v>644</v>
      </c>
      <c r="I32" s="80" t="s">
        <v>644</v>
      </c>
      <c r="J32" s="80" t="s">
        <v>644</v>
      </c>
      <c r="K32" s="81" t="s">
        <v>644</v>
      </c>
      <c r="L32" s="38"/>
      <c r="M32" s="70">
        <v>29</v>
      </c>
      <c r="N32" s="46" t="s">
        <v>100</v>
      </c>
      <c r="O32" s="46" t="s">
        <v>631</v>
      </c>
      <c r="P32" s="79" t="s">
        <v>719</v>
      </c>
      <c r="Q32" s="80" t="s">
        <v>733</v>
      </c>
      <c r="R32" s="80" t="s">
        <v>576</v>
      </c>
      <c r="S32" s="81" t="s">
        <v>685</v>
      </c>
    </row>
    <row r="33" spans="2:19" x14ac:dyDescent="0.3">
      <c r="B33" s="78">
        <v>30</v>
      </c>
      <c r="C33" s="57" t="s">
        <v>100</v>
      </c>
      <c r="D33" s="57" t="s">
        <v>630</v>
      </c>
      <c r="E33" s="79" t="s">
        <v>501</v>
      </c>
      <c r="F33" s="80" t="s">
        <v>733</v>
      </c>
      <c r="G33" s="80" t="s">
        <v>576</v>
      </c>
      <c r="H33" s="80" t="s">
        <v>644</v>
      </c>
      <c r="I33" s="80" t="s">
        <v>644</v>
      </c>
      <c r="J33" s="80" t="s">
        <v>644</v>
      </c>
      <c r="K33" s="81" t="s">
        <v>644</v>
      </c>
      <c r="L33" s="38"/>
      <c r="M33" s="71">
        <v>30</v>
      </c>
      <c r="N33" s="61" t="s">
        <v>100</v>
      </c>
      <c r="O33" s="61" t="s">
        <v>633</v>
      </c>
      <c r="P33" s="79" t="s">
        <v>690</v>
      </c>
      <c r="Q33" s="80" t="s">
        <v>733</v>
      </c>
      <c r="R33" s="80" t="s">
        <v>576</v>
      </c>
      <c r="S33" s="81" t="s">
        <v>685</v>
      </c>
    </row>
    <row r="34" spans="2:19" x14ac:dyDescent="0.3">
      <c r="B34" s="78">
        <v>31</v>
      </c>
      <c r="C34" s="57" t="s">
        <v>100</v>
      </c>
      <c r="D34" s="57" t="s">
        <v>631</v>
      </c>
      <c r="E34" s="79" t="s">
        <v>502</v>
      </c>
      <c r="F34" s="80" t="s">
        <v>733</v>
      </c>
      <c r="G34" s="80" t="s">
        <v>576</v>
      </c>
      <c r="H34" s="80" t="s">
        <v>644</v>
      </c>
      <c r="I34" s="80" t="s">
        <v>644</v>
      </c>
      <c r="J34" s="80" t="s">
        <v>644</v>
      </c>
      <c r="K34" s="81" t="s">
        <v>644</v>
      </c>
      <c r="L34" s="38"/>
      <c r="M34" s="70">
        <v>31</v>
      </c>
      <c r="N34" s="46" t="s">
        <v>105</v>
      </c>
      <c r="O34" s="46" t="s">
        <v>667</v>
      </c>
      <c r="P34" s="79" t="s">
        <v>19</v>
      </c>
      <c r="Q34" s="80" t="s">
        <v>733</v>
      </c>
      <c r="R34" s="80" t="s">
        <v>593</v>
      </c>
      <c r="S34" s="81" t="s">
        <v>685</v>
      </c>
    </row>
    <row r="35" spans="2:19" x14ac:dyDescent="0.3">
      <c r="B35" s="78">
        <v>32</v>
      </c>
      <c r="C35" s="57" t="s">
        <v>100</v>
      </c>
      <c r="D35" s="57" t="s">
        <v>632</v>
      </c>
      <c r="E35" s="79" t="s">
        <v>503</v>
      </c>
      <c r="F35" s="80" t="s">
        <v>733</v>
      </c>
      <c r="G35" s="80" t="s">
        <v>576</v>
      </c>
      <c r="H35" s="80" t="s">
        <v>644</v>
      </c>
      <c r="I35" s="80" t="s">
        <v>644</v>
      </c>
      <c r="J35" s="80" t="s">
        <v>644</v>
      </c>
      <c r="K35" s="81" t="s">
        <v>644</v>
      </c>
      <c r="L35" s="38"/>
      <c r="M35" s="70">
        <v>32</v>
      </c>
      <c r="N35" s="46" t="s">
        <v>105</v>
      </c>
      <c r="O35" s="46" t="s">
        <v>668</v>
      </c>
      <c r="P35" s="79" t="s">
        <v>21</v>
      </c>
      <c r="Q35" s="80" t="s">
        <v>733</v>
      </c>
      <c r="R35" s="80" t="s">
        <v>594</v>
      </c>
      <c r="S35" s="81" t="s">
        <v>685</v>
      </c>
    </row>
    <row r="36" spans="2:19" x14ac:dyDescent="0.3">
      <c r="B36" s="78">
        <v>33</v>
      </c>
      <c r="C36" s="61" t="s">
        <v>100</v>
      </c>
      <c r="D36" s="61" t="s">
        <v>633</v>
      </c>
      <c r="E36" s="79" t="s">
        <v>690</v>
      </c>
      <c r="F36" s="80" t="s">
        <v>733</v>
      </c>
      <c r="G36" s="80" t="s">
        <v>576</v>
      </c>
      <c r="H36" s="80" t="s">
        <v>644</v>
      </c>
      <c r="I36" s="80" t="s">
        <v>644</v>
      </c>
      <c r="J36" s="80" t="s">
        <v>644</v>
      </c>
      <c r="K36" s="81" t="s">
        <v>644</v>
      </c>
      <c r="L36" s="38"/>
      <c r="M36" s="71">
        <v>33</v>
      </c>
      <c r="N36" s="46" t="s">
        <v>105</v>
      </c>
      <c r="O36" s="46" t="s">
        <v>669</v>
      </c>
      <c r="P36" s="79" t="s">
        <v>720</v>
      </c>
      <c r="Q36" s="80" t="s">
        <v>733</v>
      </c>
      <c r="R36" s="80" t="s">
        <v>594</v>
      </c>
      <c r="S36" s="81" t="s">
        <v>685</v>
      </c>
    </row>
    <row r="37" spans="2:19" x14ac:dyDescent="0.3">
      <c r="B37" s="78">
        <v>34</v>
      </c>
      <c r="C37" s="57" t="s">
        <v>100</v>
      </c>
      <c r="D37" s="57" t="s">
        <v>634</v>
      </c>
      <c r="E37" s="79" t="s">
        <v>505</v>
      </c>
      <c r="F37" s="80" t="s">
        <v>733</v>
      </c>
      <c r="G37" s="80" t="s">
        <v>593</v>
      </c>
      <c r="H37" s="80" t="s">
        <v>644</v>
      </c>
      <c r="I37" s="80" t="s">
        <v>644</v>
      </c>
      <c r="J37" s="80" t="s">
        <v>644</v>
      </c>
      <c r="K37" s="81" t="s">
        <v>644</v>
      </c>
      <c r="L37" s="38"/>
      <c r="M37" s="70">
        <v>34</v>
      </c>
      <c r="N37" s="46" t="s">
        <v>105</v>
      </c>
      <c r="O37" s="46" t="s">
        <v>670</v>
      </c>
      <c r="P37" s="79" t="s">
        <v>721</v>
      </c>
      <c r="Q37" s="80" t="s">
        <v>733</v>
      </c>
      <c r="R37" s="80" t="s">
        <v>594</v>
      </c>
      <c r="S37" s="81" t="s">
        <v>685</v>
      </c>
    </row>
    <row r="38" spans="2:19" x14ac:dyDescent="0.3">
      <c r="B38" s="78">
        <v>35</v>
      </c>
      <c r="C38" s="57" t="s">
        <v>100</v>
      </c>
      <c r="D38" s="57" t="s">
        <v>635</v>
      </c>
      <c r="E38" s="79" t="s">
        <v>691</v>
      </c>
      <c r="F38" s="80" t="s">
        <v>733</v>
      </c>
      <c r="G38" s="80" t="s">
        <v>594</v>
      </c>
      <c r="H38" s="80" t="s">
        <v>644</v>
      </c>
      <c r="I38" s="80" t="s">
        <v>644</v>
      </c>
      <c r="J38" s="80" t="s">
        <v>644</v>
      </c>
      <c r="K38" s="81" t="s">
        <v>644</v>
      </c>
      <c r="L38" s="38"/>
      <c r="M38" s="70">
        <v>35</v>
      </c>
      <c r="N38" s="46" t="s">
        <v>105</v>
      </c>
      <c r="O38" s="46" t="s">
        <v>671</v>
      </c>
      <c r="P38" s="79" t="s">
        <v>722</v>
      </c>
      <c r="Q38" s="80" t="s">
        <v>733</v>
      </c>
      <c r="R38" s="80" t="s">
        <v>594</v>
      </c>
      <c r="S38" s="81" t="s">
        <v>685</v>
      </c>
    </row>
    <row r="39" spans="2:19" x14ac:dyDescent="0.3">
      <c r="B39" s="78">
        <v>36</v>
      </c>
      <c r="C39" s="57" t="s">
        <v>100</v>
      </c>
      <c r="D39" s="57" t="s">
        <v>636</v>
      </c>
      <c r="E39" s="79" t="s">
        <v>692</v>
      </c>
      <c r="F39" s="80" t="s">
        <v>733</v>
      </c>
      <c r="G39" s="80" t="s">
        <v>594</v>
      </c>
      <c r="H39" s="80" t="s">
        <v>644</v>
      </c>
      <c r="I39" s="80" t="s">
        <v>644</v>
      </c>
      <c r="J39" s="80" t="s">
        <v>644</v>
      </c>
      <c r="K39" s="81" t="s">
        <v>644</v>
      </c>
      <c r="L39" s="38"/>
      <c r="M39" s="71">
        <v>36</v>
      </c>
      <c r="N39" s="46" t="s">
        <v>105</v>
      </c>
      <c r="O39" s="46" t="s">
        <v>672</v>
      </c>
      <c r="P39" s="79" t="s">
        <v>723</v>
      </c>
      <c r="Q39" s="80" t="s">
        <v>733</v>
      </c>
      <c r="R39" s="80" t="s">
        <v>595</v>
      </c>
      <c r="S39" s="81" t="s">
        <v>685</v>
      </c>
    </row>
    <row r="40" spans="2:19" x14ac:dyDescent="0.3">
      <c r="B40" s="78">
        <v>37</v>
      </c>
      <c r="C40" s="57" t="s">
        <v>100</v>
      </c>
      <c r="D40" s="57" t="s">
        <v>637</v>
      </c>
      <c r="E40" s="79" t="s">
        <v>693</v>
      </c>
      <c r="F40" s="80" t="s">
        <v>733</v>
      </c>
      <c r="G40" s="80" t="s">
        <v>595</v>
      </c>
      <c r="H40" s="80" t="s">
        <v>644</v>
      </c>
      <c r="I40" s="80" t="s">
        <v>644</v>
      </c>
      <c r="J40" s="80" t="s">
        <v>644</v>
      </c>
      <c r="K40" s="81" t="s">
        <v>644</v>
      </c>
      <c r="L40" s="38"/>
      <c r="M40" s="70">
        <v>37</v>
      </c>
      <c r="N40" s="46" t="s">
        <v>105</v>
      </c>
      <c r="O40" s="46" t="s">
        <v>673</v>
      </c>
      <c r="P40" s="79" t="s">
        <v>724</v>
      </c>
      <c r="Q40" s="80" t="s">
        <v>733</v>
      </c>
      <c r="R40" s="80" t="s">
        <v>595</v>
      </c>
      <c r="S40" s="81" t="s">
        <v>685</v>
      </c>
    </row>
    <row r="41" spans="2:19" x14ac:dyDescent="0.3">
      <c r="B41" s="78">
        <v>38</v>
      </c>
      <c r="C41" s="57" t="s">
        <v>100</v>
      </c>
      <c r="D41" s="57" t="s">
        <v>638</v>
      </c>
      <c r="E41" s="79" t="s">
        <v>694</v>
      </c>
      <c r="F41" s="80" t="s">
        <v>733</v>
      </c>
      <c r="G41" s="80" t="s">
        <v>595</v>
      </c>
      <c r="H41" s="80" t="s">
        <v>644</v>
      </c>
      <c r="I41" s="80" t="s">
        <v>644</v>
      </c>
      <c r="J41" s="80" t="s">
        <v>644</v>
      </c>
      <c r="K41" s="81" t="s">
        <v>644</v>
      </c>
      <c r="L41" s="38"/>
      <c r="M41" s="70">
        <v>38</v>
      </c>
      <c r="N41" s="46" t="s">
        <v>105</v>
      </c>
      <c r="O41" s="46" t="s">
        <v>674</v>
      </c>
      <c r="P41" s="79" t="s">
        <v>22</v>
      </c>
      <c r="Q41" s="80" t="s">
        <v>733</v>
      </c>
      <c r="R41" s="80" t="s">
        <v>596</v>
      </c>
      <c r="S41" s="81" t="s">
        <v>685</v>
      </c>
    </row>
    <row r="42" spans="2:19" x14ac:dyDescent="0.3">
      <c r="B42" s="78">
        <v>39</v>
      </c>
      <c r="C42" s="57" t="s">
        <v>100</v>
      </c>
      <c r="D42" s="57" t="s">
        <v>639</v>
      </c>
      <c r="E42" s="79" t="s">
        <v>84</v>
      </c>
      <c r="F42" s="80" t="s">
        <v>733</v>
      </c>
      <c r="G42" s="80" t="s">
        <v>596</v>
      </c>
      <c r="H42" s="80" t="s">
        <v>644</v>
      </c>
      <c r="I42" s="80" t="s">
        <v>644</v>
      </c>
      <c r="J42" s="82"/>
      <c r="K42" s="81" t="s">
        <v>644</v>
      </c>
      <c r="L42" s="38"/>
      <c r="M42" s="71">
        <v>39</v>
      </c>
      <c r="N42" s="46" t="s">
        <v>105</v>
      </c>
      <c r="O42" s="46" t="s">
        <v>675</v>
      </c>
      <c r="P42" s="79" t="s">
        <v>725</v>
      </c>
      <c r="Q42" s="80" t="s">
        <v>733</v>
      </c>
      <c r="R42" s="80" t="s">
        <v>596</v>
      </c>
      <c r="S42" s="81" t="s">
        <v>685</v>
      </c>
    </row>
    <row r="43" spans="2:19" x14ac:dyDescent="0.3">
      <c r="B43" s="78">
        <v>40</v>
      </c>
      <c r="C43" s="57" t="s">
        <v>100</v>
      </c>
      <c r="D43" s="68" t="s">
        <v>739</v>
      </c>
      <c r="E43" s="38" t="s">
        <v>741</v>
      </c>
      <c r="F43" s="80" t="s">
        <v>733</v>
      </c>
      <c r="G43" s="80" t="s">
        <v>596</v>
      </c>
      <c r="H43" s="82"/>
      <c r="I43" s="82"/>
      <c r="J43" s="80" t="s">
        <v>644</v>
      </c>
      <c r="K43" s="83"/>
      <c r="L43" s="38"/>
      <c r="M43" s="70">
        <v>40</v>
      </c>
      <c r="N43" s="46" t="s">
        <v>105</v>
      </c>
      <c r="O43" s="46" t="s">
        <v>676</v>
      </c>
      <c r="P43" s="79" t="s">
        <v>726</v>
      </c>
      <c r="Q43" s="80" t="s">
        <v>733</v>
      </c>
      <c r="R43" s="80" t="s">
        <v>597</v>
      </c>
      <c r="S43" s="81" t="s">
        <v>685</v>
      </c>
    </row>
    <row r="44" spans="2:19" x14ac:dyDescent="0.3">
      <c r="B44" s="78">
        <v>41</v>
      </c>
      <c r="C44" s="57" t="s">
        <v>108</v>
      </c>
      <c r="D44" s="60" t="s">
        <v>640</v>
      </c>
      <c r="E44" s="79" t="s">
        <v>14</v>
      </c>
      <c r="F44" s="80" t="s">
        <v>733</v>
      </c>
      <c r="G44" s="80" t="s">
        <v>577</v>
      </c>
      <c r="H44" s="80" t="s">
        <v>644</v>
      </c>
      <c r="I44" s="80" t="s">
        <v>644</v>
      </c>
      <c r="J44" s="80" t="s">
        <v>644</v>
      </c>
      <c r="K44" s="81" t="s">
        <v>644</v>
      </c>
      <c r="L44" s="38"/>
      <c r="M44" s="70">
        <v>41</v>
      </c>
      <c r="N44" s="46" t="s">
        <v>105</v>
      </c>
      <c r="O44" s="46" t="s">
        <v>677</v>
      </c>
      <c r="P44" s="79" t="s">
        <v>727</v>
      </c>
      <c r="Q44" s="80" t="s">
        <v>733</v>
      </c>
      <c r="R44" s="80" t="s">
        <v>597</v>
      </c>
      <c r="S44" s="81" t="s">
        <v>685</v>
      </c>
    </row>
    <row r="45" spans="2:19" x14ac:dyDescent="0.3">
      <c r="B45" s="78">
        <v>42</v>
      </c>
      <c r="C45" s="57" t="s">
        <v>108</v>
      </c>
      <c r="D45" s="57" t="s">
        <v>641</v>
      </c>
      <c r="E45" s="79" t="s">
        <v>511</v>
      </c>
      <c r="F45" s="80" t="s">
        <v>733</v>
      </c>
      <c r="G45" s="80" t="s">
        <v>577</v>
      </c>
      <c r="H45" s="80" t="s">
        <v>644</v>
      </c>
      <c r="I45" s="80" t="s">
        <v>644</v>
      </c>
      <c r="J45" s="80" t="s">
        <v>644</v>
      </c>
      <c r="K45" s="81" t="s">
        <v>644</v>
      </c>
      <c r="L45" s="38"/>
      <c r="M45" s="71">
        <v>42</v>
      </c>
      <c r="N45" s="46" t="s">
        <v>108</v>
      </c>
      <c r="O45" s="46" t="s">
        <v>640</v>
      </c>
      <c r="P45" s="79" t="s">
        <v>728</v>
      </c>
      <c r="Q45" s="80" t="s">
        <v>733</v>
      </c>
      <c r="R45" s="80" t="s">
        <v>577</v>
      </c>
      <c r="S45" s="81" t="s">
        <v>685</v>
      </c>
    </row>
    <row r="46" spans="2:19" ht="17.25" thickBot="1" x14ac:dyDescent="0.35">
      <c r="B46" s="84">
        <v>43</v>
      </c>
      <c r="C46" s="69" t="s">
        <v>108</v>
      </c>
      <c r="D46" s="69" t="s">
        <v>642</v>
      </c>
      <c r="E46" s="85" t="s">
        <v>14</v>
      </c>
      <c r="F46" s="86" t="s">
        <v>733</v>
      </c>
      <c r="G46" s="86" t="s">
        <v>598</v>
      </c>
      <c r="H46" s="86" t="s">
        <v>644</v>
      </c>
      <c r="I46" s="86" t="s">
        <v>644</v>
      </c>
      <c r="J46" s="86" t="s">
        <v>644</v>
      </c>
      <c r="K46" s="87" t="s">
        <v>644</v>
      </c>
      <c r="L46" s="38"/>
      <c r="M46" s="70">
        <v>43</v>
      </c>
      <c r="N46" s="46" t="s">
        <v>108</v>
      </c>
      <c r="O46" s="46" t="s">
        <v>641</v>
      </c>
      <c r="P46" s="79" t="s">
        <v>729</v>
      </c>
      <c r="Q46" s="80" t="s">
        <v>733</v>
      </c>
      <c r="R46" s="80" t="s">
        <v>577</v>
      </c>
      <c r="S46" s="81" t="s">
        <v>685</v>
      </c>
    </row>
    <row r="47" spans="2:19" x14ac:dyDescent="0.3">
      <c r="B47" s="38"/>
      <c r="C47" s="38"/>
      <c r="D47" s="38"/>
      <c r="E47" s="38"/>
      <c r="F47" s="38"/>
      <c r="G47" s="38"/>
      <c r="H47" s="38">
        <f>COUNTIF(H4:H46,"O")</f>
        <v>40</v>
      </c>
      <c r="I47" s="38">
        <f>COUNTIF(I4:I46,"O")</f>
        <v>40</v>
      </c>
      <c r="J47" s="38">
        <f>COUNTIF(J4:J46,"O")</f>
        <v>40</v>
      </c>
      <c r="K47" s="38">
        <f>COUNTIF(K4:K46,"O")</f>
        <v>40</v>
      </c>
      <c r="L47" s="38"/>
      <c r="M47" s="70">
        <v>44</v>
      </c>
      <c r="N47" s="46" t="s">
        <v>106</v>
      </c>
      <c r="O47" s="46" t="s">
        <v>678</v>
      </c>
      <c r="P47" s="79" t="s">
        <v>730</v>
      </c>
      <c r="Q47" s="80" t="s">
        <v>733</v>
      </c>
      <c r="R47" s="80" t="s">
        <v>598</v>
      </c>
      <c r="S47" s="81" t="s">
        <v>685</v>
      </c>
    </row>
    <row r="48" spans="2:19" x14ac:dyDescent="0.3">
      <c r="B48" s="38"/>
      <c r="C48" s="38"/>
      <c r="D48" s="38"/>
      <c r="E48" s="38"/>
      <c r="F48" s="38"/>
      <c r="G48" s="38"/>
      <c r="H48" s="38"/>
      <c r="I48" s="38"/>
      <c r="J48" s="38"/>
      <c r="K48" s="38"/>
      <c r="L48" s="38"/>
      <c r="M48" s="71">
        <v>45</v>
      </c>
      <c r="N48" s="46" t="s">
        <v>106</v>
      </c>
      <c r="O48" s="46" t="s">
        <v>679</v>
      </c>
      <c r="P48" s="79" t="s">
        <v>728</v>
      </c>
      <c r="Q48" s="80" t="s">
        <v>733</v>
      </c>
      <c r="R48" s="80" t="s">
        <v>599</v>
      </c>
      <c r="S48" s="81" t="s">
        <v>685</v>
      </c>
    </row>
    <row r="49" spans="2:19" x14ac:dyDescent="0.3">
      <c r="B49" s="38"/>
      <c r="C49" s="38"/>
      <c r="D49" s="38"/>
      <c r="E49" s="38"/>
      <c r="F49" s="38"/>
      <c r="G49" s="38"/>
      <c r="H49" s="38"/>
      <c r="I49" s="38"/>
      <c r="J49" s="38"/>
      <c r="K49" s="38"/>
      <c r="L49" s="38"/>
      <c r="M49" s="70">
        <v>46</v>
      </c>
      <c r="N49" s="46" t="s">
        <v>106</v>
      </c>
      <c r="O49" s="46" t="s">
        <v>680</v>
      </c>
      <c r="P49" s="79" t="s">
        <v>731</v>
      </c>
      <c r="Q49" s="80" t="s">
        <v>733</v>
      </c>
      <c r="R49" s="80" t="s">
        <v>599</v>
      </c>
      <c r="S49" s="81" t="s">
        <v>685</v>
      </c>
    </row>
    <row r="50" spans="2:19" x14ac:dyDescent="0.3">
      <c r="B50" s="38"/>
      <c r="C50" s="38"/>
      <c r="D50" s="38"/>
      <c r="E50" s="38"/>
      <c r="F50" s="38"/>
      <c r="G50" s="38"/>
      <c r="H50" s="38"/>
      <c r="I50" s="38"/>
      <c r="J50" s="38"/>
      <c r="K50" s="38"/>
      <c r="L50" s="38"/>
      <c r="M50" s="70">
        <v>47</v>
      </c>
      <c r="N50" s="46" t="s">
        <v>106</v>
      </c>
      <c r="O50" s="46" t="s">
        <v>681</v>
      </c>
      <c r="P50" s="79" t="s">
        <v>23</v>
      </c>
      <c r="Q50" s="80" t="s">
        <v>733</v>
      </c>
      <c r="R50" s="80" t="s">
        <v>600</v>
      </c>
      <c r="S50" s="81" t="s">
        <v>685</v>
      </c>
    </row>
    <row r="51" spans="2:19" x14ac:dyDescent="0.3">
      <c r="B51" s="38"/>
      <c r="C51" s="38"/>
      <c r="D51" s="38"/>
      <c r="E51" s="38"/>
      <c r="F51" s="38"/>
      <c r="G51" s="38"/>
      <c r="H51" s="38"/>
      <c r="I51" s="38"/>
      <c r="J51" s="38"/>
      <c r="K51" s="38"/>
      <c r="L51" s="38"/>
      <c r="M51" s="71">
        <v>48</v>
      </c>
      <c r="N51" s="46" t="s">
        <v>106</v>
      </c>
      <c r="O51" s="46" t="s">
        <v>682</v>
      </c>
      <c r="P51" s="79" t="s">
        <v>24</v>
      </c>
      <c r="Q51" s="80" t="s">
        <v>733</v>
      </c>
      <c r="R51" s="80" t="s">
        <v>600</v>
      </c>
      <c r="S51" s="81" t="s">
        <v>685</v>
      </c>
    </row>
    <row r="52" spans="2:19" x14ac:dyDescent="0.3">
      <c r="B52" s="38"/>
      <c r="C52" s="38"/>
      <c r="D52" s="38"/>
      <c r="E52" s="38"/>
      <c r="F52" s="38"/>
      <c r="G52" s="38"/>
      <c r="H52" s="38"/>
      <c r="I52" s="38"/>
      <c r="J52" s="38"/>
      <c r="K52" s="38"/>
      <c r="L52" s="38"/>
      <c r="M52" s="70">
        <v>49</v>
      </c>
      <c r="N52" s="46" t="s">
        <v>106</v>
      </c>
      <c r="O52" s="46" t="s">
        <v>468</v>
      </c>
      <c r="P52" s="79" t="s">
        <v>24</v>
      </c>
      <c r="Q52" s="80" t="s">
        <v>733</v>
      </c>
      <c r="R52" s="88" t="s">
        <v>695</v>
      </c>
      <c r="S52" s="81" t="s">
        <v>685</v>
      </c>
    </row>
    <row r="53" spans="2:19" ht="17.25" thickBot="1" x14ac:dyDescent="0.35">
      <c r="B53" s="38"/>
      <c r="C53" s="38"/>
      <c r="D53" s="38"/>
      <c r="E53" s="38"/>
      <c r="F53" s="38"/>
      <c r="G53" s="38"/>
      <c r="H53" s="38"/>
      <c r="I53" s="38"/>
      <c r="J53" s="38"/>
      <c r="K53" s="38"/>
      <c r="L53" s="38"/>
      <c r="M53" s="72">
        <v>50</v>
      </c>
      <c r="N53" s="74" t="s">
        <v>106</v>
      </c>
      <c r="O53" s="74" t="s">
        <v>683</v>
      </c>
      <c r="P53" s="85" t="s">
        <v>732</v>
      </c>
      <c r="Q53" s="86" t="s">
        <v>733</v>
      </c>
      <c r="R53" s="86" t="s">
        <v>601</v>
      </c>
      <c r="S53" s="87" t="s">
        <v>685</v>
      </c>
    </row>
    <row r="54" spans="2:19" x14ac:dyDescent="0.3">
      <c r="M54" s="67"/>
      <c r="N54" s="67"/>
      <c r="O54" s="67"/>
      <c r="S54">
        <f>COUNTIF(S4:S53,"O")</f>
        <v>50</v>
      </c>
    </row>
    <row r="55" spans="2:19" x14ac:dyDescent="0.3">
      <c r="M55" s="67"/>
      <c r="N55" s="67"/>
      <c r="O55" s="67"/>
    </row>
    <row r="56" spans="2:19" x14ac:dyDescent="0.3">
      <c r="M56" s="67"/>
      <c r="N56" s="67"/>
      <c r="O56" s="67"/>
    </row>
  </sheetData>
  <autoFilter ref="B3:S47"/>
  <customSheetViews>
    <customSheetView guid="{2EEA926C-3156-4AC6-9229-A7AA2DF955D3}" scale="80" showAutoFilter="1" topLeftCell="K15">
      <selection activeCell="R4" sqref="R4:R53"/>
      <pageMargins left="0.7" right="0.7" top="0.75" bottom="0.75" header="0.3" footer="0.3"/>
      <pageSetup paperSize="9" orientation="portrait" r:id="rId1"/>
      <autoFilter ref="B3:S47"/>
    </customSheetView>
    <customSheetView guid="{2DB1E318-7147-48DF-A27A-64EE5389D79D}" scale="80" showAutoFilter="1" topLeftCell="K15">
      <selection activeCell="R4" sqref="R4:R53"/>
      <pageMargins left="0.7" right="0.7" top="0.75" bottom="0.75" header="0.3" footer="0.3"/>
      <pageSetup paperSize="9" orientation="portrait" r:id="rId2"/>
      <autoFilter ref="B3:S47"/>
    </customSheetView>
    <customSheetView guid="{173D36D5-56F6-4F44-8AEA-1BCCEB5BEB01}" scale="85" topLeftCell="A16">
      <selection activeCell="K31" sqref="K31"/>
      <pageMargins left="0.7" right="0.7" top="0.75" bottom="0.75" header="0.3" footer="0.3"/>
    </customSheetView>
    <customSheetView guid="{E54B5D21-78A5-49ED-8A41-5B0BD6CF5BF8}" scale="85">
      <selection activeCell="I22" sqref="I22"/>
      <pageMargins left="0.7" right="0.7" top="0.75" bottom="0.75" header="0.3" footer="0.3"/>
    </customSheetView>
    <customSheetView guid="{118B26FA-458B-4EBF-A611-352DC7919B8F}" scale="85">
      <selection activeCell="G11" sqref="G11"/>
      <pageMargins left="0.7" right="0.7" top="0.75" bottom="0.75" header="0.3" footer="0.3"/>
    </customSheetView>
    <customSheetView guid="{7E89C46F-A64B-40A0-896B-BA6F5B13D9A1}" scale="85">
      <selection activeCell="G11" sqref="G11"/>
      <pageMargins left="0.7" right="0.7" top="0.75" bottom="0.75" header="0.3" footer="0.3"/>
    </customSheetView>
    <customSheetView guid="{A97CC407-D832-4D6B-889F-79EA371F2140}" scale="85">
      <selection activeCell="G11" sqref="G11"/>
      <pageMargins left="0.7" right="0.7" top="0.75" bottom="0.75" header="0.3" footer="0.3"/>
    </customSheetView>
    <customSheetView guid="{B95F8ECF-EE4B-497E-8AFD-61960D2C04DE}" scale="85">
      <selection activeCell="G11" sqref="G11"/>
      <pageMargins left="0.7" right="0.7" top="0.75" bottom="0.75" header="0.3" footer="0.3"/>
    </customSheetView>
    <customSheetView guid="{D1303DE8-82E6-497F-898A-86E0FE4EA44C}" scale="80" showAutoFilter="1" topLeftCell="K15">
      <selection activeCell="R4" sqref="R4:R53"/>
      <pageMargins left="0.7" right="0.7" top="0.75" bottom="0.75" header="0.3" footer="0.3"/>
      <pageSetup paperSize="9" orientation="portrait" r:id="rId3"/>
      <autoFilter ref="B3:S47"/>
    </customSheetView>
  </customSheetViews>
  <phoneticPr fontId="7" type="noConversion"/>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
  <sheetViews>
    <sheetView zoomScale="85" zoomScaleNormal="85" workbookViewId="0">
      <selection activeCell="Q5" sqref="Q5"/>
    </sheetView>
  </sheetViews>
  <sheetFormatPr defaultRowHeight="16.5" x14ac:dyDescent="0.3"/>
  <cols>
    <col min="7" max="7" width="13.25" customWidth="1"/>
  </cols>
  <sheetData>
    <row r="1" spans="2:14" ht="17.25" thickBot="1" x14ac:dyDescent="0.35">
      <c r="I1" s="1"/>
    </row>
    <row r="2" spans="2:14" x14ac:dyDescent="0.3">
      <c r="B2" s="3" t="s">
        <v>0</v>
      </c>
      <c r="C2" s="4" t="s">
        <v>79</v>
      </c>
      <c r="D2" s="5" t="s">
        <v>67</v>
      </c>
      <c r="E2" s="143" t="s">
        <v>80</v>
      </c>
      <c r="F2" s="143"/>
      <c r="G2" s="143" t="s">
        <v>68</v>
      </c>
      <c r="H2" s="143"/>
      <c r="I2" s="143" t="s">
        <v>73</v>
      </c>
      <c r="J2" s="143"/>
      <c r="K2" s="143" t="s">
        <v>74</v>
      </c>
      <c r="L2" s="143"/>
      <c r="M2" s="143" t="s">
        <v>81</v>
      </c>
      <c r="N2" s="144"/>
    </row>
    <row r="3" spans="2:14" ht="27" x14ac:dyDescent="0.3">
      <c r="B3" s="6" t="s">
        <v>27</v>
      </c>
      <c r="C3" s="7" t="s">
        <v>82</v>
      </c>
      <c r="D3" s="8" t="s">
        <v>69</v>
      </c>
      <c r="E3" s="145" t="s">
        <v>182</v>
      </c>
      <c r="F3" s="146"/>
      <c r="G3" s="9" t="s">
        <v>183</v>
      </c>
      <c r="H3" s="10"/>
      <c r="I3" s="9" t="s">
        <v>184</v>
      </c>
      <c r="J3" s="10"/>
      <c r="K3" s="9" t="s">
        <v>183</v>
      </c>
      <c r="L3" s="10"/>
      <c r="M3" s="9" t="s">
        <v>185</v>
      </c>
      <c r="N3" s="10"/>
    </row>
    <row r="4" spans="2:14" ht="66" x14ac:dyDescent="0.3">
      <c r="B4" s="6" t="s">
        <v>28</v>
      </c>
      <c r="C4" s="11" t="s">
        <v>70</v>
      </c>
      <c r="D4" s="8" t="s">
        <v>83</v>
      </c>
      <c r="E4" s="12">
        <f>E3*0.95</f>
        <v>37.049999999999997</v>
      </c>
      <c r="F4" s="12" t="str">
        <f>E3</f>
        <v>39</v>
      </c>
      <c r="G4" s="12">
        <f>G3*0.95</f>
        <v>37.049999999999997</v>
      </c>
      <c r="H4" s="12" t="str">
        <f>G3</f>
        <v>39</v>
      </c>
      <c r="I4" s="12">
        <f>I3*0.95</f>
        <v>38</v>
      </c>
      <c r="J4" s="12" t="str">
        <f>I3</f>
        <v>40</v>
      </c>
      <c r="K4" s="12">
        <f>K3*0.95</f>
        <v>37.049999999999997</v>
      </c>
      <c r="L4" s="12" t="str">
        <f>K3</f>
        <v>39</v>
      </c>
      <c r="M4" s="12">
        <f>M3*0.95</f>
        <v>38.949999999999996</v>
      </c>
      <c r="N4" s="13" t="str">
        <f>M3</f>
        <v>41</v>
      </c>
    </row>
    <row r="5" spans="2:14" ht="149.25" thickBot="1" x14ac:dyDescent="0.35">
      <c r="B5" s="14" t="s">
        <v>29</v>
      </c>
      <c r="C5" s="15" t="s">
        <v>71</v>
      </c>
      <c r="D5" s="8" t="s">
        <v>30</v>
      </c>
      <c r="E5" s="12">
        <f>E3*0.9</f>
        <v>35.1</v>
      </c>
      <c r="F5" s="12">
        <f>E4-1</f>
        <v>36.049999999999997</v>
      </c>
      <c r="G5" s="12">
        <f>G3*0.9</f>
        <v>35.1</v>
      </c>
      <c r="H5" s="12">
        <f>G4-1</f>
        <v>36.049999999999997</v>
      </c>
      <c r="I5" s="12">
        <f>I3*0.9</f>
        <v>36</v>
      </c>
      <c r="J5" s="12">
        <f>I4-1</f>
        <v>37</v>
      </c>
      <c r="K5" s="12">
        <f>K3*0.9</f>
        <v>35.1</v>
      </c>
      <c r="L5" s="12">
        <f>K4-1</f>
        <v>36.049999999999997</v>
      </c>
      <c r="M5" s="12">
        <f>M3*0.9</f>
        <v>36.9</v>
      </c>
      <c r="N5" s="13">
        <f>M4-1</f>
        <v>37.949999999999996</v>
      </c>
    </row>
    <row r="6" spans="2:14" x14ac:dyDescent="0.3">
      <c r="D6" s="8" t="s">
        <v>66</v>
      </c>
      <c r="E6" s="12">
        <f>E3*0.8</f>
        <v>31.200000000000003</v>
      </c>
      <c r="F6" s="12">
        <f>E5-1</f>
        <v>34.1</v>
      </c>
      <c r="G6" s="12">
        <f>G3*0.8</f>
        <v>31.200000000000003</v>
      </c>
      <c r="H6" s="12">
        <f>G5-1</f>
        <v>34.1</v>
      </c>
      <c r="I6" s="12">
        <f>I3*0.8</f>
        <v>32</v>
      </c>
      <c r="J6" s="12">
        <f>I5-1</f>
        <v>35</v>
      </c>
      <c r="K6" s="12">
        <f>K3*0.8</f>
        <v>31.200000000000003</v>
      </c>
      <c r="L6" s="12">
        <f>K5-1</f>
        <v>34.1</v>
      </c>
      <c r="M6" s="12">
        <f>M3*0.8</f>
        <v>32.800000000000004</v>
      </c>
      <c r="N6" s="13">
        <f>M5-1</f>
        <v>35.9</v>
      </c>
    </row>
    <row r="7" spans="2:14" ht="17.25" thickBot="1" x14ac:dyDescent="0.35">
      <c r="D7" s="16" t="s">
        <v>75</v>
      </c>
      <c r="E7" s="147">
        <f>E6-1</f>
        <v>30.200000000000003</v>
      </c>
      <c r="F7" s="147"/>
      <c r="G7" s="147">
        <f>G6-1</f>
        <v>30.200000000000003</v>
      </c>
      <c r="H7" s="147"/>
      <c r="I7" s="147">
        <f>I6-1</f>
        <v>31</v>
      </c>
      <c r="J7" s="147"/>
      <c r="K7" s="147">
        <f>K6-1</f>
        <v>30.200000000000003</v>
      </c>
      <c r="L7" s="147"/>
      <c r="M7" s="147">
        <f>M6-1</f>
        <v>31.800000000000004</v>
      </c>
      <c r="N7" s="148"/>
    </row>
    <row r="9" spans="2:14" x14ac:dyDescent="0.3">
      <c r="B9" t="s">
        <v>72</v>
      </c>
      <c r="C9" t="s">
        <v>76</v>
      </c>
    </row>
  </sheetData>
  <customSheetViews>
    <customSheetView guid="{2EEA926C-3156-4AC6-9229-A7AA2DF955D3}" scale="85">
      <selection activeCell="Q5" sqref="Q5"/>
      <pageMargins left="0.7" right="0.7" top="0.75" bottom="0.75" header="0.3" footer="0.3"/>
      <pageSetup paperSize="9" orientation="portrait" r:id="rId1"/>
    </customSheetView>
    <customSheetView guid="{2DB1E318-7147-48DF-A27A-64EE5389D79D}" scale="85">
      <selection activeCell="Q5" sqref="Q5"/>
      <pageMargins left="0.7" right="0.7" top="0.75" bottom="0.75" header="0.3" footer="0.3"/>
      <pageSetup paperSize="9" orientation="portrait" r:id="rId2"/>
    </customSheetView>
    <customSheetView guid="{173D36D5-56F6-4F44-8AEA-1BCCEB5BEB01}" scale="85">
      <selection activeCell="Q5" sqref="Q5"/>
      <pageMargins left="0.7" right="0.7" top="0.75" bottom="0.75" header="0.3" footer="0.3"/>
      <pageSetup paperSize="9" orientation="portrait" r:id="rId3"/>
    </customSheetView>
    <customSheetView guid="{E54B5D21-78A5-49ED-8A41-5B0BD6CF5BF8}" scale="85">
      <selection activeCell="Q5" sqref="Q5"/>
      <pageMargins left="0.7" right="0.7" top="0.75" bottom="0.75" header="0.3" footer="0.3"/>
      <pageSetup paperSize="9" orientation="portrait" r:id="rId4"/>
    </customSheetView>
    <customSheetView guid="{118B26FA-458B-4EBF-A611-352DC7919B8F}" scale="85">
      <selection activeCell="N11" sqref="N11"/>
      <pageMargins left="0.7" right="0.7" top="0.75" bottom="0.75" header="0.3" footer="0.3"/>
      <pageSetup paperSize="9" orientation="portrait" r:id="rId5"/>
    </customSheetView>
    <customSheetView guid="{7E89C46F-A64B-40A0-896B-BA6F5B13D9A1}" scale="85">
      <selection activeCell="N11" sqref="N11"/>
      <pageMargins left="0.7" right="0.7" top="0.75" bottom="0.75" header="0.3" footer="0.3"/>
      <pageSetup paperSize="9" orientation="portrait" r:id="rId6"/>
    </customSheetView>
    <customSheetView guid="{A97CC407-D832-4D6B-889F-79EA371F2140}" scale="85">
      <selection activeCell="N11" sqref="N11"/>
      <pageMargins left="0.7" right="0.7" top="0.75" bottom="0.75" header="0.3" footer="0.3"/>
      <pageSetup paperSize="9" orientation="portrait" r:id="rId7"/>
    </customSheetView>
    <customSheetView guid="{B95F8ECF-EE4B-497E-8AFD-61960D2C04DE}" scale="85">
      <selection activeCell="N11" sqref="N11"/>
      <pageMargins left="0.7" right="0.7" top="0.75" bottom="0.75" header="0.3" footer="0.3"/>
      <pageSetup paperSize="9" orientation="portrait" r:id="rId8"/>
    </customSheetView>
    <customSheetView guid="{D1303DE8-82E6-497F-898A-86E0FE4EA44C}" scale="85">
      <selection activeCell="Q5" sqref="Q5"/>
      <pageMargins left="0.7" right="0.7" top="0.75" bottom="0.75" header="0.3" footer="0.3"/>
      <pageSetup paperSize="9" orientation="portrait" r:id="rId9"/>
    </customSheetView>
  </customSheetViews>
  <mergeCells count="11">
    <mergeCell ref="M2:N2"/>
    <mergeCell ref="E3:F3"/>
    <mergeCell ref="E7:F7"/>
    <mergeCell ref="G7:H7"/>
    <mergeCell ref="I7:J7"/>
    <mergeCell ref="K7:L7"/>
    <mergeCell ref="M7:N7"/>
    <mergeCell ref="E2:F2"/>
    <mergeCell ref="G2:H2"/>
    <mergeCell ref="I2:J2"/>
    <mergeCell ref="K2:L2"/>
  </mergeCells>
  <phoneticPr fontId="6" type="noConversion"/>
  <pageMargins left="0.7" right="0.7" top="0.75" bottom="0.75" header="0.3" footer="0.3"/>
  <pageSetup paperSize="9"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11" sqref="B11"/>
    </sheetView>
  </sheetViews>
  <sheetFormatPr defaultRowHeight="16.5" x14ac:dyDescent="0.3"/>
  <cols>
    <col min="1" max="1" width="20.25" customWidth="1"/>
    <col min="2" max="2" width="24.25" customWidth="1"/>
    <col min="3" max="3" width="24" customWidth="1"/>
    <col min="4" max="4" width="26.5" customWidth="1"/>
  </cols>
  <sheetData>
    <row r="1" spans="1:4" x14ac:dyDescent="0.3">
      <c r="A1" s="54" t="s">
        <v>393</v>
      </c>
      <c r="B1" s="55" t="s">
        <v>394</v>
      </c>
      <c r="C1" s="55" t="s">
        <v>395</v>
      </c>
      <c r="D1" s="56" t="s">
        <v>3</v>
      </c>
    </row>
  </sheetData>
  <customSheetViews>
    <customSheetView guid="{2EEA926C-3156-4AC6-9229-A7AA2DF955D3}">
      <selection activeCell="F14" sqref="F14"/>
      <pageMargins left="0.7" right="0.7" top="0.75" bottom="0.75" header="0.3" footer="0.3"/>
    </customSheetView>
    <customSheetView guid="{2DB1E318-7147-48DF-A27A-64EE5389D79D}">
      <selection activeCell="F14" sqref="F14"/>
      <pageMargins left="0.7" right="0.7" top="0.75" bottom="0.75" header="0.3" footer="0.3"/>
    </customSheetView>
    <customSheetView guid="{173D36D5-56F6-4F44-8AEA-1BCCEB5BEB01}">
      <selection activeCell="F14" sqref="F14"/>
      <pageMargins left="0.7" right="0.7" top="0.75" bottom="0.75" header="0.3" footer="0.3"/>
    </customSheetView>
    <customSheetView guid="{E54B5D21-78A5-49ED-8A41-5B0BD6CF5BF8}">
      <selection activeCell="F14" sqref="F14"/>
      <pageMargins left="0.7" right="0.7" top="0.75" bottom="0.75" header="0.3" footer="0.3"/>
    </customSheetView>
    <customSheetView guid="{118B26FA-458B-4EBF-A611-352DC7919B8F}">
      <selection activeCell="G20" sqref="G20"/>
      <pageMargins left="0.7" right="0.7" top="0.75" bottom="0.75" header="0.3" footer="0.3"/>
    </customSheetView>
    <customSheetView guid="{7E89C46F-A64B-40A0-896B-BA6F5B13D9A1}">
      <selection activeCell="G20" sqref="G20"/>
      <pageMargins left="0.7" right="0.7" top="0.75" bottom="0.75" header="0.3" footer="0.3"/>
    </customSheetView>
    <customSheetView guid="{A97CC407-D832-4D6B-889F-79EA371F2140}">
      <selection activeCell="G20" sqref="G20"/>
      <pageMargins left="0.7" right="0.7" top="0.75" bottom="0.75" header="0.3" footer="0.3"/>
    </customSheetView>
    <customSheetView guid="{B95F8ECF-EE4B-497E-8AFD-61960D2C04DE}">
      <selection activeCell="G20" sqref="G20"/>
      <pageMargins left="0.7" right="0.7" top="0.75" bottom="0.75" header="0.3" footer="0.3"/>
    </customSheetView>
    <customSheetView guid="{D1303DE8-82E6-497F-898A-86E0FE4EA44C}">
      <selection activeCell="F14" sqref="F14"/>
      <pageMargins left="0.7" right="0.7" top="0.75" bottom="0.75" header="0.3" footer="0.3"/>
    </customSheetView>
  </customSheetViews>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8"/>
  <sheetViews>
    <sheetView tabSelected="1" zoomScale="80" zoomScaleNormal="80" workbookViewId="0">
      <pane xSplit="5" ySplit="1" topLeftCell="F20" activePane="bottomRight" state="frozen"/>
      <selection pane="topRight" activeCell="F1" sqref="F1"/>
      <selection pane="bottomLeft" activeCell="A2" sqref="A2"/>
      <selection pane="bottomRight" activeCell="G21" sqref="G21"/>
    </sheetView>
  </sheetViews>
  <sheetFormatPr defaultRowHeight="16.5" x14ac:dyDescent="0.3"/>
  <cols>
    <col min="1" max="1" width="3.875" customWidth="1"/>
    <col min="2" max="2" width="16.375" style="30" customWidth="1"/>
    <col min="3" max="3" width="5.375" customWidth="1"/>
    <col min="4" max="4" width="5.5" customWidth="1"/>
    <col min="5" max="5" width="27.625" customWidth="1"/>
    <col min="6" max="6" width="59" customWidth="1"/>
    <col min="7" max="7" width="74.625" customWidth="1"/>
    <col min="8" max="8" width="53.875" customWidth="1"/>
    <col min="9" max="9" width="48.875" customWidth="1"/>
    <col min="10" max="10" width="7.25" customWidth="1"/>
    <col min="11" max="11" width="17.125" customWidth="1"/>
    <col min="12" max="12" width="2.75" style="32" customWidth="1"/>
    <col min="13" max="13" width="51.75" bestFit="1" customWidth="1"/>
    <col min="14" max="14" width="8.875" style="2" bestFit="1" customWidth="1"/>
    <col min="15" max="15" width="31.125" customWidth="1"/>
    <col min="16" max="16" width="46.375" customWidth="1"/>
  </cols>
  <sheetData>
    <row r="1" spans="1:16" s="2" customFormat="1" ht="27" x14ac:dyDescent="0.3">
      <c r="A1" s="26" t="s">
        <v>0</v>
      </c>
      <c r="B1" s="27" t="s">
        <v>1</v>
      </c>
      <c r="C1" s="27" t="s">
        <v>85</v>
      </c>
      <c r="D1" s="27" t="s">
        <v>2</v>
      </c>
      <c r="E1" s="27" t="s">
        <v>3</v>
      </c>
      <c r="F1" s="27" t="s">
        <v>4</v>
      </c>
      <c r="G1" s="27" t="s">
        <v>5</v>
      </c>
      <c r="H1" s="27" t="s">
        <v>189</v>
      </c>
      <c r="I1" s="27" t="s">
        <v>7</v>
      </c>
      <c r="J1" s="27" t="s">
        <v>8</v>
      </c>
      <c r="K1" s="27" t="s">
        <v>492</v>
      </c>
      <c r="L1" s="104" t="s">
        <v>86</v>
      </c>
      <c r="M1" s="28" t="s">
        <v>87</v>
      </c>
      <c r="N1" s="28" t="s">
        <v>743</v>
      </c>
      <c r="O1" s="28" t="s">
        <v>88</v>
      </c>
      <c r="P1" s="28" t="s">
        <v>89</v>
      </c>
    </row>
    <row r="2" spans="1:16" ht="285" customHeight="1" x14ac:dyDescent="0.3">
      <c r="A2" s="108" t="s">
        <v>9</v>
      </c>
      <c r="B2" s="108" t="s">
        <v>98</v>
      </c>
      <c r="C2" s="108" t="s">
        <v>10</v>
      </c>
      <c r="D2" s="108">
        <v>1</v>
      </c>
      <c r="E2" s="108" t="s">
        <v>1290</v>
      </c>
      <c r="F2" s="108" t="s">
        <v>945</v>
      </c>
      <c r="G2" s="108" t="s">
        <v>533</v>
      </c>
      <c r="H2" s="108" t="s">
        <v>987</v>
      </c>
      <c r="I2" s="108" t="s">
        <v>1378</v>
      </c>
      <c r="J2" s="108">
        <v>0</v>
      </c>
      <c r="K2" s="111" t="s">
        <v>396</v>
      </c>
      <c r="L2" s="108" t="s">
        <v>397</v>
      </c>
      <c r="M2" s="108" t="s">
        <v>111</v>
      </c>
      <c r="N2" s="95"/>
      <c r="O2" s="33"/>
      <c r="P2" s="33"/>
    </row>
    <row r="3" spans="1:16" ht="209.25" customHeight="1" x14ac:dyDescent="0.3">
      <c r="A3" s="108" t="s">
        <v>9</v>
      </c>
      <c r="B3" s="108" t="s">
        <v>99</v>
      </c>
      <c r="C3" s="108" t="s">
        <v>10</v>
      </c>
      <c r="D3" s="108">
        <v>1</v>
      </c>
      <c r="E3" s="108" t="s">
        <v>1291</v>
      </c>
      <c r="F3" s="108" t="s">
        <v>944</v>
      </c>
      <c r="G3" s="108" t="s">
        <v>522</v>
      </c>
      <c r="H3" s="108" t="s">
        <v>869</v>
      </c>
      <c r="I3" s="108" t="s">
        <v>1647</v>
      </c>
      <c r="J3" s="108">
        <v>1</v>
      </c>
      <c r="K3" s="111" t="s">
        <v>398</v>
      </c>
      <c r="L3" s="108" t="s">
        <v>1597</v>
      </c>
      <c r="M3" s="108" t="s">
        <v>112</v>
      </c>
      <c r="N3" s="95"/>
      <c r="O3" s="33"/>
      <c r="P3" s="33"/>
    </row>
    <row r="4" spans="1:16" ht="119.25" customHeight="1" x14ac:dyDescent="0.3">
      <c r="A4" s="108" t="s">
        <v>9</v>
      </c>
      <c r="B4" s="108" t="s">
        <v>441</v>
      </c>
      <c r="C4" s="108" t="s">
        <v>10</v>
      </c>
      <c r="D4" s="108">
        <v>1</v>
      </c>
      <c r="E4" s="108" t="s">
        <v>1292</v>
      </c>
      <c r="F4" s="108" t="s">
        <v>485</v>
      </c>
      <c r="G4" s="108" t="s">
        <v>1372</v>
      </c>
      <c r="H4" s="108" t="s">
        <v>94</v>
      </c>
      <c r="I4" s="108" t="s">
        <v>1224</v>
      </c>
      <c r="J4" s="108">
        <v>0</v>
      </c>
      <c r="K4" s="111"/>
      <c r="L4" s="108" t="s">
        <v>103</v>
      </c>
      <c r="M4" s="108" t="s">
        <v>132</v>
      </c>
      <c r="N4" s="98"/>
      <c r="O4" s="33"/>
      <c r="P4" s="33" t="s">
        <v>439</v>
      </c>
    </row>
    <row r="5" spans="1:16" ht="119.25" customHeight="1" x14ac:dyDescent="0.3">
      <c r="A5" s="108" t="s">
        <v>9</v>
      </c>
      <c r="B5" s="108" t="s">
        <v>99</v>
      </c>
      <c r="C5" s="108" t="s">
        <v>10</v>
      </c>
      <c r="D5" s="108">
        <v>1</v>
      </c>
      <c r="E5" s="108" t="s">
        <v>1293</v>
      </c>
      <c r="F5" s="108" t="s">
        <v>768</v>
      </c>
      <c r="G5" s="108" t="s">
        <v>759</v>
      </c>
      <c r="H5" s="108" t="s">
        <v>495</v>
      </c>
      <c r="I5" s="108" t="s">
        <v>1225</v>
      </c>
      <c r="J5" s="108">
        <v>0</v>
      </c>
      <c r="K5" s="111"/>
      <c r="L5" s="108" t="s">
        <v>103</v>
      </c>
      <c r="M5" s="108" t="s">
        <v>132</v>
      </c>
      <c r="N5" s="98"/>
      <c r="O5" s="33"/>
      <c r="P5" s="33"/>
    </row>
    <row r="6" spans="1:16" ht="364.5" x14ac:dyDescent="0.3">
      <c r="A6" s="108" t="s">
        <v>9</v>
      </c>
      <c r="B6" s="108" t="s">
        <v>102</v>
      </c>
      <c r="C6" s="108" t="s">
        <v>10</v>
      </c>
      <c r="D6" s="108">
        <v>1</v>
      </c>
      <c r="E6" s="108" t="s">
        <v>1294</v>
      </c>
      <c r="F6" s="108" t="s">
        <v>1248</v>
      </c>
      <c r="G6" s="108" t="s">
        <v>808</v>
      </c>
      <c r="H6" s="108" t="s">
        <v>805</v>
      </c>
      <c r="I6" s="108" t="s">
        <v>1650</v>
      </c>
      <c r="J6" s="108">
        <v>1</v>
      </c>
      <c r="K6" s="111" t="s">
        <v>336</v>
      </c>
      <c r="L6" s="108" t="s">
        <v>1598</v>
      </c>
      <c r="M6" s="108" t="s">
        <v>227</v>
      </c>
      <c r="N6" s="95"/>
      <c r="O6" s="33"/>
      <c r="P6" s="33"/>
    </row>
    <row r="7" spans="1:16" ht="185.25" customHeight="1" x14ac:dyDescent="0.3">
      <c r="A7" s="108" t="s">
        <v>9</v>
      </c>
      <c r="B7" s="108" t="s">
        <v>102</v>
      </c>
      <c r="C7" s="108" t="s">
        <v>10</v>
      </c>
      <c r="D7" s="108">
        <v>1</v>
      </c>
      <c r="E7" s="108" t="s">
        <v>1295</v>
      </c>
      <c r="F7" s="108" t="s">
        <v>1248</v>
      </c>
      <c r="G7" s="108" t="s">
        <v>806</v>
      </c>
      <c r="H7" s="108" t="s">
        <v>870</v>
      </c>
      <c r="I7" s="108" t="s">
        <v>1564</v>
      </c>
      <c r="J7" s="108">
        <v>1</v>
      </c>
      <c r="K7" s="111" t="s">
        <v>268</v>
      </c>
      <c r="L7" s="108" t="s">
        <v>175</v>
      </c>
      <c r="M7" s="108" t="s">
        <v>230</v>
      </c>
      <c r="N7" s="95"/>
      <c r="O7" s="33"/>
      <c r="P7" s="33"/>
    </row>
    <row r="8" spans="1:16" ht="118.5" customHeight="1" x14ac:dyDescent="0.3">
      <c r="A8" s="108" t="s">
        <v>9</v>
      </c>
      <c r="B8" s="108" t="s">
        <v>98</v>
      </c>
      <c r="C8" s="108" t="s">
        <v>10</v>
      </c>
      <c r="D8" s="108">
        <v>1</v>
      </c>
      <c r="E8" s="108" t="s">
        <v>1296</v>
      </c>
      <c r="F8" s="108" t="s">
        <v>1248</v>
      </c>
      <c r="G8" s="108" t="s">
        <v>807</v>
      </c>
      <c r="H8" s="108" t="s">
        <v>871</v>
      </c>
      <c r="I8" s="108" t="s">
        <v>1562</v>
      </c>
      <c r="J8" s="108">
        <v>1</v>
      </c>
      <c r="K8" s="111" t="s">
        <v>315</v>
      </c>
      <c r="L8" s="108" t="s">
        <v>175</v>
      </c>
      <c r="M8" s="108" t="s">
        <v>228</v>
      </c>
      <c r="N8" s="95"/>
      <c r="O8" s="33"/>
      <c r="P8" s="33"/>
    </row>
    <row r="9" spans="1:16" ht="291.75" customHeight="1" x14ac:dyDescent="0.3">
      <c r="A9" s="108" t="s">
        <v>9</v>
      </c>
      <c r="B9" s="108" t="s">
        <v>98</v>
      </c>
      <c r="C9" s="108" t="s">
        <v>10</v>
      </c>
      <c r="D9" s="108">
        <v>1</v>
      </c>
      <c r="E9" s="108" t="s">
        <v>1297</v>
      </c>
      <c r="F9" s="108" t="s">
        <v>1248</v>
      </c>
      <c r="G9" s="108" t="s">
        <v>1578</v>
      </c>
      <c r="H9" s="108" t="s">
        <v>872</v>
      </c>
      <c r="I9" s="108" t="s">
        <v>1563</v>
      </c>
      <c r="J9" s="108">
        <v>1</v>
      </c>
      <c r="K9" s="111" t="s">
        <v>271</v>
      </c>
      <c r="L9" s="108" t="s">
        <v>1598</v>
      </c>
      <c r="M9" s="108" t="s">
        <v>113</v>
      </c>
      <c r="N9" s="95"/>
      <c r="O9" s="33"/>
      <c r="P9" s="33"/>
    </row>
    <row r="10" spans="1:16" ht="359.45" customHeight="1" x14ac:dyDescent="0.3">
      <c r="A10" s="108" t="s">
        <v>9</v>
      </c>
      <c r="B10" s="108" t="s">
        <v>98</v>
      </c>
      <c r="C10" s="108" t="s">
        <v>10</v>
      </c>
      <c r="D10" s="108">
        <v>1</v>
      </c>
      <c r="E10" s="108" t="s">
        <v>1298</v>
      </c>
      <c r="F10" s="108" t="s">
        <v>1248</v>
      </c>
      <c r="G10" s="108" t="s">
        <v>811</v>
      </c>
      <c r="H10" s="108" t="s">
        <v>809</v>
      </c>
      <c r="I10" s="108" t="s">
        <v>959</v>
      </c>
      <c r="J10" s="108">
        <v>1</v>
      </c>
      <c r="K10" s="111" t="s">
        <v>407</v>
      </c>
      <c r="L10" s="108" t="s">
        <v>175</v>
      </c>
      <c r="M10" s="108" t="s">
        <v>229</v>
      </c>
      <c r="N10" s="95"/>
      <c r="O10" s="33"/>
      <c r="P10" s="33"/>
    </row>
    <row r="11" spans="1:16" ht="277.5" customHeight="1" x14ac:dyDescent="0.3">
      <c r="A11" s="108" t="s">
        <v>9</v>
      </c>
      <c r="B11" s="108" t="s">
        <v>98</v>
      </c>
      <c r="C11" s="108" t="s">
        <v>10</v>
      </c>
      <c r="D11" s="108">
        <v>1</v>
      </c>
      <c r="E11" s="108" t="s">
        <v>1299</v>
      </c>
      <c r="F11" s="108" t="s">
        <v>1249</v>
      </c>
      <c r="G11" s="108" t="s">
        <v>814</v>
      </c>
      <c r="H11" s="108" t="s">
        <v>873</v>
      </c>
      <c r="I11" s="108" t="s">
        <v>812</v>
      </c>
      <c r="J11" s="108">
        <v>1</v>
      </c>
      <c r="K11" s="111" t="s">
        <v>339</v>
      </c>
      <c r="L11" s="108" t="s">
        <v>1603</v>
      </c>
      <c r="M11" s="108" t="s">
        <v>114</v>
      </c>
      <c r="N11" s="95"/>
      <c r="O11" s="33"/>
      <c r="P11" s="33"/>
    </row>
    <row r="12" spans="1:16" ht="145.5" customHeight="1" x14ac:dyDescent="0.3">
      <c r="A12" s="108" t="s">
        <v>9</v>
      </c>
      <c r="B12" s="108" t="s">
        <v>98</v>
      </c>
      <c r="C12" s="108" t="s">
        <v>10</v>
      </c>
      <c r="D12" s="108">
        <v>1</v>
      </c>
      <c r="E12" s="108" t="s">
        <v>1300</v>
      </c>
      <c r="F12" s="108" t="s">
        <v>1250</v>
      </c>
      <c r="G12" s="108" t="s">
        <v>1416</v>
      </c>
      <c r="H12" s="108" t="s">
        <v>874</v>
      </c>
      <c r="I12" s="108" t="s">
        <v>1565</v>
      </c>
      <c r="J12" s="108">
        <v>1</v>
      </c>
      <c r="K12" s="111" t="s">
        <v>404</v>
      </c>
      <c r="L12" s="108" t="s">
        <v>175</v>
      </c>
      <c r="M12" s="108" t="s">
        <v>115</v>
      </c>
      <c r="N12" s="95"/>
      <c r="O12" s="33"/>
      <c r="P12" s="33"/>
    </row>
    <row r="13" spans="1:16" ht="135" x14ac:dyDescent="0.3">
      <c r="A13" s="108" t="s">
        <v>9</v>
      </c>
      <c r="B13" s="108" t="s">
        <v>98</v>
      </c>
      <c r="C13" s="108" t="s">
        <v>10</v>
      </c>
      <c r="D13" s="108">
        <v>1</v>
      </c>
      <c r="E13" s="108" t="s">
        <v>1301</v>
      </c>
      <c r="F13" s="108" t="s">
        <v>1250</v>
      </c>
      <c r="G13" s="108" t="s">
        <v>815</v>
      </c>
      <c r="H13" s="108" t="s">
        <v>875</v>
      </c>
      <c r="I13" s="108" t="s">
        <v>1566</v>
      </c>
      <c r="J13" s="108">
        <v>1</v>
      </c>
      <c r="K13" s="111" t="s">
        <v>405</v>
      </c>
      <c r="L13" s="108" t="s">
        <v>175</v>
      </c>
      <c r="M13" s="108" t="s">
        <v>188</v>
      </c>
      <c r="N13" s="95"/>
      <c r="O13" s="33"/>
      <c r="P13" s="33" t="s">
        <v>190</v>
      </c>
    </row>
    <row r="14" spans="1:16" ht="144.75" customHeight="1" x14ac:dyDescent="0.3">
      <c r="A14" s="108" t="s">
        <v>9</v>
      </c>
      <c r="B14" s="108" t="s">
        <v>98</v>
      </c>
      <c r="C14" s="108" t="s">
        <v>10</v>
      </c>
      <c r="D14" s="108">
        <v>1</v>
      </c>
      <c r="E14" s="108" t="s">
        <v>1302</v>
      </c>
      <c r="F14" s="108" t="s">
        <v>1250</v>
      </c>
      <c r="G14" s="108" t="s">
        <v>1417</v>
      </c>
      <c r="H14" s="108" t="s">
        <v>1418</v>
      </c>
      <c r="I14" s="108" t="s">
        <v>1567</v>
      </c>
      <c r="J14" s="108">
        <v>1</v>
      </c>
      <c r="K14" s="111" t="s">
        <v>276</v>
      </c>
      <c r="L14" s="108" t="s">
        <v>175</v>
      </c>
      <c r="M14" s="108" t="s">
        <v>116</v>
      </c>
      <c r="N14" s="95"/>
      <c r="O14" s="33"/>
      <c r="P14" s="33"/>
    </row>
    <row r="15" spans="1:16" ht="140.25" customHeight="1" x14ac:dyDescent="0.3">
      <c r="A15" s="108" t="s">
        <v>9</v>
      </c>
      <c r="B15" s="108" t="s">
        <v>98</v>
      </c>
      <c r="C15" s="108" t="s">
        <v>10</v>
      </c>
      <c r="D15" s="108">
        <v>1</v>
      </c>
      <c r="E15" s="108" t="s">
        <v>1303</v>
      </c>
      <c r="F15" s="108" t="s">
        <v>1250</v>
      </c>
      <c r="G15" s="108" t="s">
        <v>1419</v>
      </c>
      <c r="H15" s="108" t="s">
        <v>1420</v>
      </c>
      <c r="I15" s="108" t="s">
        <v>1568</v>
      </c>
      <c r="J15" s="108">
        <v>1</v>
      </c>
      <c r="K15" s="111" t="s">
        <v>351</v>
      </c>
      <c r="L15" s="108" t="s">
        <v>175</v>
      </c>
      <c r="M15" s="108" t="s">
        <v>117</v>
      </c>
      <c r="N15" s="95"/>
      <c r="O15" s="33"/>
      <c r="P15" s="33"/>
    </row>
    <row r="16" spans="1:16" ht="256.5" x14ac:dyDescent="0.3">
      <c r="A16" s="108" t="s">
        <v>9</v>
      </c>
      <c r="B16" s="108" t="s">
        <v>98</v>
      </c>
      <c r="C16" s="108" t="s">
        <v>10</v>
      </c>
      <c r="D16" s="108">
        <v>1</v>
      </c>
      <c r="E16" s="108" t="s">
        <v>1304</v>
      </c>
      <c r="F16" s="108" t="s">
        <v>1242</v>
      </c>
      <c r="G16" s="108" t="s">
        <v>816</v>
      </c>
      <c r="H16" s="108" t="s">
        <v>876</v>
      </c>
      <c r="I16" s="108" t="s">
        <v>538</v>
      </c>
      <c r="J16" s="108">
        <v>1</v>
      </c>
      <c r="K16" s="111" t="s">
        <v>406</v>
      </c>
      <c r="L16" s="108" t="s">
        <v>1598</v>
      </c>
      <c r="M16" s="108" t="s">
        <v>118</v>
      </c>
      <c r="N16" s="95"/>
      <c r="O16" s="33"/>
      <c r="P16" s="33"/>
    </row>
    <row r="17" spans="1:22" ht="409.5" x14ac:dyDescent="0.3">
      <c r="A17" s="108" t="s">
        <v>9</v>
      </c>
      <c r="B17" s="108" t="s">
        <v>98</v>
      </c>
      <c r="C17" s="108" t="s">
        <v>10</v>
      </c>
      <c r="D17" s="108">
        <v>1</v>
      </c>
      <c r="E17" s="108" t="s">
        <v>1305</v>
      </c>
      <c r="F17" s="108" t="s">
        <v>1250</v>
      </c>
      <c r="G17" s="108" t="s">
        <v>817</v>
      </c>
      <c r="H17" s="108" t="s">
        <v>877</v>
      </c>
      <c r="I17" s="108" t="s">
        <v>550</v>
      </c>
      <c r="J17" s="108">
        <v>1</v>
      </c>
      <c r="K17" s="111" t="s">
        <v>310</v>
      </c>
      <c r="L17" s="108" t="s">
        <v>1601</v>
      </c>
      <c r="M17" s="108" t="s">
        <v>134</v>
      </c>
      <c r="N17" s="95"/>
      <c r="O17" s="33"/>
      <c r="P17" s="33"/>
    </row>
    <row r="18" spans="1:22" ht="145.5" customHeight="1" x14ac:dyDescent="0.3">
      <c r="A18" s="108" t="s">
        <v>9</v>
      </c>
      <c r="B18" s="108" t="s">
        <v>98</v>
      </c>
      <c r="C18" s="108" t="s">
        <v>10</v>
      </c>
      <c r="D18" s="108">
        <v>1</v>
      </c>
      <c r="E18" s="108" t="s">
        <v>1306</v>
      </c>
      <c r="F18" s="108" t="s">
        <v>1250</v>
      </c>
      <c r="G18" s="108" t="s">
        <v>818</v>
      </c>
      <c r="H18" s="108" t="s">
        <v>902</v>
      </c>
      <c r="I18" s="108" t="s">
        <v>1569</v>
      </c>
      <c r="J18" s="108">
        <v>1</v>
      </c>
      <c r="K18" s="111" t="s">
        <v>312</v>
      </c>
      <c r="L18" s="108" t="s">
        <v>175</v>
      </c>
      <c r="M18" s="108" t="s">
        <v>119</v>
      </c>
      <c r="N18" s="95"/>
      <c r="O18" s="33"/>
      <c r="P18" s="33"/>
    </row>
    <row r="19" spans="1:22" ht="146.25" customHeight="1" x14ac:dyDescent="0.3">
      <c r="A19" s="108" t="s">
        <v>9</v>
      </c>
      <c r="B19" s="108" t="s">
        <v>98</v>
      </c>
      <c r="C19" s="108" t="s">
        <v>10</v>
      </c>
      <c r="D19" s="108">
        <v>1</v>
      </c>
      <c r="E19" s="108" t="s">
        <v>1307</v>
      </c>
      <c r="F19" s="108" t="s">
        <v>1250</v>
      </c>
      <c r="G19" s="108" t="s">
        <v>819</v>
      </c>
      <c r="H19" s="108" t="s">
        <v>904</v>
      </c>
      <c r="I19" s="108" t="s">
        <v>1569</v>
      </c>
      <c r="J19" s="108">
        <v>1</v>
      </c>
      <c r="K19" s="111" t="s">
        <v>286</v>
      </c>
      <c r="L19" s="108" t="s">
        <v>1597</v>
      </c>
      <c r="M19" s="108" t="s">
        <v>235</v>
      </c>
      <c r="N19" s="95"/>
      <c r="O19" s="33" t="s">
        <v>224</v>
      </c>
      <c r="P19" s="33" t="s">
        <v>225</v>
      </c>
    </row>
    <row r="20" spans="1:22" ht="177.75" customHeight="1" x14ac:dyDescent="0.3">
      <c r="A20" s="108" t="s">
        <v>9</v>
      </c>
      <c r="B20" s="108" t="s">
        <v>98</v>
      </c>
      <c r="C20" s="108" t="s">
        <v>10</v>
      </c>
      <c r="D20" s="108">
        <v>1</v>
      </c>
      <c r="E20" s="108" t="s">
        <v>1308</v>
      </c>
      <c r="F20" s="108" t="s">
        <v>1250</v>
      </c>
      <c r="G20" s="108" t="s">
        <v>820</v>
      </c>
      <c r="H20" s="108" t="s">
        <v>905</v>
      </c>
      <c r="I20" s="108" t="s">
        <v>1570</v>
      </c>
      <c r="J20" s="108">
        <v>1</v>
      </c>
      <c r="K20" s="111" t="s">
        <v>281</v>
      </c>
      <c r="L20" s="108" t="s">
        <v>1597</v>
      </c>
      <c r="M20" s="108" t="s">
        <v>121</v>
      </c>
      <c r="N20" s="95"/>
      <c r="O20" s="33"/>
      <c r="P20" s="33"/>
    </row>
    <row r="21" spans="1:22" ht="147.19999999999999" customHeight="1" x14ac:dyDescent="0.3">
      <c r="A21" s="108" t="s">
        <v>9</v>
      </c>
      <c r="B21" s="108" t="s">
        <v>98</v>
      </c>
      <c r="C21" s="108" t="s">
        <v>10</v>
      </c>
      <c r="D21" s="108">
        <v>1</v>
      </c>
      <c r="E21" s="108" t="s">
        <v>1309</v>
      </c>
      <c r="F21" s="108" t="s">
        <v>1250</v>
      </c>
      <c r="G21" s="108" t="s">
        <v>821</v>
      </c>
      <c r="H21" s="108" t="s">
        <v>906</v>
      </c>
      <c r="I21" s="108" t="s">
        <v>1571</v>
      </c>
      <c r="J21" s="108">
        <v>1</v>
      </c>
      <c r="K21" s="111" t="s">
        <v>282</v>
      </c>
      <c r="L21" s="108" t="s">
        <v>175</v>
      </c>
      <c r="M21" s="108" t="s">
        <v>122</v>
      </c>
      <c r="N21" s="95"/>
      <c r="O21" s="33"/>
      <c r="P21" s="33"/>
    </row>
    <row r="22" spans="1:22" ht="162" x14ac:dyDescent="0.3">
      <c r="A22" s="108" t="s">
        <v>9</v>
      </c>
      <c r="B22" s="108" t="s">
        <v>98</v>
      </c>
      <c r="C22" s="108" t="s">
        <v>10</v>
      </c>
      <c r="D22" s="108">
        <v>1</v>
      </c>
      <c r="E22" s="108" t="s">
        <v>1310</v>
      </c>
      <c r="F22" s="108" t="s">
        <v>1250</v>
      </c>
      <c r="G22" s="108" t="s">
        <v>822</v>
      </c>
      <c r="H22" s="108" t="s">
        <v>907</v>
      </c>
      <c r="I22" s="108" t="s">
        <v>1572</v>
      </c>
      <c r="J22" s="108">
        <v>1</v>
      </c>
      <c r="K22" s="111" t="s">
        <v>283</v>
      </c>
      <c r="L22" s="108" t="s">
        <v>175</v>
      </c>
      <c r="M22" s="108" t="s">
        <v>123</v>
      </c>
      <c r="N22" s="95"/>
      <c r="O22" s="33"/>
      <c r="P22" s="33"/>
    </row>
    <row r="23" spans="1:22" ht="216" customHeight="1" x14ac:dyDescent="0.3">
      <c r="A23" s="108" t="s">
        <v>9</v>
      </c>
      <c r="B23" s="108" t="s">
        <v>98</v>
      </c>
      <c r="C23" s="108" t="s">
        <v>10</v>
      </c>
      <c r="D23" s="108">
        <v>1</v>
      </c>
      <c r="E23" s="108" t="s">
        <v>1311</v>
      </c>
      <c r="F23" s="108" t="s">
        <v>1250</v>
      </c>
      <c r="G23" s="108" t="s">
        <v>1580</v>
      </c>
      <c r="H23" s="108" t="s">
        <v>909</v>
      </c>
      <c r="I23" s="108" t="s">
        <v>1569</v>
      </c>
      <c r="J23" s="108">
        <v>1</v>
      </c>
      <c r="K23" s="111" t="s">
        <v>284</v>
      </c>
      <c r="L23" s="108" t="s">
        <v>175</v>
      </c>
      <c r="M23" s="108" t="s">
        <v>124</v>
      </c>
      <c r="N23" s="95"/>
      <c r="O23" s="33"/>
      <c r="P23" s="33"/>
    </row>
    <row r="24" spans="1:22" ht="189" x14ac:dyDescent="0.3">
      <c r="A24" s="108" t="s">
        <v>9</v>
      </c>
      <c r="B24" s="108" t="s">
        <v>98</v>
      </c>
      <c r="C24" s="108" t="s">
        <v>10</v>
      </c>
      <c r="D24" s="108">
        <v>1</v>
      </c>
      <c r="E24" s="108" t="s">
        <v>1312</v>
      </c>
      <c r="F24" s="108" t="s">
        <v>1270</v>
      </c>
      <c r="G24" s="108" t="s">
        <v>1421</v>
      </c>
      <c r="H24" s="108" t="s">
        <v>878</v>
      </c>
      <c r="I24" s="108" t="s">
        <v>1552</v>
      </c>
      <c r="J24" s="108">
        <v>1</v>
      </c>
      <c r="K24" s="111" t="s">
        <v>354</v>
      </c>
      <c r="L24" s="108" t="s">
        <v>175</v>
      </c>
      <c r="M24" s="108" t="s">
        <v>437</v>
      </c>
      <c r="N24" s="95"/>
      <c r="O24" s="33"/>
      <c r="P24" s="33"/>
    </row>
    <row r="25" spans="1:22" ht="243" x14ac:dyDescent="0.3">
      <c r="A25" s="108" t="s">
        <v>9</v>
      </c>
      <c r="B25" s="108" t="s">
        <v>98</v>
      </c>
      <c r="C25" s="108" t="s">
        <v>10</v>
      </c>
      <c r="D25" s="108">
        <v>1</v>
      </c>
      <c r="E25" s="108" t="s">
        <v>1313</v>
      </c>
      <c r="F25" s="108" t="s">
        <v>1271</v>
      </c>
      <c r="G25" s="108" t="s">
        <v>1422</v>
      </c>
      <c r="H25" s="108" t="s">
        <v>878</v>
      </c>
      <c r="I25" s="108" t="s">
        <v>1573</v>
      </c>
      <c r="J25" s="108">
        <v>1</v>
      </c>
      <c r="K25" s="111" t="s">
        <v>324</v>
      </c>
      <c r="L25" s="108" t="s">
        <v>175</v>
      </c>
      <c r="M25" s="108" t="s">
        <v>438</v>
      </c>
      <c r="N25" s="92" t="s">
        <v>575</v>
      </c>
      <c r="O25" s="33"/>
      <c r="P25" s="33"/>
    </row>
    <row r="26" spans="1:22" ht="256.5" x14ac:dyDescent="0.3">
      <c r="A26" s="108" t="s">
        <v>9</v>
      </c>
      <c r="B26" s="108" t="s">
        <v>98</v>
      </c>
      <c r="C26" s="108" t="s">
        <v>10</v>
      </c>
      <c r="D26" s="108">
        <v>1</v>
      </c>
      <c r="E26" s="108" t="s">
        <v>1314</v>
      </c>
      <c r="F26" s="108" t="s">
        <v>939</v>
      </c>
      <c r="G26" s="108" t="s">
        <v>1423</v>
      </c>
      <c r="H26" s="108" t="s">
        <v>521</v>
      </c>
      <c r="I26" s="108" t="s">
        <v>1424</v>
      </c>
      <c r="J26" s="124">
        <v>1</v>
      </c>
      <c r="K26" s="108" t="s">
        <v>964</v>
      </c>
      <c r="L26" s="108" t="s">
        <v>175</v>
      </c>
      <c r="M26" s="108" t="s">
        <v>469</v>
      </c>
      <c r="N26" s="92" t="s">
        <v>575</v>
      </c>
      <c r="O26" s="33"/>
      <c r="P26" s="33"/>
      <c r="Q26" s="132"/>
      <c r="R26" s="63"/>
      <c r="V26" s="1"/>
    </row>
    <row r="27" spans="1:22" ht="216" x14ac:dyDescent="0.3">
      <c r="A27" s="108" t="s">
        <v>9</v>
      </c>
      <c r="B27" s="108" t="s">
        <v>98</v>
      </c>
      <c r="C27" s="108" t="s">
        <v>10</v>
      </c>
      <c r="D27" s="108">
        <v>1</v>
      </c>
      <c r="E27" s="108" t="s">
        <v>1315</v>
      </c>
      <c r="F27" s="108" t="s">
        <v>525</v>
      </c>
      <c r="G27" s="108" t="s">
        <v>1425</v>
      </c>
      <c r="H27" s="108" t="s">
        <v>879</v>
      </c>
      <c r="I27" s="108" t="s">
        <v>532</v>
      </c>
      <c r="J27" s="108">
        <v>1</v>
      </c>
      <c r="K27" s="111" t="s">
        <v>340</v>
      </c>
      <c r="L27" s="108" t="s">
        <v>1598</v>
      </c>
      <c r="M27" s="108" t="s">
        <v>140</v>
      </c>
      <c r="N27" s="92" t="s">
        <v>575</v>
      </c>
      <c r="O27" s="33"/>
      <c r="P27" s="33"/>
    </row>
    <row r="28" spans="1:22" ht="409.6" customHeight="1" x14ac:dyDescent="0.3">
      <c r="A28" s="108" t="s">
        <v>9</v>
      </c>
      <c r="B28" s="108" t="s">
        <v>100</v>
      </c>
      <c r="C28" s="108" t="s">
        <v>10</v>
      </c>
      <c r="D28" s="108">
        <v>1</v>
      </c>
      <c r="E28" s="108" t="s">
        <v>1316</v>
      </c>
      <c r="F28" s="108" t="s">
        <v>1284</v>
      </c>
      <c r="G28" s="108" t="s">
        <v>1426</v>
      </c>
      <c r="H28" s="108" t="s">
        <v>830</v>
      </c>
      <c r="I28" s="108" t="s">
        <v>1377</v>
      </c>
      <c r="J28" s="108">
        <v>1</v>
      </c>
      <c r="K28" s="111" t="s">
        <v>432</v>
      </c>
      <c r="L28" s="108" t="s">
        <v>1597</v>
      </c>
      <c r="M28" s="108" t="s">
        <v>125</v>
      </c>
      <c r="N28" s="92" t="s">
        <v>586</v>
      </c>
      <c r="O28" s="33" t="s">
        <v>232</v>
      </c>
      <c r="P28" s="33" t="s">
        <v>96</v>
      </c>
    </row>
    <row r="29" spans="1:22" ht="140.25" customHeight="1" x14ac:dyDescent="0.3">
      <c r="A29" s="108" t="s">
        <v>9</v>
      </c>
      <c r="B29" s="125" t="s">
        <v>100</v>
      </c>
      <c r="C29" s="108" t="s">
        <v>10</v>
      </c>
      <c r="D29" s="108">
        <v>1</v>
      </c>
      <c r="E29" s="108" t="s">
        <v>1317</v>
      </c>
      <c r="F29" s="108" t="s">
        <v>526</v>
      </c>
      <c r="G29" s="108" t="s">
        <v>760</v>
      </c>
      <c r="H29" s="108" t="s">
        <v>982</v>
      </c>
      <c r="I29" s="108" t="s">
        <v>1427</v>
      </c>
      <c r="J29" s="108">
        <v>0</v>
      </c>
      <c r="K29" s="111"/>
      <c r="L29" s="108" t="s">
        <v>103</v>
      </c>
      <c r="M29" s="108" t="s">
        <v>126</v>
      </c>
      <c r="N29" s="92" t="s">
        <v>586</v>
      </c>
      <c r="O29" s="33"/>
      <c r="P29" s="33"/>
    </row>
    <row r="30" spans="1:22" ht="140.25" customHeight="1" x14ac:dyDescent="0.3">
      <c r="A30" s="108" t="s">
        <v>9</v>
      </c>
      <c r="B30" s="125" t="s">
        <v>100</v>
      </c>
      <c r="C30" s="108" t="s">
        <v>10</v>
      </c>
      <c r="D30" s="108">
        <v>1</v>
      </c>
      <c r="E30" s="108" t="s">
        <v>1318</v>
      </c>
      <c r="F30" s="108" t="s">
        <v>527</v>
      </c>
      <c r="G30" s="108" t="s">
        <v>524</v>
      </c>
      <c r="H30" s="108" t="s">
        <v>992</v>
      </c>
      <c r="I30" s="108" t="s">
        <v>568</v>
      </c>
      <c r="J30" s="108">
        <v>0</v>
      </c>
      <c r="K30" s="111" t="s">
        <v>239</v>
      </c>
      <c r="L30" s="108" t="s">
        <v>104</v>
      </c>
      <c r="M30" s="108" t="s">
        <v>169</v>
      </c>
      <c r="N30" s="92" t="s">
        <v>587</v>
      </c>
      <c r="O30" s="33" t="s">
        <v>177</v>
      </c>
      <c r="P30" s="33" t="s">
        <v>173</v>
      </c>
    </row>
    <row r="31" spans="1:22" ht="409.5" x14ac:dyDescent="0.3">
      <c r="A31" s="108" t="s">
        <v>9</v>
      </c>
      <c r="B31" s="108" t="s">
        <v>100</v>
      </c>
      <c r="C31" s="108" t="s">
        <v>10</v>
      </c>
      <c r="D31" s="108">
        <v>1</v>
      </c>
      <c r="E31" s="108" t="s">
        <v>1319</v>
      </c>
      <c r="F31" s="108" t="s">
        <v>528</v>
      </c>
      <c r="G31" s="108" t="s">
        <v>539</v>
      </c>
      <c r="H31" s="108" t="s">
        <v>901</v>
      </c>
      <c r="I31" s="108" t="s">
        <v>1574</v>
      </c>
      <c r="J31" s="108">
        <v>1</v>
      </c>
      <c r="K31" s="111" t="s">
        <v>403</v>
      </c>
      <c r="L31" s="108" t="s">
        <v>175</v>
      </c>
      <c r="M31" s="108" t="s">
        <v>127</v>
      </c>
      <c r="N31" s="92" t="s">
        <v>587</v>
      </c>
      <c r="O31" s="33"/>
      <c r="P31" s="33"/>
    </row>
    <row r="32" spans="1:22" ht="179.45" customHeight="1" x14ac:dyDescent="0.3">
      <c r="A32" s="108" t="s">
        <v>9</v>
      </c>
      <c r="B32" s="108" t="s">
        <v>100</v>
      </c>
      <c r="C32" s="108" t="s">
        <v>10</v>
      </c>
      <c r="D32" s="108">
        <v>1</v>
      </c>
      <c r="E32" s="108" t="s">
        <v>1320</v>
      </c>
      <c r="F32" s="108" t="s">
        <v>484</v>
      </c>
      <c r="G32" s="108" t="s">
        <v>540</v>
      </c>
      <c r="H32" s="108" t="s">
        <v>880</v>
      </c>
      <c r="I32" s="108" t="s">
        <v>1575</v>
      </c>
      <c r="J32" s="108">
        <v>1</v>
      </c>
      <c r="K32" s="111" t="s">
        <v>293</v>
      </c>
      <c r="L32" s="108" t="s">
        <v>1604</v>
      </c>
      <c r="M32" s="108" t="s">
        <v>128</v>
      </c>
      <c r="N32" s="92" t="s">
        <v>587</v>
      </c>
      <c r="O32" s="33"/>
      <c r="P32" s="33"/>
    </row>
    <row r="33" spans="1:21" ht="179.45" customHeight="1" x14ac:dyDescent="0.3">
      <c r="A33" s="108" t="s">
        <v>9</v>
      </c>
      <c r="B33" s="108" t="s">
        <v>100</v>
      </c>
      <c r="C33" s="108" t="s">
        <v>10</v>
      </c>
      <c r="D33" s="108">
        <v>1</v>
      </c>
      <c r="E33" s="108" t="s">
        <v>1321</v>
      </c>
      <c r="F33" s="108" t="s">
        <v>518</v>
      </c>
      <c r="G33" s="108" t="s">
        <v>516</v>
      </c>
      <c r="H33" s="108" t="s">
        <v>94</v>
      </c>
      <c r="I33" s="108" t="s">
        <v>1576</v>
      </c>
      <c r="J33" s="108">
        <v>0</v>
      </c>
      <c r="K33" s="111"/>
      <c r="L33" s="108" t="s">
        <v>103</v>
      </c>
      <c r="M33" s="108" t="s">
        <v>132</v>
      </c>
      <c r="N33" s="73" t="s">
        <v>588</v>
      </c>
      <c r="O33" s="33"/>
      <c r="P33" s="33" t="s">
        <v>439</v>
      </c>
    </row>
    <row r="34" spans="1:21" ht="251.25" customHeight="1" x14ac:dyDescent="0.3">
      <c r="A34" s="108" t="s">
        <v>9</v>
      </c>
      <c r="B34" s="108" t="s">
        <v>100</v>
      </c>
      <c r="C34" s="108" t="s">
        <v>10</v>
      </c>
      <c r="D34" s="108">
        <v>1</v>
      </c>
      <c r="E34" s="108" t="s">
        <v>1322</v>
      </c>
      <c r="F34" s="108" t="s">
        <v>480</v>
      </c>
      <c r="G34" s="108" t="s">
        <v>823</v>
      </c>
      <c r="H34" s="108" t="s">
        <v>900</v>
      </c>
      <c r="I34" s="108" t="s">
        <v>1428</v>
      </c>
      <c r="J34" s="108">
        <v>1</v>
      </c>
      <c r="K34" s="111" t="s">
        <v>302</v>
      </c>
      <c r="L34" s="108" t="s">
        <v>175</v>
      </c>
      <c r="M34" s="108" t="s">
        <v>1606</v>
      </c>
      <c r="N34" s="92" t="s">
        <v>590</v>
      </c>
      <c r="O34" s="33"/>
      <c r="P34" s="33" t="s">
        <v>238</v>
      </c>
    </row>
    <row r="35" spans="1:21" ht="388.5" customHeight="1" x14ac:dyDescent="0.3">
      <c r="A35" s="108" t="s">
        <v>9</v>
      </c>
      <c r="B35" s="108" t="s">
        <v>100</v>
      </c>
      <c r="C35" s="108" t="s">
        <v>10</v>
      </c>
      <c r="D35" s="108">
        <v>1</v>
      </c>
      <c r="E35" s="108" t="s">
        <v>1323</v>
      </c>
      <c r="F35" s="108" t="s">
        <v>941</v>
      </c>
      <c r="G35" s="108" t="s">
        <v>1581</v>
      </c>
      <c r="H35" s="108" t="s">
        <v>1582</v>
      </c>
      <c r="I35" s="108" t="s">
        <v>1583</v>
      </c>
      <c r="J35" s="108">
        <v>1</v>
      </c>
      <c r="K35" s="111" t="s">
        <v>269</v>
      </c>
      <c r="L35" s="108" t="s">
        <v>175</v>
      </c>
      <c r="M35" s="121" t="s">
        <v>1605</v>
      </c>
      <c r="N35" s="96" t="s">
        <v>590</v>
      </c>
      <c r="O35" s="33"/>
      <c r="P35" s="33"/>
    </row>
    <row r="36" spans="1:21" ht="189" x14ac:dyDescent="0.3">
      <c r="A36" s="108" t="s">
        <v>9</v>
      </c>
      <c r="B36" s="108" t="s">
        <v>100</v>
      </c>
      <c r="C36" s="108" t="s">
        <v>10</v>
      </c>
      <c r="D36" s="108">
        <v>1</v>
      </c>
      <c r="E36" s="108" t="s">
        <v>1324</v>
      </c>
      <c r="F36" s="108" t="s">
        <v>481</v>
      </c>
      <c r="G36" s="108" t="s">
        <v>827</v>
      </c>
      <c r="H36" s="108" t="s">
        <v>888</v>
      </c>
      <c r="I36" s="108" t="s">
        <v>531</v>
      </c>
      <c r="J36" s="108">
        <v>1</v>
      </c>
      <c r="K36" s="111" t="s">
        <v>321</v>
      </c>
      <c r="L36" s="108" t="s">
        <v>1607</v>
      </c>
      <c r="M36" s="108" t="s">
        <v>130</v>
      </c>
      <c r="N36" s="92" t="s">
        <v>590</v>
      </c>
      <c r="O36" s="33"/>
      <c r="P36" s="33"/>
    </row>
    <row r="37" spans="1:21" ht="270" x14ac:dyDescent="0.3">
      <c r="A37" s="108" t="s">
        <v>9</v>
      </c>
      <c r="B37" s="108" t="s">
        <v>100</v>
      </c>
      <c r="C37" s="108" t="s">
        <v>10</v>
      </c>
      <c r="D37" s="108">
        <v>1</v>
      </c>
      <c r="E37" s="108" t="s">
        <v>1325</v>
      </c>
      <c r="F37" s="108" t="s">
        <v>482</v>
      </c>
      <c r="G37" s="108" t="s">
        <v>826</v>
      </c>
      <c r="H37" s="108" t="s">
        <v>899</v>
      </c>
      <c r="I37" s="108" t="s">
        <v>536</v>
      </c>
      <c r="J37" s="108">
        <v>1</v>
      </c>
      <c r="K37" s="111" t="s">
        <v>264</v>
      </c>
      <c r="L37" s="108" t="s">
        <v>1603</v>
      </c>
      <c r="M37" s="121" t="s">
        <v>193</v>
      </c>
      <c r="N37" s="96" t="s">
        <v>590</v>
      </c>
      <c r="O37" s="33"/>
      <c r="P37" s="33"/>
    </row>
    <row r="38" spans="1:21" ht="167.25" customHeight="1" x14ac:dyDescent="0.3">
      <c r="A38" s="108" t="s">
        <v>9</v>
      </c>
      <c r="B38" s="108" t="s">
        <v>100</v>
      </c>
      <c r="C38" s="108" t="s">
        <v>10</v>
      </c>
      <c r="D38" s="108">
        <v>1</v>
      </c>
      <c r="E38" s="108" t="s">
        <v>1326</v>
      </c>
      <c r="F38" s="108" t="s">
        <v>529</v>
      </c>
      <c r="G38" s="108" t="s">
        <v>1429</v>
      </c>
      <c r="H38" s="108" t="s">
        <v>1430</v>
      </c>
      <c r="I38" s="108" t="s">
        <v>1431</v>
      </c>
      <c r="J38" s="108">
        <v>1</v>
      </c>
      <c r="K38" s="111" t="s">
        <v>965</v>
      </c>
      <c r="L38" s="108" t="s">
        <v>175</v>
      </c>
      <c r="M38" s="108" t="s">
        <v>181</v>
      </c>
      <c r="N38" s="92" t="s">
        <v>590</v>
      </c>
      <c r="O38" s="33"/>
      <c r="P38" s="33" t="s">
        <v>447</v>
      </c>
    </row>
    <row r="39" spans="1:21" ht="186" customHeight="1" x14ac:dyDescent="0.3">
      <c r="A39" s="108" t="s">
        <v>9</v>
      </c>
      <c r="B39" s="108" t="s">
        <v>100</v>
      </c>
      <c r="C39" s="108" t="s">
        <v>10</v>
      </c>
      <c r="D39" s="108">
        <v>1</v>
      </c>
      <c r="E39" s="108" t="s">
        <v>1327</v>
      </c>
      <c r="F39" s="108" t="s">
        <v>84</v>
      </c>
      <c r="G39" s="108" t="s">
        <v>1584</v>
      </c>
      <c r="H39" s="108" t="s">
        <v>898</v>
      </c>
      <c r="I39" s="108" t="s">
        <v>1577</v>
      </c>
      <c r="J39" s="108">
        <v>1</v>
      </c>
      <c r="K39" s="111" t="s">
        <v>327</v>
      </c>
      <c r="L39" s="108" t="s">
        <v>1607</v>
      </c>
      <c r="M39" s="108" t="s">
        <v>131</v>
      </c>
      <c r="N39" s="92" t="s">
        <v>590</v>
      </c>
      <c r="O39" s="33"/>
      <c r="P39" s="33"/>
    </row>
    <row r="40" spans="1:21" ht="189" x14ac:dyDescent="0.3">
      <c r="A40" s="108" t="s">
        <v>9</v>
      </c>
      <c r="B40" s="108" t="s">
        <v>101</v>
      </c>
      <c r="C40" s="108" t="s">
        <v>10</v>
      </c>
      <c r="D40" s="108">
        <v>1</v>
      </c>
      <c r="E40" s="108" t="s">
        <v>1328</v>
      </c>
      <c r="F40" s="108" t="s">
        <v>943</v>
      </c>
      <c r="G40" s="108" t="s">
        <v>769</v>
      </c>
      <c r="H40" s="108" t="s">
        <v>94</v>
      </c>
      <c r="I40" s="108" t="s">
        <v>766</v>
      </c>
      <c r="J40" s="108">
        <v>0</v>
      </c>
      <c r="K40" s="111"/>
      <c r="L40" s="108" t="s">
        <v>103</v>
      </c>
      <c r="M40" s="108" t="s">
        <v>402</v>
      </c>
      <c r="N40" s="92" t="s">
        <v>590</v>
      </c>
      <c r="O40" s="33"/>
      <c r="P40" s="33" t="s">
        <v>97</v>
      </c>
    </row>
    <row r="41" spans="1:21" ht="135" x14ac:dyDescent="0.3">
      <c r="A41" s="108" t="s">
        <v>9</v>
      </c>
      <c r="B41" s="108" t="s">
        <v>101</v>
      </c>
      <c r="C41" s="108" t="s">
        <v>10</v>
      </c>
      <c r="D41" s="108">
        <v>1</v>
      </c>
      <c r="E41" s="108" t="s">
        <v>1329</v>
      </c>
      <c r="F41" s="108" t="s">
        <v>1285</v>
      </c>
      <c r="G41" s="108" t="s">
        <v>523</v>
      </c>
      <c r="H41" s="108" t="s">
        <v>829</v>
      </c>
      <c r="I41" s="108" t="s">
        <v>770</v>
      </c>
      <c r="J41" s="108">
        <v>0</v>
      </c>
      <c r="K41" s="111" t="s">
        <v>300</v>
      </c>
      <c r="L41" s="108" t="s">
        <v>104</v>
      </c>
      <c r="M41" s="108" t="s">
        <v>133</v>
      </c>
      <c r="N41" s="92" t="s">
        <v>590</v>
      </c>
      <c r="O41" s="33"/>
      <c r="P41" s="33"/>
    </row>
    <row r="42" spans="1:21" ht="108" x14ac:dyDescent="0.3">
      <c r="A42" s="108" t="s">
        <v>9</v>
      </c>
      <c r="B42" s="108" t="s">
        <v>978</v>
      </c>
      <c r="C42" s="108" t="s">
        <v>10</v>
      </c>
      <c r="D42" s="108">
        <v>1</v>
      </c>
      <c r="E42" s="108" t="s">
        <v>1330</v>
      </c>
      <c r="F42" s="108" t="s">
        <v>1240</v>
      </c>
      <c r="G42" s="108" t="s">
        <v>772</v>
      </c>
      <c r="H42" s="108" t="s">
        <v>952</v>
      </c>
      <c r="I42" s="108" t="s">
        <v>771</v>
      </c>
      <c r="J42" s="108">
        <v>0</v>
      </c>
      <c r="K42" s="111" t="s">
        <v>966</v>
      </c>
      <c r="L42" s="108" t="s">
        <v>961</v>
      </c>
      <c r="M42" s="108" t="s">
        <v>994</v>
      </c>
      <c r="N42" s="92"/>
      <c r="O42" s="33"/>
      <c r="P42" s="33"/>
    </row>
    <row r="43" spans="1:21" ht="249" customHeight="1" x14ac:dyDescent="0.3">
      <c r="A43" s="108" t="s">
        <v>9</v>
      </c>
      <c r="B43" s="108" t="s">
        <v>106</v>
      </c>
      <c r="C43" s="108" t="s">
        <v>10</v>
      </c>
      <c r="D43" s="108">
        <v>1</v>
      </c>
      <c r="E43" s="108" t="s">
        <v>1331</v>
      </c>
      <c r="F43" s="108" t="s">
        <v>943</v>
      </c>
      <c r="G43" s="108" t="s">
        <v>1585</v>
      </c>
      <c r="H43" s="108" t="s">
        <v>1586</v>
      </c>
      <c r="I43" s="108" t="s">
        <v>828</v>
      </c>
      <c r="J43" s="108">
        <v>1</v>
      </c>
      <c r="K43" s="111" t="s">
        <v>993</v>
      </c>
      <c r="L43" s="108" t="s">
        <v>1597</v>
      </c>
      <c r="M43" s="108" t="s">
        <v>401</v>
      </c>
      <c r="N43" s="92" t="s">
        <v>590</v>
      </c>
      <c r="O43" s="33" t="s">
        <v>233</v>
      </c>
      <c r="P43" s="33" t="s">
        <v>217</v>
      </c>
    </row>
    <row r="44" spans="1:21" ht="108.75" customHeight="1" x14ac:dyDescent="0.3">
      <c r="A44" s="108" t="s">
        <v>9</v>
      </c>
      <c r="B44" s="131" t="s">
        <v>1446</v>
      </c>
      <c r="C44" s="108" t="s">
        <v>10</v>
      </c>
      <c r="D44" s="108">
        <v>1</v>
      </c>
      <c r="E44" s="130" t="s">
        <v>1434</v>
      </c>
      <c r="F44" s="131" t="s">
        <v>23</v>
      </c>
      <c r="G44" s="131" t="s">
        <v>1135</v>
      </c>
      <c r="H44" s="131" t="s">
        <v>1195</v>
      </c>
      <c r="I44" s="131" t="s">
        <v>1136</v>
      </c>
      <c r="J44" s="131">
        <v>0</v>
      </c>
      <c r="K44" s="133"/>
      <c r="L44" s="108" t="s">
        <v>103</v>
      </c>
      <c r="M44" s="108" t="s">
        <v>132</v>
      </c>
      <c r="N44" s="112" t="s">
        <v>1449</v>
      </c>
      <c r="O44" s="108"/>
      <c r="P44" s="99"/>
      <c r="Q44" s="47"/>
      <c r="R44" s="47"/>
      <c r="S44" s="47"/>
      <c r="T44" s="47"/>
      <c r="U44" s="47"/>
    </row>
    <row r="45" spans="1:21" ht="99" customHeight="1" x14ac:dyDescent="0.3">
      <c r="A45" s="108" t="s">
        <v>9</v>
      </c>
      <c r="B45" s="131" t="s">
        <v>1446</v>
      </c>
      <c r="C45" s="108" t="s">
        <v>10</v>
      </c>
      <c r="D45" s="108">
        <v>1</v>
      </c>
      <c r="E45" s="130" t="s">
        <v>1435</v>
      </c>
      <c r="F45" s="131" t="s">
        <v>24</v>
      </c>
      <c r="G45" s="131" t="s">
        <v>1138</v>
      </c>
      <c r="H45" s="131" t="s">
        <v>1188</v>
      </c>
      <c r="I45" s="131" t="s">
        <v>1139</v>
      </c>
      <c r="J45" s="131">
        <v>0</v>
      </c>
      <c r="K45" s="133"/>
      <c r="L45" s="108" t="s">
        <v>103</v>
      </c>
      <c r="M45" s="108" t="s">
        <v>132</v>
      </c>
      <c r="N45" s="112" t="s">
        <v>1450</v>
      </c>
      <c r="O45" s="108"/>
      <c r="P45" s="99"/>
      <c r="Q45" s="47"/>
      <c r="R45" s="47"/>
      <c r="S45" s="47"/>
      <c r="T45" s="47"/>
      <c r="U45" s="47"/>
    </row>
    <row r="46" spans="1:21" ht="83.25" customHeight="1" x14ac:dyDescent="0.3">
      <c r="A46" s="108" t="s">
        <v>9</v>
      </c>
      <c r="B46" s="131" t="s">
        <v>1446</v>
      </c>
      <c r="C46" s="108" t="s">
        <v>10</v>
      </c>
      <c r="D46" s="108">
        <v>1</v>
      </c>
      <c r="E46" s="130" t="s">
        <v>1436</v>
      </c>
      <c r="F46" s="131" t="s">
        <v>1142</v>
      </c>
      <c r="G46" s="131" t="s">
        <v>1143</v>
      </c>
      <c r="H46" s="131" t="s">
        <v>1189</v>
      </c>
      <c r="I46" s="131" t="s">
        <v>1144</v>
      </c>
      <c r="J46" s="131">
        <v>0</v>
      </c>
      <c r="K46" s="133"/>
      <c r="L46" s="108" t="s">
        <v>103</v>
      </c>
      <c r="M46" s="108" t="s">
        <v>132</v>
      </c>
      <c r="N46" s="112" t="s">
        <v>1451</v>
      </c>
      <c r="O46" s="108"/>
      <c r="P46" s="99"/>
      <c r="Q46" s="47"/>
      <c r="R46" s="47"/>
      <c r="S46" s="47"/>
      <c r="T46" s="47"/>
      <c r="U46" s="47"/>
    </row>
    <row r="47" spans="1:21" ht="92.25" customHeight="1" x14ac:dyDescent="0.3">
      <c r="A47" s="108" t="s">
        <v>9</v>
      </c>
      <c r="B47" s="108" t="s">
        <v>997</v>
      </c>
      <c r="C47" s="108" t="s">
        <v>10</v>
      </c>
      <c r="D47" s="108">
        <v>1</v>
      </c>
      <c r="E47" s="130" t="s">
        <v>1437</v>
      </c>
      <c r="F47" s="108" t="s">
        <v>1251</v>
      </c>
      <c r="G47" s="108" t="s">
        <v>995</v>
      </c>
      <c r="H47" s="108" t="s">
        <v>963</v>
      </c>
      <c r="I47" s="108" t="s">
        <v>949</v>
      </c>
      <c r="J47" s="108">
        <v>0</v>
      </c>
      <c r="K47" s="111" t="s">
        <v>968</v>
      </c>
      <c r="L47" s="125" t="s">
        <v>967</v>
      </c>
      <c r="M47" s="125" t="s">
        <v>994</v>
      </c>
      <c r="N47" s="129" t="s">
        <v>1452</v>
      </c>
      <c r="O47" s="12"/>
      <c r="P47" s="12"/>
    </row>
    <row r="48" spans="1:21" ht="92.25" customHeight="1" x14ac:dyDescent="0.3">
      <c r="A48" s="108" t="s">
        <v>9</v>
      </c>
      <c r="B48" s="108" t="s">
        <v>997</v>
      </c>
      <c r="C48" s="108" t="s">
        <v>10</v>
      </c>
      <c r="D48" s="108">
        <v>1</v>
      </c>
      <c r="E48" s="130" t="s">
        <v>1445</v>
      </c>
      <c r="F48" s="108" t="s">
        <v>947</v>
      </c>
      <c r="G48" s="108" t="s">
        <v>767</v>
      </c>
      <c r="H48" s="108" t="s">
        <v>495</v>
      </c>
      <c r="I48" s="108" t="s">
        <v>950</v>
      </c>
      <c r="J48" s="108">
        <v>0</v>
      </c>
      <c r="K48" s="111"/>
      <c r="L48" s="108" t="s">
        <v>103</v>
      </c>
      <c r="M48" s="108" t="s">
        <v>132</v>
      </c>
      <c r="N48" s="129" t="s">
        <v>1452</v>
      </c>
      <c r="O48" s="12"/>
      <c r="P48" s="12"/>
    </row>
  </sheetData>
  <autoFilter ref="A1:P48"/>
  <customSheetViews>
    <customSheetView guid="{2EEA926C-3156-4AC6-9229-A7AA2DF955D3}" scale="80" showAutoFilter="1">
      <pane xSplit="5" ySplit="1" topLeftCell="F23" activePane="bottomRight" state="frozen"/>
      <selection pane="bottomRight" activeCell="G23" sqref="G23"/>
      <pageMargins left="0.7" right="0.7" top="0.75" bottom="0.75" header="0.3" footer="0.3"/>
      <pageSetup paperSize="9" orientation="portrait" r:id="rId1"/>
      <autoFilter ref="A1:Q45"/>
    </customSheetView>
    <customSheetView guid="{2DB1E318-7147-48DF-A27A-64EE5389D79D}" scale="80" showAutoFilter="1">
      <pane xSplit="5" ySplit="1" topLeftCell="F24" activePane="bottomRight" state="frozen"/>
      <selection pane="bottomRight" activeCell="F25" sqref="F25"/>
      <pageMargins left="0.7" right="0.7" top="0.75" bottom="0.75" header="0.3" footer="0.3"/>
      <pageSetup paperSize="9" orientation="portrait" r:id="rId2"/>
      <autoFilter ref="A1:U63"/>
    </customSheetView>
    <customSheetView guid="{173D36D5-56F6-4F44-8AEA-1BCCEB5BEB01}" scale="80" showAutoFilter="1">
      <pane xSplit="5" ySplit="1" topLeftCell="F2" activePane="bottomRight" state="frozen"/>
      <selection pane="bottomRight" activeCell="H2" sqref="H2"/>
      <pageMargins left="0.7" right="0.7" top="0.75" bottom="0.75" header="0.3" footer="0.3"/>
      <pageSetup paperSize="9" orientation="portrait" r:id="rId3"/>
      <autoFilter ref="A1:U41"/>
    </customSheetView>
    <customSheetView guid="{E54B5D21-78A5-49ED-8A41-5B0BD6CF5BF8}" scale="70" showAutoFilter="1">
      <pane xSplit="5" ySplit="1" topLeftCell="F23" activePane="bottomRight" state="frozen"/>
      <selection pane="bottomRight" activeCell="G24" sqref="G24"/>
      <pageMargins left="0.7" right="0.7" top="0.75" bottom="0.75" header="0.3" footer="0.3"/>
      <pageSetup paperSize="9" orientation="portrait" r:id="rId4"/>
      <autoFilter ref="A1:T41"/>
    </customSheetView>
    <customSheetView guid="{118B26FA-458B-4EBF-A611-352DC7919B8F}" scale="70" showAutoFilter="1">
      <pane xSplit="5" ySplit="1" topLeftCell="F24" activePane="bottomRight" state="frozen"/>
      <selection pane="bottomRight" activeCell="K25" sqref="K25"/>
      <pageMargins left="0.7" right="0.7" top="0.75" bottom="0.75" header="0.3" footer="0.3"/>
      <pageSetup paperSize="9" orientation="portrait" r:id="rId5"/>
      <autoFilter ref="A1:T42"/>
    </customSheetView>
    <customSheetView guid="{7E89C46F-A64B-40A0-896B-BA6F5B13D9A1}" scale="70" showAutoFilter="1">
      <pane xSplit="5" ySplit="1" topLeftCell="I37" activePane="bottomRight" state="frozen"/>
      <selection pane="bottomRight" activeCell="K38" sqref="K38"/>
      <pageMargins left="0.7" right="0.7" top="0.75" bottom="0.75" header="0.3" footer="0.3"/>
      <pageSetup paperSize="9" orientation="portrait" r:id="rId6"/>
      <autoFilter ref="A1:T42"/>
    </customSheetView>
    <customSheetView guid="{A97CC407-D832-4D6B-889F-79EA371F2140}" scale="70" showAutoFilter="1">
      <pane xSplit="5" ySplit="1" topLeftCell="G2" activePane="bottomRight" state="frozen"/>
      <selection pane="bottomRight" activeCell="K2" sqref="K2"/>
      <pageMargins left="0.7" right="0.7" top="0.75" bottom="0.75" header="0.3" footer="0.3"/>
      <pageSetup paperSize="9" orientation="portrait" r:id="rId7"/>
      <autoFilter ref="A1:T48"/>
    </customSheetView>
    <customSheetView guid="{B95F8ECF-EE4B-497E-8AFD-61960D2C04DE}" scale="70" showAutoFilter="1">
      <pane xSplit="5" ySplit="1" topLeftCell="G33" activePane="bottomRight" state="frozen"/>
      <selection pane="bottomRight" activeCell="N33" sqref="N33"/>
      <pageMargins left="0.7" right="0.7" top="0.75" bottom="0.75" header="0.3" footer="0.3"/>
      <pageSetup paperSize="9" orientation="portrait" r:id="rId8"/>
      <autoFilter ref="A1:T48"/>
    </customSheetView>
    <customSheetView guid="{D1303DE8-82E6-497F-898A-86E0FE4EA44C}" scale="80" showAutoFilter="1">
      <pane xSplit="5" ySplit="1" topLeftCell="F24" activePane="bottomRight" state="frozen"/>
      <selection pane="bottomRight" activeCell="F25" sqref="F25"/>
      <pageMargins left="0.7" right="0.7" top="0.75" bottom="0.75" header="0.3" footer="0.3"/>
      <pageSetup paperSize="9" orientation="portrait" r:id="rId9"/>
      <autoFilter ref="A1:R45"/>
    </customSheetView>
  </customSheetViews>
  <phoneticPr fontId="7" type="noConversion"/>
  <pageMargins left="0.7" right="0.7" top="0.75" bottom="0.75" header="0.3" footer="0.3"/>
  <pageSetup paperSize="9" orientation="portrait"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51"/>
  <sheetViews>
    <sheetView zoomScale="85" zoomScaleNormal="85" workbookViewId="0">
      <pane xSplit="5" ySplit="1" topLeftCell="F40" activePane="bottomRight" state="frozen"/>
      <selection pane="topRight" activeCell="F1" sqref="F1"/>
      <selection pane="bottomLeft" activeCell="A2" sqref="A2"/>
      <selection pane="bottomRight" activeCell="E41" sqref="E41"/>
    </sheetView>
  </sheetViews>
  <sheetFormatPr defaultRowHeight="16.5" x14ac:dyDescent="0.3"/>
  <cols>
    <col min="1" max="1" width="3.875" customWidth="1"/>
    <col min="2" max="2" width="15.875" style="110" customWidth="1"/>
    <col min="3" max="3" width="5.375" customWidth="1"/>
    <col min="4" max="4" width="5.5" customWidth="1"/>
    <col min="5" max="5" width="27.625" style="30" customWidth="1"/>
    <col min="6" max="6" width="45.5" customWidth="1"/>
    <col min="7" max="7" width="58.125" customWidth="1"/>
    <col min="8" max="8" width="83.125" customWidth="1"/>
    <col min="9" max="9" width="48.625" customWidth="1"/>
    <col min="10" max="10" width="7.25" customWidth="1"/>
    <col min="11" max="11" width="12.25" customWidth="1"/>
    <col min="12" max="12" width="2.75" customWidth="1"/>
    <col min="13" max="13" width="51.75" bestFit="1" customWidth="1"/>
    <col min="14" max="14" width="24.75" style="2" customWidth="1"/>
    <col min="15" max="15" width="31.125" customWidth="1"/>
    <col min="16" max="16" width="46.375" customWidth="1"/>
  </cols>
  <sheetData>
    <row r="1" spans="1:23" s="2" customFormat="1" ht="24" x14ac:dyDescent="0.3">
      <c r="A1" s="26" t="s">
        <v>0</v>
      </c>
      <c r="B1" s="27" t="s">
        <v>1</v>
      </c>
      <c r="C1" s="27" t="s">
        <v>85</v>
      </c>
      <c r="D1" s="27" t="s">
        <v>2</v>
      </c>
      <c r="E1" s="27" t="s">
        <v>3</v>
      </c>
      <c r="F1" s="27" t="s">
        <v>4</v>
      </c>
      <c r="G1" s="27" t="s">
        <v>5</v>
      </c>
      <c r="H1" s="27" t="s">
        <v>6</v>
      </c>
      <c r="I1" s="27" t="s">
        <v>7</v>
      </c>
      <c r="J1" s="27" t="s">
        <v>8</v>
      </c>
      <c r="K1" s="55" t="s">
        <v>985</v>
      </c>
      <c r="L1" s="28" t="s">
        <v>86</v>
      </c>
      <c r="M1" s="28" t="s">
        <v>87</v>
      </c>
      <c r="N1" s="28" t="s">
        <v>743</v>
      </c>
      <c r="O1" s="28" t="s">
        <v>88</v>
      </c>
      <c r="P1" s="28" t="s">
        <v>89</v>
      </c>
    </row>
    <row r="2" spans="1:23" ht="351" x14ac:dyDescent="0.3">
      <c r="A2" s="108" t="s">
        <v>9</v>
      </c>
      <c r="B2" s="108" t="s">
        <v>98</v>
      </c>
      <c r="C2" s="108" t="s">
        <v>10</v>
      </c>
      <c r="D2" s="108">
        <v>1</v>
      </c>
      <c r="E2" s="108" t="s">
        <v>1290</v>
      </c>
      <c r="F2" s="108" t="s">
        <v>945</v>
      </c>
      <c r="G2" s="108" t="s">
        <v>533</v>
      </c>
      <c r="H2" s="108" t="s">
        <v>987</v>
      </c>
      <c r="I2" s="108" t="s">
        <v>1393</v>
      </c>
      <c r="J2" s="108">
        <v>0</v>
      </c>
      <c r="K2" s="111" t="s">
        <v>365</v>
      </c>
      <c r="L2" s="108" t="s">
        <v>104</v>
      </c>
      <c r="M2" s="108" t="s">
        <v>111</v>
      </c>
      <c r="N2" s="73"/>
      <c r="O2" s="46"/>
      <c r="P2" s="46"/>
      <c r="Q2" s="47"/>
      <c r="R2" s="47"/>
      <c r="S2" s="47"/>
      <c r="T2" s="47"/>
      <c r="U2" s="47"/>
      <c r="V2" s="47"/>
      <c r="W2" s="47"/>
    </row>
    <row r="3" spans="1:23" ht="175.5" x14ac:dyDescent="0.3">
      <c r="A3" s="108" t="s">
        <v>9</v>
      </c>
      <c r="B3" s="108" t="s">
        <v>98</v>
      </c>
      <c r="C3" s="108" t="s">
        <v>10</v>
      </c>
      <c r="D3" s="108">
        <v>1</v>
      </c>
      <c r="E3" s="108" t="s">
        <v>1291</v>
      </c>
      <c r="F3" s="108" t="s">
        <v>1252</v>
      </c>
      <c r="G3" s="108" t="s">
        <v>554</v>
      </c>
      <c r="H3" s="108" t="s">
        <v>541</v>
      </c>
      <c r="I3" s="108" t="s">
        <v>1646</v>
      </c>
      <c r="J3" s="108">
        <v>1</v>
      </c>
      <c r="K3" s="111" t="s">
        <v>289</v>
      </c>
      <c r="L3" s="108"/>
      <c r="M3" s="108" t="s">
        <v>112</v>
      </c>
      <c r="N3" s="73"/>
      <c r="O3" s="46"/>
      <c r="P3" s="46"/>
      <c r="Q3" s="47"/>
      <c r="R3" s="47"/>
      <c r="S3" s="47"/>
      <c r="T3" s="47"/>
      <c r="U3" s="47"/>
      <c r="V3" s="47"/>
      <c r="W3" s="47"/>
    </row>
    <row r="4" spans="1:23" ht="94.5" customHeight="1" x14ac:dyDescent="0.3">
      <c r="A4" s="108" t="s">
        <v>9</v>
      </c>
      <c r="B4" s="108" t="s">
        <v>99</v>
      </c>
      <c r="C4" s="108" t="s">
        <v>10</v>
      </c>
      <c r="D4" s="108">
        <v>1</v>
      </c>
      <c r="E4" s="108" t="s">
        <v>1292</v>
      </c>
      <c r="F4" s="108" t="s">
        <v>517</v>
      </c>
      <c r="G4" s="108" t="s">
        <v>1394</v>
      </c>
      <c r="H4" s="108" t="s">
        <v>94</v>
      </c>
      <c r="I4" s="108" t="s">
        <v>1226</v>
      </c>
      <c r="J4" s="108">
        <v>0</v>
      </c>
      <c r="K4" s="111"/>
      <c r="L4" s="108" t="s">
        <v>103</v>
      </c>
      <c r="M4" s="108" t="s">
        <v>132</v>
      </c>
      <c r="N4" s="73"/>
      <c r="O4" s="46"/>
      <c r="P4" s="46"/>
      <c r="Q4" s="47"/>
      <c r="R4" s="47"/>
      <c r="S4" s="47"/>
      <c r="T4" s="47"/>
      <c r="U4" s="47"/>
      <c r="V4" s="47"/>
      <c r="W4" s="47"/>
    </row>
    <row r="5" spans="1:23" ht="94.5" customHeight="1" x14ac:dyDescent="0.3">
      <c r="A5" s="108" t="s">
        <v>9</v>
      </c>
      <c r="B5" s="108" t="s">
        <v>99</v>
      </c>
      <c r="C5" s="108" t="s">
        <v>10</v>
      </c>
      <c r="D5" s="108">
        <v>1</v>
      </c>
      <c r="E5" s="108" t="s">
        <v>1293</v>
      </c>
      <c r="F5" s="108" t="s">
        <v>1253</v>
      </c>
      <c r="G5" s="108" t="s">
        <v>759</v>
      </c>
      <c r="H5" s="108" t="s">
        <v>495</v>
      </c>
      <c r="I5" s="108" t="s">
        <v>1225</v>
      </c>
      <c r="J5" s="108">
        <v>0</v>
      </c>
      <c r="K5" s="111"/>
      <c r="L5" s="108" t="s">
        <v>103</v>
      </c>
      <c r="M5" s="108" t="s">
        <v>132</v>
      </c>
      <c r="N5" s="73"/>
      <c r="O5" s="46"/>
      <c r="P5" s="46"/>
      <c r="Q5" s="47"/>
      <c r="R5" s="47"/>
      <c r="S5" s="47"/>
      <c r="T5" s="47"/>
      <c r="U5" s="47"/>
      <c r="V5" s="47"/>
      <c r="W5" s="47"/>
    </row>
    <row r="6" spans="1:23" ht="215.45" customHeight="1" x14ac:dyDescent="0.3">
      <c r="A6" s="108" t="s">
        <v>9</v>
      </c>
      <c r="B6" s="108" t="s">
        <v>98</v>
      </c>
      <c r="C6" s="108" t="s">
        <v>10</v>
      </c>
      <c r="D6" s="108">
        <v>1</v>
      </c>
      <c r="E6" s="108" t="s">
        <v>1294</v>
      </c>
      <c r="F6" s="108" t="s">
        <v>11</v>
      </c>
      <c r="G6" s="108" t="s">
        <v>1395</v>
      </c>
      <c r="H6" s="108" t="s">
        <v>1655</v>
      </c>
      <c r="I6" s="108" t="s">
        <v>1649</v>
      </c>
      <c r="J6" s="108">
        <v>1</v>
      </c>
      <c r="K6" s="111" t="s">
        <v>295</v>
      </c>
      <c r="L6" s="108"/>
      <c r="M6" s="108" t="s">
        <v>158</v>
      </c>
      <c r="N6" s="73"/>
      <c r="O6" s="46"/>
      <c r="P6" s="46"/>
      <c r="Q6" s="47"/>
      <c r="R6" s="47"/>
      <c r="S6" s="47"/>
      <c r="T6" s="47"/>
      <c r="U6" s="47"/>
      <c r="V6" s="47"/>
      <c r="W6" s="47"/>
    </row>
    <row r="7" spans="1:23" ht="147.19999999999999" customHeight="1" x14ac:dyDescent="0.3">
      <c r="A7" s="108" t="s">
        <v>9</v>
      </c>
      <c r="B7" s="108" t="s">
        <v>98</v>
      </c>
      <c r="C7" s="108" t="s">
        <v>10</v>
      </c>
      <c r="D7" s="108">
        <v>1</v>
      </c>
      <c r="E7" s="108" t="s">
        <v>1295</v>
      </c>
      <c r="F7" s="108" t="s">
        <v>11</v>
      </c>
      <c r="G7" s="108" t="s">
        <v>1396</v>
      </c>
      <c r="H7" s="108" t="s">
        <v>783</v>
      </c>
      <c r="I7" s="108" t="s">
        <v>1656</v>
      </c>
      <c r="J7" s="108">
        <v>1</v>
      </c>
      <c r="K7" s="111" t="s">
        <v>288</v>
      </c>
      <c r="L7" s="108"/>
      <c r="M7" s="108" t="s">
        <v>399</v>
      </c>
      <c r="N7" s="73"/>
      <c r="O7" s="46"/>
      <c r="P7" s="46"/>
      <c r="Q7" s="47"/>
      <c r="R7" s="47"/>
      <c r="S7" s="47"/>
      <c r="T7" s="47"/>
      <c r="U7" s="47"/>
      <c r="V7" s="47"/>
      <c r="W7" s="47"/>
    </row>
    <row r="8" spans="1:23" ht="135" x14ac:dyDescent="0.3">
      <c r="A8" s="108" t="s">
        <v>9</v>
      </c>
      <c r="B8" s="108" t="s">
        <v>98</v>
      </c>
      <c r="C8" s="108" t="s">
        <v>10</v>
      </c>
      <c r="D8" s="108">
        <v>1</v>
      </c>
      <c r="E8" s="108" t="s">
        <v>1296</v>
      </c>
      <c r="F8" s="108" t="s">
        <v>486</v>
      </c>
      <c r="G8" s="108" t="s">
        <v>1397</v>
      </c>
      <c r="H8" s="108" t="s">
        <v>784</v>
      </c>
      <c r="I8" s="108" t="s">
        <v>788</v>
      </c>
      <c r="J8" s="108">
        <v>1</v>
      </c>
      <c r="K8" s="111" t="s">
        <v>296</v>
      </c>
      <c r="L8" s="108"/>
      <c r="M8" s="108" t="s">
        <v>135</v>
      </c>
      <c r="N8" s="73"/>
      <c r="O8" s="46"/>
      <c r="P8" s="46"/>
      <c r="Q8" s="47"/>
      <c r="R8" s="47"/>
      <c r="S8" s="47"/>
      <c r="T8" s="47"/>
      <c r="U8" s="47"/>
      <c r="V8" s="47"/>
      <c r="W8" s="47"/>
    </row>
    <row r="9" spans="1:23" ht="135" x14ac:dyDescent="0.3">
      <c r="A9" s="108" t="s">
        <v>9</v>
      </c>
      <c r="B9" s="108" t="s">
        <v>98</v>
      </c>
      <c r="C9" s="108" t="s">
        <v>10</v>
      </c>
      <c r="D9" s="108">
        <v>1</v>
      </c>
      <c r="E9" s="108" t="s">
        <v>1297</v>
      </c>
      <c r="F9" s="108" t="s">
        <v>486</v>
      </c>
      <c r="G9" s="108" t="s">
        <v>1514</v>
      </c>
      <c r="H9" s="108" t="s">
        <v>881</v>
      </c>
      <c r="I9" s="108" t="s">
        <v>789</v>
      </c>
      <c r="J9" s="108">
        <v>1</v>
      </c>
      <c r="K9" s="111" t="s">
        <v>297</v>
      </c>
      <c r="L9" s="108"/>
      <c r="M9" s="108" t="s">
        <v>136</v>
      </c>
      <c r="N9" s="73"/>
      <c r="O9" s="46"/>
      <c r="P9" s="46"/>
      <c r="Q9" s="47"/>
      <c r="R9" s="47"/>
      <c r="S9" s="47"/>
      <c r="T9" s="47"/>
      <c r="U9" s="47"/>
      <c r="V9" s="47"/>
      <c r="W9" s="47"/>
    </row>
    <row r="10" spans="1:23" ht="135" x14ac:dyDescent="0.3">
      <c r="A10" s="108" t="s">
        <v>9</v>
      </c>
      <c r="B10" s="108" t="s">
        <v>98</v>
      </c>
      <c r="C10" s="108" t="s">
        <v>10</v>
      </c>
      <c r="D10" s="108">
        <v>1</v>
      </c>
      <c r="E10" s="108" t="s">
        <v>1298</v>
      </c>
      <c r="F10" s="108" t="s">
        <v>486</v>
      </c>
      <c r="G10" s="108" t="s">
        <v>1398</v>
      </c>
      <c r="H10" s="108" t="s">
        <v>785</v>
      </c>
      <c r="I10" s="108" t="s">
        <v>790</v>
      </c>
      <c r="J10" s="108">
        <v>1</v>
      </c>
      <c r="K10" s="111" t="s">
        <v>332</v>
      </c>
      <c r="L10" s="108"/>
      <c r="M10" s="108" t="s">
        <v>137</v>
      </c>
      <c r="N10" s="73"/>
      <c r="O10" s="46"/>
      <c r="P10" s="46"/>
      <c r="Q10" s="47"/>
      <c r="R10" s="47"/>
      <c r="S10" s="47"/>
      <c r="T10" s="47"/>
      <c r="U10" s="47"/>
      <c r="V10" s="47"/>
      <c r="W10" s="47"/>
    </row>
    <row r="11" spans="1:23" ht="256.5" x14ac:dyDescent="0.3">
      <c r="A11" s="108" t="s">
        <v>9</v>
      </c>
      <c r="B11" s="108" t="s">
        <v>98</v>
      </c>
      <c r="C11" s="108" t="s">
        <v>10</v>
      </c>
      <c r="D11" s="108">
        <v>1</v>
      </c>
      <c r="E11" s="108" t="s">
        <v>1299</v>
      </c>
      <c r="F11" s="108" t="s">
        <v>1254</v>
      </c>
      <c r="G11" s="108" t="s">
        <v>1399</v>
      </c>
      <c r="H11" s="108" t="s">
        <v>882</v>
      </c>
      <c r="I11" s="108" t="s">
        <v>1515</v>
      </c>
      <c r="J11" s="108">
        <v>1</v>
      </c>
      <c r="K11" s="111" t="s">
        <v>333</v>
      </c>
      <c r="L11" s="108"/>
      <c r="M11" s="108" t="s">
        <v>138</v>
      </c>
      <c r="N11" s="73"/>
      <c r="O11" s="46"/>
      <c r="P11" s="52" t="s">
        <v>187</v>
      </c>
      <c r="Q11" s="47"/>
      <c r="R11" s="47"/>
      <c r="S11" s="47"/>
      <c r="T11" s="47"/>
      <c r="U11" s="47"/>
      <c r="V11" s="47"/>
      <c r="W11" s="47"/>
    </row>
    <row r="12" spans="1:23" ht="135" x14ac:dyDescent="0.3">
      <c r="A12" s="108" t="s">
        <v>9</v>
      </c>
      <c r="B12" s="108" t="s">
        <v>98</v>
      </c>
      <c r="C12" s="108" t="s">
        <v>10</v>
      </c>
      <c r="D12" s="108">
        <v>1</v>
      </c>
      <c r="E12" s="108" t="s">
        <v>1300</v>
      </c>
      <c r="F12" s="108" t="s">
        <v>1255</v>
      </c>
      <c r="G12" s="108" t="s">
        <v>840</v>
      </c>
      <c r="H12" s="108" t="s">
        <v>996</v>
      </c>
      <c r="I12" s="108" t="s">
        <v>1521</v>
      </c>
      <c r="J12" s="108">
        <v>1</v>
      </c>
      <c r="K12" s="111" t="s">
        <v>275</v>
      </c>
      <c r="L12" s="108"/>
      <c r="M12" s="108" t="s">
        <v>115</v>
      </c>
      <c r="N12" s="73"/>
      <c r="O12" s="46"/>
      <c r="P12" s="46"/>
      <c r="Q12" s="47"/>
      <c r="R12" s="47"/>
      <c r="S12" s="47"/>
      <c r="T12" s="47"/>
      <c r="U12" s="47"/>
      <c r="V12" s="47"/>
      <c r="W12" s="47"/>
    </row>
    <row r="13" spans="1:23" ht="135" x14ac:dyDescent="0.3">
      <c r="A13" s="108" t="s">
        <v>9</v>
      </c>
      <c r="B13" s="108" t="s">
        <v>98</v>
      </c>
      <c r="C13" s="108" t="s">
        <v>10</v>
      </c>
      <c r="D13" s="108">
        <v>1</v>
      </c>
      <c r="E13" s="108" t="s">
        <v>1301</v>
      </c>
      <c r="F13" s="108" t="s">
        <v>1255</v>
      </c>
      <c r="G13" s="108" t="s">
        <v>1400</v>
      </c>
      <c r="H13" s="108" t="s">
        <v>911</v>
      </c>
      <c r="I13" s="108" t="s">
        <v>1523</v>
      </c>
      <c r="J13" s="108">
        <v>1</v>
      </c>
      <c r="K13" s="111" t="s">
        <v>329</v>
      </c>
      <c r="L13" s="108"/>
      <c r="M13" s="108" t="s">
        <v>548</v>
      </c>
      <c r="N13" s="73"/>
      <c r="O13" s="46"/>
      <c r="P13" s="46"/>
      <c r="Q13" s="47"/>
      <c r="R13" s="47"/>
      <c r="S13" s="47"/>
      <c r="T13" s="47"/>
      <c r="U13" s="47"/>
      <c r="V13" s="47"/>
      <c r="W13" s="47"/>
    </row>
    <row r="14" spans="1:23" ht="135" x14ac:dyDescent="0.3">
      <c r="A14" s="108" t="s">
        <v>9</v>
      </c>
      <c r="B14" s="108" t="s">
        <v>98</v>
      </c>
      <c r="C14" s="108" t="s">
        <v>10</v>
      </c>
      <c r="D14" s="108">
        <v>1</v>
      </c>
      <c r="E14" s="108" t="s">
        <v>1302</v>
      </c>
      <c r="F14" s="108" t="s">
        <v>1255</v>
      </c>
      <c r="G14" s="108" t="s">
        <v>1401</v>
      </c>
      <c r="H14" s="108" t="s">
        <v>912</v>
      </c>
      <c r="I14" s="108" t="s">
        <v>1522</v>
      </c>
      <c r="J14" s="108">
        <v>1</v>
      </c>
      <c r="K14" s="111" t="s">
        <v>334</v>
      </c>
      <c r="L14" s="108"/>
      <c r="M14" s="108" t="s">
        <v>116</v>
      </c>
      <c r="N14" s="73"/>
      <c r="O14" s="46"/>
      <c r="P14" s="46"/>
      <c r="Q14" s="47"/>
      <c r="R14" s="47"/>
      <c r="S14" s="47"/>
      <c r="T14" s="47"/>
      <c r="U14" s="47"/>
      <c r="V14" s="47"/>
      <c r="W14" s="47"/>
    </row>
    <row r="15" spans="1:23" ht="135" x14ac:dyDescent="0.3">
      <c r="A15" s="108" t="s">
        <v>9</v>
      </c>
      <c r="B15" s="108" t="s">
        <v>98</v>
      </c>
      <c r="C15" s="108" t="s">
        <v>10</v>
      </c>
      <c r="D15" s="108">
        <v>1</v>
      </c>
      <c r="E15" s="108" t="s">
        <v>1303</v>
      </c>
      <c r="F15" s="108" t="s">
        <v>1255</v>
      </c>
      <c r="G15" s="108" t="s">
        <v>1402</v>
      </c>
      <c r="H15" s="108" t="s">
        <v>913</v>
      </c>
      <c r="I15" s="108" t="s">
        <v>1521</v>
      </c>
      <c r="J15" s="108">
        <v>1</v>
      </c>
      <c r="K15" s="111" t="s">
        <v>338</v>
      </c>
      <c r="L15" s="108"/>
      <c r="M15" s="108" t="s">
        <v>117</v>
      </c>
      <c r="N15" s="73"/>
      <c r="O15" s="46"/>
      <c r="P15" s="46"/>
      <c r="Q15" s="47"/>
      <c r="R15" s="47"/>
      <c r="S15" s="47"/>
      <c r="T15" s="47"/>
      <c r="U15" s="47"/>
      <c r="V15" s="47"/>
      <c r="W15" s="47"/>
    </row>
    <row r="16" spans="1:23" ht="129.75" customHeight="1" x14ac:dyDescent="0.3">
      <c r="A16" s="108" t="s">
        <v>9</v>
      </c>
      <c r="B16" s="108" t="s">
        <v>98</v>
      </c>
      <c r="C16" s="108" t="s">
        <v>10</v>
      </c>
      <c r="D16" s="108">
        <v>1</v>
      </c>
      <c r="E16" s="108" t="s">
        <v>1304</v>
      </c>
      <c r="F16" s="108" t="s">
        <v>1255</v>
      </c>
      <c r="G16" s="108" t="s">
        <v>1403</v>
      </c>
      <c r="H16" s="108" t="s">
        <v>914</v>
      </c>
      <c r="I16" s="108" t="s">
        <v>1516</v>
      </c>
      <c r="J16" s="108">
        <v>1</v>
      </c>
      <c r="K16" s="111" t="s">
        <v>277</v>
      </c>
      <c r="L16" s="108"/>
      <c r="M16" s="108" t="s">
        <v>547</v>
      </c>
      <c r="N16" s="73"/>
      <c r="O16" s="46"/>
      <c r="P16" s="46"/>
      <c r="Q16" s="47"/>
      <c r="R16" s="47"/>
      <c r="S16" s="47"/>
      <c r="T16" s="47"/>
      <c r="U16" s="47"/>
      <c r="V16" s="47"/>
      <c r="W16" s="47"/>
    </row>
    <row r="17" spans="1:23" ht="318.75" customHeight="1" x14ac:dyDescent="0.3">
      <c r="A17" s="108" t="s">
        <v>9</v>
      </c>
      <c r="B17" s="108" t="s">
        <v>98</v>
      </c>
      <c r="C17" s="108" t="s">
        <v>10</v>
      </c>
      <c r="D17" s="108">
        <v>1</v>
      </c>
      <c r="E17" s="108" t="s">
        <v>1305</v>
      </c>
      <c r="F17" s="108" t="s">
        <v>1255</v>
      </c>
      <c r="G17" s="108" t="s">
        <v>791</v>
      </c>
      <c r="H17" s="108" t="s">
        <v>883</v>
      </c>
      <c r="I17" s="108" t="s">
        <v>794</v>
      </c>
      <c r="J17" s="108">
        <v>1</v>
      </c>
      <c r="K17" s="111" t="s">
        <v>278</v>
      </c>
      <c r="L17" s="108"/>
      <c r="M17" s="108" t="s">
        <v>134</v>
      </c>
      <c r="N17" s="73"/>
      <c r="O17" s="46"/>
      <c r="P17" s="46"/>
      <c r="Q17" s="47"/>
      <c r="R17" s="47"/>
      <c r="S17" s="47"/>
      <c r="T17" s="47"/>
      <c r="U17" s="47"/>
      <c r="V17" s="47"/>
      <c r="W17" s="47"/>
    </row>
    <row r="18" spans="1:23" ht="135" x14ac:dyDescent="0.3">
      <c r="A18" s="108" t="s">
        <v>9</v>
      </c>
      <c r="B18" s="108" t="s">
        <v>98</v>
      </c>
      <c r="C18" s="108" t="s">
        <v>10</v>
      </c>
      <c r="D18" s="108">
        <v>1</v>
      </c>
      <c r="E18" s="108" t="s">
        <v>1306</v>
      </c>
      <c r="F18" s="108" t="s">
        <v>1255</v>
      </c>
      <c r="G18" s="108" t="s">
        <v>793</v>
      </c>
      <c r="H18" s="108" t="s">
        <v>915</v>
      </c>
      <c r="I18" s="108" t="s">
        <v>1524</v>
      </c>
      <c r="J18" s="108">
        <v>1</v>
      </c>
      <c r="K18" s="111" t="s">
        <v>311</v>
      </c>
      <c r="L18" s="108"/>
      <c r="M18" s="108" t="s">
        <v>119</v>
      </c>
      <c r="N18" s="73"/>
      <c r="O18" s="46"/>
      <c r="P18" s="46"/>
      <c r="Q18" s="47"/>
      <c r="R18" s="47"/>
      <c r="S18" s="47"/>
      <c r="T18" s="47"/>
      <c r="U18" s="47"/>
      <c r="V18" s="47"/>
      <c r="W18" s="47"/>
    </row>
    <row r="19" spans="1:23" ht="135" x14ac:dyDescent="0.3">
      <c r="A19" s="108" t="s">
        <v>9</v>
      </c>
      <c r="B19" s="108" t="s">
        <v>98</v>
      </c>
      <c r="C19" s="108" t="s">
        <v>10</v>
      </c>
      <c r="D19" s="108">
        <v>1</v>
      </c>
      <c r="E19" s="108" t="s">
        <v>1307</v>
      </c>
      <c r="F19" s="108" t="s">
        <v>1255</v>
      </c>
      <c r="G19" s="108" t="s">
        <v>1404</v>
      </c>
      <c r="H19" s="108" t="s">
        <v>916</v>
      </c>
      <c r="I19" s="108" t="s">
        <v>1525</v>
      </c>
      <c r="J19" s="108">
        <v>1</v>
      </c>
      <c r="K19" s="111" t="s">
        <v>313</v>
      </c>
      <c r="L19" s="108"/>
      <c r="M19" s="108" t="s">
        <v>120</v>
      </c>
      <c r="N19" s="73"/>
      <c r="O19" s="46"/>
      <c r="P19" s="46"/>
      <c r="Q19" s="47"/>
      <c r="R19" s="47"/>
      <c r="S19" s="47"/>
      <c r="T19" s="47"/>
      <c r="U19" s="47"/>
      <c r="V19" s="47"/>
      <c r="W19" s="47"/>
    </row>
    <row r="20" spans="1:23" ht="135" x14ac:dyDescent="0.3">
      <c r="A20" s="108" t="s">
        <v>9</v>
      </c>
      <c r="B20" s="108" t="s">
        <v>98</v>
      </c>
      <c r="C20" s="108" t="s">
        <v>10</v>
      </c>
      <c r="D20" s="108">
        <v>1</v>
      </c>
      <c r="E20" s="108" t="s">
        <v>1308</v>
      </c>
      <c r="F20" s="108" t="s">
        <v>1255</v>
      </c>
      <c r="G20" s="108" t="s">
        <v>792</v>
      </c>
      <c r="H20" s="108" t="s">
        <v>917</v>
      </c>
      <c r="I20" s="108" t="s">
        <v>1526</v>
      </c>
      <c r="J20" s="108">
        <v>1</v>
      </c>
      <c r="K20" s="111" t="s">
        <v>314</v>
      </c>
      <c r="L20" s="108"/>
      <c r="M20" s="108" t="s">
        <v>121</v>
      </c>
      <c r="N20" s="73"/>
      <c r="O20" s="46"/>
      <c r="P20" s="46"/>
      <c r="Q20" s="47"/>
      <c r="R20" s="47"/>
      <c r="S20" s="47"/>
      <c r="T20" s="47"/>
      <c r="U20" s="47"/>
      <c r="V20" s="47"/>
      <c r="W20" s="47"/>
    </row>
    <row r="21" spans="1:23" ht="135" x14ac:dyDescent="0.3">
      <c r="A21" s="108" t="s">
        <v>9</v>
      </c>
      <c r="B21" s="108" t="s">
        <v>98</v>
      </c>
      <c r="C21" s="108" t="s">
        <v>10</v>
      </c>
      <c r="D21" s="108">
        <v>1</v>
      </c>
      <c r="E21" s="108" t="s">
        <v>1309</v>
      </c>
      <c r="F21" s="108" t="s">
        <v>1255</v>
      </c>
      <c r="G21" s="108" t="s">
        <v>795</v>
      </c>
      <c r="H21" s="108" t="s">
        <v>910</v>
      </c>
      <c r="I21" s="108" t="s">
        <v>1527</v>
      </c>
      <c r="J21" s="108">
        <v>1</v>
      </c>
      <c r="K21" s="111" t="s">
        <v>317</v>
      </c>
      <c r="L21" s="108"/>
      <c r="M21" s="108" t="s">
        <v>122</v>
      </c>
      <c r="N21" s="73"/>
      <c r="O21" s="46"/>
      <c r="P21" s="46"/>
      <c r="Q21" s="47"/>
      <c r="R21" s="47"/>
      <c r="S21" s="47"/>
      <c r="T21" s="47"/>
      <c r="U21" s="47"/>
      <c r="V21" s="47"/>
      <c r="W21" s="47"/>
    </row>
    <row r="22" spans="1:23" ht="162" x14ac:dyDescent="0.3">
      <c r="A22" s="108" t="s">
        <v>9</v>
      </c>
      <c r="B22" s="108" t="s">
        <v>98</v>
      </c>
      <c r="C22" s="108" t="s">
        <v>10</v>
      </c>
      <c r="D22" s="108">
        <v>1</v>
      </c>
      <c r="E22" s="108" t="s">
        <v>1310</v>
      </c>
      <c r="F22" s="108" t="s">
        <v>1255</v>
      </c>
      <c r="G22" s="108" t="s">
        <v>796</v>
      </c>
      <c r="H22" s="108" t="s">
        <v>786</v>
      </c>
      <c r="I22" s="108" t="s">
        <v>1528</v>
      </c>
      <c r="J22" s="108">
        <v>1</v>
      </c>
      <c r="K22" s="111" t="s">
        <v>319</v>
      </c>
      <c r="L22" s="108"/>
      <c r="M22" s="108" t="s">
        <v>123</v>
      </c>
      <c r="N22" s="73"/>
      <c r="O22" s="46"/>
      <c r="P22" s="46"/>
      <c r="Q22" s="47"/>
      <c r="R22" s="47"/>
      <c r="S22" s="47"/>
      <c r="T22" s="47"/>
      <c r="U22" s="47"/>
      <c r="V22" s="47"/>
      <c r="W22" s="47"/>
    </row>
    <row r="23" spans="1:23" ht="189" x14ac:dyDescent="0.3">
      <c r="A23" s="108" t="s">
        <v>9</v>
      </c>
      <c r="B23" s="108" t="s">
        <v>98</v>
      </c>
      <c r="C23" s="108" t="s">
        <v>10</v>
      </c>
      <c r="D23" s="108">
        <v>1</v>
      </c>
      <c r="E23" s="108" t="s">
        <v>1311</v>
      </c>
      <c r="F23" s="108" t="s">
        <v>1255</v>
      </c>
      <c r="G23" s="108" t="s">
        <v>1557</v>
      </c>
      <c r="H23" s="108" t="s">
        <v>918</v>
      </c>
      <c r="I23" s="108" t="s">
        <v>1529</v>
      </c>
      <c r="J23" s="108">
        <v>1</v>
      </c>
      <c r="K23" s="111" t="s">
        <v>970</v>
      </c>
      <c r="L23" s="108"/>
      <c r="M23" s="108" t="s">
        <v>999</v>
      </c>
      <c r="N23" s="73"/>
      <c r="O23" s="46"/>
      <c r="P23" s="46"/>
      <c r="Q23" s="47"/>
      <c r="R23" s="47"/>
      <c r="S23" s="47"/>
      <c r="T23" s="47"/>
      <c r="U23" s="47"/>
      <c r="V23" s="47"/>
      <c r="W23" s="47"/>
    </row>
    <row r="24" spans="1:23" ht="229.5" x14ac:dyDescent="0.3">
      <c r="A24" s="108" t="s">
        <v>9</v>
      </c>
      <c r="B24" s="108" t="s">
        <v>98</v>
      </c>
      <c r="C24" s="108" t="s">
        <v>10</v>
      </c>
      <c r="D24" s="108">
        <v>1</v>
      </c>
      <c r="E24" s="108" t="s">
        <v>1312</v>
      </c>
      <c r="F24" s="108" t="s">
        <v>1268</v>
      </c>
      <c r="G24" s="108" t="s">
        <v>1558</v>
      </c>
      <c r="H24" s="108" t="s">
        <v>1405</v>
      </c>
      <c r="I24" s="108" t="s">
        <v>1530</v>
      </c>
      <c r="J24" s="108">
        <v>1</v>
      </c>
      <c r="K24" s="111" t="s">
        <v>349</v>
      </c>
      <c r="L24" s="108"/>
      <c r="M24" s="108" t="s">
        <v>436</v>
      </c>
      <c r="N24" s="73"/>
      <c r="O24" s="46"/>
      <c r="P24" s="46"/>
      <c r="Q24" s="47"/>
      <c r="R24" s="47"/>
      <c r="S24" s="47"/>
      <c r="T24" s="47"/>
      <c r="U24" s="47"/>
      <c r="V24" s="47"/>
      <c r="W24" s="47"/>
    </row>
    <row r="25" spans="1:23" ht="283.5" x14ac:dyDescent="0.3">
      <c r="A25" s="108" t="s">
        <v>9</v>
      </c>
      <c r="B25" s="108" t="s">
        <v>98</v>
      </c>
      <c r="C25" s="108" t="s">
        <v>10</v>
      </c>
      <c r="D25" s="108">
        <v>1</v>
      </c>
      <c r="E25" s="108" t="s">
        <v>1313</v>
      </c>
      <c r="F25" s="108" t="s">
        <v>1269</v>
      </c>
      <c r="G25" s="108" t="s">
        <v>1406</v>
      </c>
      <c r="H25" s="108" t="s">
        <v>1407</v>
      </c>
      <c r="I25" s="108" t="s">
        <v>1531</v>
      </c>
      <c r="J25" s="108">
        <v>1</v>
      </c>
      <c r="K25" s="111" t="s">
        <v>323</v>
      </c>
      <c r="L25" s="108"/>
      <c r="M25" s="108" t="s">
        <v>435</v>
      </c>
      <c r="N25" s="73"/>
      <c r="O25" s="46"/>
      <c r="P25" s="46"/>
      <c r="Q25" s="47"/>
      <c r="R25" s="47"/>
      <c r="S25" s="47"/>
      <c r="T25" s="47"/>
      <c r="U25" s="47"/>
      <c r="V25" s="47"/>
      <c r="W25" s="47"/>
    </row>
    <row r="26" spans="1:23" ht="187.5" customHeight="1" x14ac:dyDescent="0.3">
      <c r="A26" s="108" t="s">
        <v>9</v>
      </c>
      <c r="B26" s="108" t="s">
        <v>98</v>
      </c>
      <c r="C26" s="108" t="s">
        <v>10</v>
      </c>
      <c r="D26" s="108">
        <v>1</v>
      </c>
      <c r="E26" s="108" t="s">
        <v>1314</v>
      </c>
      <c r="F26" s="108" t="s">
        <v>939</v>
      </c>
      <c r="G26" s="108" t="s">
        <v>1559</v>
      </c>
      <c r="H26" s="108" t="s">
        <v>972</v>
      </c>
      <c r="I26" s="108" t="s">
        <v>1408</v>
      </c>
      <c r="J26" s="124">
        <v>1</v>
      </c>
      <c r="K26" s="111" t="s">
        <v>971</v>
      </c>
      <c r="L26" s="108"/>
      <c r="M26" s="108" t="s">
        <v>470</v>
      </c>
      <c r="N26" s="92"/>
      <c r="O26" s="33"/>
      <c r="P26" s="33"/>
    </row>
    <row r="27" spans="1:23" ht="283.5" x14ac:dyDescent="0.3">
      <c r="A27" s="108" t="s">
        <v>9</v>
      </c>
      <c r="B27" s="108" t="s">
        <v>98</v>
      </c>
      <c r="C27" s="108" t="s">
        <v>10</v>
      </c>
      <c r="D27" s="108">
        <v>1</v>
      </c>
      <c r="E27" s="108" t="s">
        <v>1315</v>
      </c>
      <c r="F27" s="108" t="s">
        <v>1256</v>
      </c>
      <c r="G27" s="108" t="s">
        <v>1409</v>
      </c>
      <c r="H27" s="108" t="s">
        <v>884</v>
      </c>
      <c r="I27" s="108" t="s">
        <v>1410</v>
      </c>
      <c r="J27" s="108">
        <v>1</v>
      </c>
      <c r="K27" s="111" t="s">
        <v>298</v>
      </c>
      <c r="L27" s="108"/>
      <c r="M27" s="108" t="s">
        <v>139</v>
      </c>
      <c r="N27" s="73"/>
      <c r="O27" s="46"/>
      <c r="P27" s="46"/>
      <c r="Q27" s="47"/>
      <c r="R27" s="47"/>
      <c r="S27" s="47"/>
      <c r="T27" s="47"/>
      <c r="U27" s="47"/>
      <c r="V27" s="47"/>
      <c r="W27" s="47"/>
    </row>
    <row r="28" spans="1:23" ht="409.5" x14ac:dyDescent="0.3">
      <c r="A28" s="108" t="s">
        <v>9</v>
      </c>
      <c r="B28" s="108" t="s">
        <v>109</v>
      </c>
      <c r="C28" s="108" t="s">
        <v>10</v>
      </c>
      <c r="D28" s="108">
        <v>1</v>
      </c>
      <c r="E28" s="108" t="s">
        <v>1316</v>
      </c>
      <c r="F28" s="108" t="s">
        <v>1257</v>
      </c>
      <c r="G28" s="108" t="s">
        <v>1411</v>
      </c>
      <c r="H28" s="108" t="s">
        <v>787</v>
      </c>
      <c r="I28" s="108" t="s">
        <v>1412</v>
      </c>
      <c r="J28" s="108">
        <v>1</v>
      </c>
      <c r="K28" s="111" t="s">
        <v>306</v>
      </c>
      <c r="L28" s="108"/>
      <c r="M28" s="108" t="s">
        <v>125</v>
      </c>
      <c r="N28" s="73"/>
      <c r="O28" s="46" t="s">
        <v>165</v>
      </c>
      <c r="P28" s="46" t="s">
        <v>96</v>
      </c>
      <c r="Q28" s="47"/>
      <c r="R28" s="47"/>
      <c r="S28" s="47"/>
      <c r="T28" s="47"/>
      <c r="U28" s="47"/>
      <c r="V28" s="47"/>
      <c r="W28" s="47"/>
    </row>
    <row r="29" spans="1:23" ht="175.5" x14ac:dyDescent="0.3">
      <c r="A29" s="108" t="s">
        <v>9</v>
      </c>
      <c r="B29" s="108" t="s">
        <v>105</v>
      </c>
      <c r="C29" s="108" t="s">
        <v>175</v>
      </c>
      <c r="D29" s="108">
        <v>1</v>
      </c>
      <c r="E29" s="108" t="s">
        <v>1317</v>
      </c>
      <c r="F29" s="108" t="s">
        <v>543</v>
      </c>
      <c r="G29" s="108" t="s">
        <v>773</v>
      </c>
      <c r="H29" s="108" t="s">
        <v>989</v>
      </c>
      <c r="I29" s="108" t="s">
        <v>1532</v>
      </c>
      <c r="J29" s="108">
        <v>0</v>
      </c>
      <c r="K29" s="111"/>
      <c r="L29" s="108" t="s">
        <v>103</v>
      </c>
      <c r="M29" s="108" t="s">
        <v>126</v>
      </c>
      <c r="N29" s="73"/>
      <c r="O29" s="46"/>
      <c r="P29" s="46"/>
      <c r="Q29" s="47"/>
      <c r="R29" s="47"/>
      <c r="S29" s="47"/>
      <c r="T29" s="47"/>
      <c r="U29" s="47"/>
      <c r="V29" s="47"/>
      <c r="W29" s="47"/>
    </row>
    <row r="30" spans="1:23" ht="140.25" customHeight="1" x14ac:dyDescent="0.3">
      <c r="A30" s="108" t="s">
        <v>9</v>
      </c>
      <c r="B30" s="128" t="s">
        <v>100</v>
      </c>
      <c r="C30" s="108" t="s">
        <v>10</v>
      </c>
      <c r="D30" s="108">
        <v>1</v>
      </c>
      <c r="E30" s="108" t="s">
        <v>1318</v>
      </c>
      <c r="F30" s="108" t="s">
        <v>544</v>
      </c>
      <c r="G30" s="108" t="s">
        <v>524</v>
      </c>
      <c r="H30" s="108" t="s">
        <v>991</v>
      </c>
      <c r="I30" s="108" t="s">
        <v>569</v>
      </c>
      <c r="J30" s="108">
        <v>0</v>
      </c>
      <c r="K30" s="111" t="s">
        <v>304</v>
      </c>
      <c r="L30" s="108" t="s">
        <v>104</v>
      </c>
      <c r="M30" s="108" t="s">
        <v>170</v>
      </c>
      <c r="N30" s="73"/>
      <c r="O30" s="46" t="s">
        <v>178</v>
      </c>
      <c r="P30" s="46" t="s">
        <v>174</v>
      </c>
      <c r="Q30" s="47"/>
      <c r="R30" s="47"/>
      <c r="S30" s="47"/>
      <c r="T30" s="47"/>
      <c r="U30" s="47"/>
      <c r="V30" s="47"/>
      <c r="W30" s="47"/>
    </row>
    <row r="31" spans="1:23" ht="409.5" x14ac:dyDescent="0.3">
      <c r="A31" s="108" t="s">
        <v>9</v>
      </c>
      <c r="B31" s="108" t="s">
        <v>105</v>
      </c>
      <c r="C31" s="108" t="s">
        <v>10</v>
      </c>
      <c r="D31" s="108">
        <v>1</v>
      </c>
      <c r="E31" s="108" t="s">
        <v>1319</v>
      </c>
      <c r="F31" s="108" t="s">
        <v>1258</v>
      </c>
      <c r="G31" s="108" t="s">
        <v>552</v>
      </c>
      <c r="H31" s="108" t="s">
        <v>885</v>
      </c>
      <c r="I31" s="108" t="s">
        <v>1533</v>
      </c>
      <c r="J31" s="108">
        <v>1</v>
      </c>
      <c r="K31" s="111" t="s">
        <v>272</v>
      </c>
      <c r="L31" s="108" t="s">
        <v>175</v>
      </c>
      <c r="M31" s="108" t="s">
        <v>141</v>
      </c>
      <c r="N31" s="73"/>
      <c r="O31" s="46"/>
      <c r="P31" s="46"/>
      <c r="Q31" s="47"/>
      <c r="R31" s="47"/>
      <c r="S31" s="47"/>
      <c r="T31" s="47"/>
      <c r="U31" s="47"/>
      <c r="V31" s="47"/>
      <c r="W31" s="47"/>
    </row>
    <row r="32" spans="1:23" ht="263.25" customHeight="1" x14ac:dyDescent="0.3">
      <c r="A32" s="108" t="s">
        <v>9</v>
      </c>
      <c r="B32" s="108" t="s">
        <v>105</v>
      </c>
      <c r="C32" s="108" t="s">
        <v>10</v>
      </c>
      <c r="D32" s="108">
        <v>1</v>
      </c>
      <c r="E32" s="108" t="s">
        <v>1320</v>
      </c>
      <c r="F32" s="108" t="s">
        <v>484</v>
      </c>
      <c r="G32" s="108" t="s">
        <v>551</v>
      </c>
      <c r="H32" s="108" t="s">
        <v>886</v>
      </c>
      <c r="I32" s="108" t="s">
        <v>1534</v>
      </c>
      <c r="J32" s="108">
        <v>1</v>
      </c>
      <c r="K32" s="111" t="s">
        <v>292</v>
      </c>
      <c r="L32" s="108" t="s">
        <v>175</v>
      </c>
      <c r="M32" s="108" t="s">
        <v>142</v>
      </c>
      <c r="N32" s="73"/>
      <c r="O32" s="46"/>
      <c r="P32" s="46"/>
      <c r="Q32" s="47"/>
      <c r="R32" s="47"/>
      <c r="S32" s="47"/>
      <c r="T32" s="47"/>
      <c r="U32" s="47"/>
      <c r="V32" s="47"/>
      <c r="W32" s="47"/>
    </row>
    <row r="33" spans="1:23" ht="108" x14ac:dyDescent="0.3">
      <c r="A33" s="108" t="s">
        <v>9</v>
      </c>
      <c r="B33" s="108" t="s">
        <v>100</v>
      </c>
      <c r="C33" s="108" t="s">
        <v>10</v>
      </c>
      <c r="D33" s="108">
        <v>1</v>
      </c>
      <c r="E33" s="108" t="s">
        <v>1321</v>
      </c>
      <c r="F33" s="108" t="s">
        <v>518</v>
      </c>
      <c r="G33" s="108" t="s">
        <v>516</v>
      </c>
      <c r="H33" s="108" t="s">
        <v>94</v>
      </c>
      <c r="I33" s="108" t="s">
        <v>520</v>
      </c>
      <c r="J33" s="108">
        <v>0</v>
      </c>
      <c r="K33" s="111"/>
      <c r="L33" s="108" t="s">
        <v>103</v>
      </c>
      <c r="M33" s="108" t="s">
        <v>132</v>
      </c>
      <c r="N33" s="73"/>
      <c r="O33" s="33"/>
      <c r="P33" s="33" t="s">
        <v>439</v>
      </c>
      <c r="Q33" s="47"/>
      <c r="R33" s="47"/>
      <c r="S33" s="47"/>
      <c r="T33" s="47"/>
      <c r="U33" s="47"/>
      <c r="V33" s="47"/>
      <c r="W33" s="47"/>
    </row>
    <row r="34" spans="1:23" ht="189" customHeight="1" x14ac:dyDescent="0.3">
      <c r="A34" s="108" t="s">
        <v>9</v>
      </c>
      <c r="B34" s="108" t="s">
        <v>105</v>
      </c>
      <c r="C34" s="108" t="s">
        <v>10</v>
      </c>
      <c r="D34" s="108">
        <v>1</v>
      </c>
      <c r="E34" s="108" t="s">
        <v>1322</v>
      </c>
      <c r="F34" s="108" t="s">
        <v>480</v>
      </c>
      <c r="G34" s="108" t="s">
        <v>797</v>
      </c>
      <c r="H34" s="108" t="s">
        <v>887</v>
      </c>
      <c r="I34" s="108" t="s">
        <v>1518</v>
      </c>
      <c r="J34" s="108">
        <v>1</v>
      </c>
      <c r="K34" s="111" t="s">
        <v>287</v>
      </c>
      <c r="L34" s="108" t="s">
        <v>175</v>
      </c>
      <c r="M34" s="108" t="s">
        <v>1413</v>
      </c>
      <c r="N34" s="92"/>
      <c r="O34" s="46"/>
      <c r="P34" s="33" t="s">
        <v>238</v>
      </c>
      <c r="Q34" s="47"/>
      <c r="R34" s="47"/>
      <c r="S34" s="47"/>
      <c r="T34" s="47"/>
      <c r="U34" s="47"/>
      <c r="V34" s="47"/>
      <c r="W34" s="47"/>
    </row>
    <row r="35" spans="1:23" ht="216" x14ac:dyDescent="0.3">
      <c r="A35" s="108" t="s">
        <v>9</v>
      </c>
      <c r="B35" s="108" t="s">
        <v>105</v>
      </c>
      <c r="C35" s="108" t="s">
        <v>10</v>
      </c>
      <c r="D35" s="108">
        <v>1</v>
      </c>
      <c r="E35" s="108" t="s">
        <v>1323</v>
      </c>
      <c r="F35" s="108" t="s">
        <v>940</v>
      </c>
      <c r="G35" s="108" t="s">
        <v>1560</v>
      </c>
      <c r="H35" s="108" t="s">
        <v>1561</v>
      </c>
      <c r="I35" s="108" t="s">
        <v>1517</v>
      </c>
      <c r="J35" s="108">
        <v>1</v>
      </c>
      <c r="K35" s="111" t="s">
        <v>267</v>
      </c>
      <c r="L35" s="108" t="s">
        <v>175</v>
      </c>
      <c r="M35" s="121" t="s">
        <v>192</v>
      </c>
      <c r="N35" s="93"/>
      <c r="O35" s="46"/>
      <c r="P35" s="46"/>
      <c r="Q35" s="47"/>
      <c r="R35" s="47"/>
      <c r="S35" s="47"/>
      <c r="T35" s="47"/>
      <c r="U35" s="47"/>
      <c r="V35" s="47"/>
      <c r="W35" s="47"/>
    </row>
    <row r="36" spans="1:23" ht="189" x14ac:dyDescent="0.3">
      <c r="A36" s="108" t="s">
        <v>9</v>
      </c>
      <c r="B36" s="108" t="s">
        <v>105</v>
      </c>
      <c r="C36" s="108" t="s">
        <v>10</v>
      </c>
      <c r="D36" s="108">
        <v>1</v>
      </c>
      <c r="E36" s="108" t="s">
        <v>1324</v>
      </c>
      <c r="F36" s="108" t="s">
        <v>546</v>
      </c>
      <c r="G36" s="108" t="s">
        <v>798</v>
      </c>
      <c r="H36" s="108" t="s">
        <v>888</v>
      </c>
      <c r="I36" s="108" t="s">
        <v>180</v>
      </c>
      <c r="J36" s="108">
        <v>1</v>
      </c>
      <c r="K36" s="111" t="s">
        <v>320</v>
      </c>
      <c r="L36" s="108" t="s">
        <v>175</v>
      </c>
      <c r="M36" s="108" t="s">
        <v>143</v>
      </c>
      <c r="N36" s="73"/>
      <c r="O36" s="46"/>
      <c r="P36" s="46"/>
      <c r="Q36" s="47"/>
      <c r="R36" s="47"/>
      <c r="S36" s="47"/>
      <c r="T36" s="47"/>
      <c r="U36" s="47"/>
      <c r="V36" s="47"/>
      <c r="W36" s="47"/>
    </row>
    <row r="37" spans="1:23" ht="255.2" customHeight="1" x14ac:dyDescent="0.3">
      <c r="A37" s="108" t="s">
        <v>9</v>
      </c>
      <c r="B37" s="108" t="s">
        <v>105</v>
      </c>
      <c r="C37" s="108" t="s">
        <v>10</v>
      </c>
      <c r="D37" s="108">
        <v>1</v>
      </c>
      <c r="E37" s="108" t="s">
        <v>1325</v>
      </c>
      <c r="F37" s="108" t="s">
        <v>483</v>
      </c>
      <c r="G37" s="108" t="s">
        <v>799</v>
      </c>
      <c r="H37" s="108" t="s">
        <v>537</v>
      </c>
      <c r="I37" s="108" t="s">
        <v>1535</v>
      </c>
      <c r="J37" s="108">
        <v>1</v>
      </c>
      <c r="K37" s="111" t="s">
        <v>363</v>
      </c>
      <c r="L37" s="108" t="s">
        <v>175</v>
      </c>
      <c r="M37" s="121" t="s">
        <v>194</v>
      </c>
      <c r="N37" s="93"/>
      <c r="O37" s="46"/>
      <c r="P37" s="46" t="s">
        <v>195</v>
      </c>
      <c r="Q37" s="47"/>
      <c r="R37" s="47"/>
      <c r="S37" s="47"/>
      <c r="T37" s="47"/>
      <c r="U37" s="47"/>
      <c r="V37" s="47"/>
      <c r="W37" s="47"/>
    </row>
    <row r="38" spans="1:23" ht="162" x14ac:dyDescent="0.3">
      <c r="A38" s="108" t="s">
        <v>9</v>
      </c>
      <c r="B38" s="108" t="s">
        <v>105</v>
      </c>
      <c r="C38" s="108" t="s">
        <v>10</v>
      </c>
      <c r="D38" s="108">
        <v>1</v>
      </c>
      <c r="E38" s="108" t="s">
        <v>1326</v>
      </c>
      <c r="F38" s="108" t="s">
        <v>1239</v>
      </c>
      <c r="G38" s="108" t="s">
        <v>1414</v>
      </c>
      <c r="H38" s="108" t="s">
        <v>800</v>
      </c>
      <c r="I38" s="108" t="s">
        <v>1415</v>
      </c>
      <c r="J38" s="108">
        <v>1</v>
      </c>
      <c r="K38" s="111" t="s">
        <v>973</v>
      </c>
      <c r="L38" s="108" t="s">
        <v>175</v>
      </c>
      <c r="M38" s="108" t="s">
        <v>181</v>
      </c>
      <c r="N38" s="73"/>
      <c r="O38" s="46"/>
      <c r="P38" s="46" t="s">
        <v>446</v>
      </c>
      <c r="Q38" s="47"/>
      <c r="R38" s="47"/>
      <c r="S38" s="47"/>
      <c r="T38" s="47"/>
      <c r="U38" s="47"/>
      <c r="V38" s="47"/>
      <c r="W38" s="47"/>
    </row>
    <row r="39" spans="1:23" ht="189" x14ac:dyDescent="0.3">
      <c r="A39" s="108" t="s">
        <v>9</v>
      </c>
      <c r="B39" s="108" t="s">
        <v>105</v>
      </c>
      <c r="C39" s="108" t="s">
        <v>10</v>
      </c>
      <c r="D39" s="108">
        <v>1</v>
      </c>
      <c r="E39" s="108" t="s">
        <v>1327</v>
      </c>
      <c r="F39" s="108" t="s">
        <v>84</v>
      </c>
      <c r="G39" s="108" t="s">
        <v>801</v>
      </c>
      <c r="H39" s="108" t="s">
        <v>802</v>
      </c>
      <c r="I39" s="108" t="s">
        <v>1519</v>
      </c>
      <c r="J39" s="108">
        <v>1</v>
      </c>
      <c r="K39" s="111" t="s">
        <v>326</v>
      </c>
      <c r="L39" s="108" t="s">
        <v>1598</v>
      </c>
      <c r="M39" s="108" t="s">
        <v>144</v>
      </c>
      <c r="N39" s="73"/>
      <c r="O39" s="46"/>
      <c r="P39" s="46"/>
      <c r="Q39" s="47"/>
      <c r="R39" s="47"/>
      <c r="S39" s="47"/>
      <c r="T39" s="47"/>
      <c r="U39" s="47"/>
      <c r="V39" s="47"/>
      <c r="W39" s="47"/>
    </row>
    <row r="40" spans="1:23" ht="189" x14ac:dyDescent="0.3">
      <c r="A40" s="108" t="s">
        <v>9</v>
      </c>
      <c r="B40" s="108" t="s">
        <v>101</v>
      </c>
      <c r="C40" s="108" t="s">
        <v>10</v>
      </c>
      <c r="D40" s="108">
        <v>1</v>
      </c>
      <c r="E40" s="108" t="s">
        <v>1328</v>
      </c>
      <c r="F40" s="108" t="s">
        <v>943</v>
      </c>
      <c r="G40" s="108" t="s">
        <v>765</v>
      </c>
      <c r="H40" s="108" t="s">
        <v>94</v>
      </c>
      <c r="I40" s="108" t="s">
        <v>775</v>
      </c>
      <c r="J40" s="108">
        <v>0</v>
      </c>
      <c r="K40" s="111"/>
      <c r="L40" s="108" t="s">
        <v>103</v>
      </c>
      <c r="M40" s="108" t="s">
        <v>132</v>
      </c>
      <c r="N40" s="73"/>
      <c r="O40" s="46"/>
      <c r="P40" s="46" t="s">
        <v>97</v>
      </c>
      <c r="Q40" s="47"/>
      <c r="R40" s="47"/>
      <c r="S40" s="47"/>
      <c r="T40" s="47"/>
      <c r="U40" s="47"/>
      <c r="V40" s="47"/>
      <c r="W40" s="47"/>
    </row>
    <row r="41" spans="1:23" ht="85.5" customHeight="1" x14ac:dyDescent="0.3">
      <c r="A41" s="108" t="s">
        <v>9</v>
      </c>
      <c r="B41" s="108" t="s">
        <v>101</v>
      </c>
      <c r="C41" s="108" t="s">
        <v>774</v>
      </c>
      <c r="D41" s="108">
        <v>1</v>
      </c>
      <c r="E41" s="108" t="s">
        <v>1329</v>
      </c>
      <c r="F41" s="108" t="s">
        <v>1286</v>
      </c>
      <c r="G41" s="108" t="s">
        <v>545</v>
      </c>
      <c r="H41" s="108" t="s">
        <v>95</v>
      </c>
      <c r="I41" s="108" t="s">
        <v>764</v>
      </c>
      <c r="J41" s="108">
        <v>0</v>
      </c>
      <c r="K41" s="111" t="s">
        <v>299</v>
      </c>
      <c r="L41" s="108" t="s">
        <v>104</v>
      </c>
      <c r="M41" s="108" t="s">
        <v>145</v>
      </c>
      <c r="N41" s="73"/>
      <c r="O41" s="46"/>
      <c r="P41" s="46"/>
      <c r="Q41" s="47"/>
      <c r="R41" s="47"/>
      <c r="S41" s="47"/>
      <c r="T41" s="47"/>
      <c r="U41" s="47"/>
      <c r="V41" s="47"/>
      <c r="W41" s="47"/>
    </row>
    <row r="42" spans="1:23" ht="121.5" x14ac:dyDescent="0.3">
      <c r="A42" s="108" t="s">
        <v>9</v>
      </c>
      <c r="B42" s="108" t="s">
        <v>106</v>
      </c>
      <c r="C42" s="108" t="s">
        <v>10</v>
      </c>
      <c r="D42" s="108">
        <v>1</v>
      </c>
      <c r="E42" s="108" t="s">
        <v>1330</v>
      </c>
      <c r="F42" s="108" t="s">
        <v>1240</v>
      </c>
      <c r="G42" s="108" t="s">
        <v>777</v>
      </c>
      <c r="H42" s="108" t="s">
        <v>951</v>
      </c>
      <c r="I42" s="108" t="s">
        <v>778</v>
      </c>
      <c r="J42" s="108">
        <v>0</v>
      </c>
      <c r="K42" s="111" t="s">
        <v>974</v>
      </c>
      <c r="L42" s="108" t="s">
        <v>104</v>
      </c>
      <c r="M42" s="108" t="s">
        <v>994</v>
      </c>
      <c r="N42" s="73"/>
      <c r="O42" s="46"/>
      <c r="P42" s="46"/>
      <c r="Q42" s="47"/>
      <c r="R42" s="47"/>
      <c r="S42" s="47"/>
      <c r="T42" s="47"/>
      <c r="U42" s="47"/>
      <c r="V42" s="47"/>
      <c r="W42" s="47"/>
    </row>
    <row r="43" spans="1:23" ht="253.5" customHeight="1" x14ac:dyDescent="0.3">
      <c r="A43" s="108" t="s">
        <v>9</v>
      </c>
      <c r="B43" s="108" t="s">
        <v>222</v>
      </c>
      <c r="C43" s="108" t="s">
        <v>10</v>
      </c>
      <c r="D43" s="108">
        <v>1</v>
      </c>
      <c r="E43" s="108" t="s">
        <v>1331</v>
      </c>
      <c r="F43" s="108" t="s">
        <v>943</v>
      </c>
      <c r="G43" s="108" t="s">
        <v>803</v>
      </c>
      <c r="H43" s="108" t="s">
        <v>919</v>
      </c>
      <c r="I43" s="108" t="s">
        <v>804</v>
      </c>
      <c r="J43" s="108">
        <v>1</v>
      </c>
      <c r="K43" s="111" t="s">
        <v>308</v>
      </c>
      <c r="L43" s="108" t="s">
        <v>1601</v>
      </c>
      <c r="M43" s="108" t="s">
        <v>219</v>
      </c>
      <c r="N43" s="73"/>
      <c r="O43" s="46" t="s">
        <v>221</v>
      </c>
      <c r="P43" s="46" t="s">
        <v>220</v>
      </c>
      <c r="Q43" s="47"/>
      <c r="R43" s="47"/>
      <c r="S43" s="47"/>
      <c r="T43" s="47"/>
      <c r="U43" s="47"/>
      <c r="V43" s="47"/>
      <c r="W43" s="47"/>
    </row>
    <row r="44" spans="1:23" ht="108.75" customHeight="1" x14ac:dyDescent="0.3">
      <c r="A44" s="108" t="s">
        <v>9</v>
      </c>
      <c r="B44" s="131" t="s">
        <v>1446</v>
      </c>
      <c r="C44" s="108" t="s">
        <v>10</v>
      </c>
      <c r="D44" s="108">
        <v>1</v>
      </c>
      <c r="E44" s="130" t="s">
        <v>1434</v>
      </c>
      <c r="F44" s="131" t="s">
        <v>23</v>
      </c>
      <c r="G44" s="131" t="s">
        <v>1135</v>
      </c>
      <c r="H44" s="131" t="s">
        <v>1195</v>
      </c>
      <c r="I44" s="131" t="s">
        <v>1136</v>
      </c>
      <c r="J44" s="131">
        <v>0</v>
      </c>
      <c r="K44" s="133"/>
      <c r="L44" s="108" t="s">
        <v>1602</v>
      </c>
      <c r="M44" s="108" t="s">
        <v>132</v>
      </c>
      <c r="N44" s="112" t="s">
        <v>1449</v>
      </c>
      <c r="O44" s="108"/>
      <c r="P44" s="99"/>
      <c r="Q44" s="47"/>
      <c r="R44" s="47"/>
      <c r="S44" s="47"/>
      <c r="T44" s="47"/>
      <c r="U44" s="47"/>
    </row>
    <row r="45" spans="1:23" ht="99" customHeight="1" x14ac:dyDescent="0.3">
      <c r="A45" s="108" t="s">
        <v>9</v>
      </c>
      <c r="B45" s="131" t="s">
        <v>1446</v>
      </c>
      <c r="C45" s="108" t="s">
        <v>10</v>
      </c>
      <c r="D45" s="108">
        <v>1</v>
      </c>
      <c r="E45" s="130" t="s">
        <v>1435</v>
      </c>
      <c r="F45" s="131" t="s">
        <v>24</v>
      </c>
      <c r="G45" s="131" t="s">
        <v>1138</v>
      </c>
      <c r="H45" s="131" t="s">
        <v>1188</v>
      </c>
      <c r="I45" s="131" t="s">
        <v>1520</v>
      </c>
      <c r="J45" s="131">
        <v>0</v>
      </c>
      <c r="K45" s="133"/>
      <c r="L45" s="108" t="s">
        <v>1602</v>
      </c>
      <c r="M45" s="108" t="s">
        <v>132</v>
      </c>
      <c r="N45" s="112" t="s">
        <v>1450</v>
      </c>
      <c r="O45" s="108"/>
      <c r="P45" s="99"/>
      <c r="Q45" s="47"/>
      <c r="R45" s="47"/>
      <c r="S45" s="47"/>
      <c r="T45" s="47"/>
      <c r="U45" s="47"/>
    </row>
    <row r="46" spans="1:23" ht="83.25" customHeight="1" x14ac:dyDescent="0.3">
      <c r="A46" s="108" t="s">
        <v>9</v>
      </c>
      <c r="B46" s="131" t="s">
        <v>1446</v>
      </c>
      <c r="C46" s="108" t="s">
        <v>10</v>
      </c>
      <c r="D46" s="108">
        <v>1</v>
      </c>
      <c r="E46" s="130" t="s">
        <v>1436</v>
      </c>
      <c r="F46" s="131" t="s">
        <v>1142</v>
      </c>
      <c r="G46" s="131" t="s">
        <v>1143</v>
      </c>
      <c r="H46" s="131" t="s">
        <v>1189</v>
      </c>
      <c r="I46" s="131" t="s">
        <v>1144</v>
      </c>
      <c r="J46" s="131">
        <v>0</v>
      </c>
      <c r="K46" s="133"/>
      <c r="L46" s="108" t="s">
        <v>1602</v>
      </c>
      <c r="M46" s="108" t="s">
        <v>132</v>
      </c>
      <c r="N46" s="112" t="s">
        <v>1451</v>
      </c>
      <c r="O46" s="108"/>
      <c r="P46" s="99"/>
      <c r="Q46" s="47"/>
      <c r="R46" s="47"/>
      <c r="S46" s="47"/>
      <c r="T46" s="47"/>
      <c r="U46" s="47"/>
    </row>
    <row r="47" spans="1:23" ht="103.5" customHeight="1" x14ac:dyDescent="0.3">
      <c r="A47" s="108" t="s">
        <v>9</v>
      </c>
      <c r="B47" s="108" t="s">
        <v>997</v>
      </c>
      <c r="C47" s="108" t="s">
        <v>10</v>
      </c>
      <c r="D47" s="108">
        <v>1</v>
      </c>
      <c r="E47" s="130" t="s">
        <v>1447</v>
      </c>
      <c r="F47" s="108" t="s">
        <v>1241</v>
      </c>
      <c r="G47" s="108" t="s">
        <v>995</v>
      </c>
      <c r="H47" s="108" t="s">
        <v>963</v>
      </c>
      <c r="I47" s="108" t="s">
        <v>949</v>
      </c>
      <c r="J47" s="108">
        <v>0</v>
      </c>
      <c r="K47" s="111" t="s">
        <v>1492</v>
      </c>
      <c r="L47" s="108" t="s">
        <v>969</v>
      </c>
      <c r="M47" s="125" t="s">
        <v>994</v>
      </c>
      <c r="N47" s="100" t="s">
        <v>986</v>
      </c>
      <c r="O47" s="99"/>
      <c r="P47" s="99"/>
      <c r="Q47" s="47"/>
      <c r="R47" s="47"/>
      <c r="S47" s="47"/>
      <c r="T47" s="47"/>
      <c r="U47" s="47"/>
      <c r="V47" s="47"/>
      <c r="W47" s="47"/>
    </row>
    <row r="48" spans="1:23" ht="103.5" customHeight="1" x14ac:dyDescent="0.3">
      <c r="A48" s="108" t="s">
        <v>9</v>
      </c>
      <c r="B48" s="108" t="s">
        <v>997</v>
      </c>
      <c r="C48" s="108" t="s">
        <v>10</v>
      </c>
      <c r="D48" s="108">
        <v>1</v>
      </c>
      <c r="E48" s="130" t="s">
        <v>1448</v>
      </c>
      <c r="F48" s="108" t="s">
        <v>947</v>
      </c>
      <c r="G48" s="108" t="s">
        <v>779</v>
      </c>
      <c r="H48" s="108" t="s">
        <v>495</v>
      </c>
      <c r="I48" s="108" t="s">
        <v>950</v>
      </c>
      <c r="J48" s="108">
        <v>0</v>
      </c>
      <c r="K48" s="111"/>
      <c r="L48" s="108" t="s">
        <v>103</v>
      </c>
      <c r="M48" s="108" t="s">
        <v>132</v>
      </c>
      <c r="N48" s="100" t="s">
        <v>986</v>
      </c>
      <c r="O48" s="99"/>
      <c r="P48" s="99"/>
      <c r="Q48" s="47"/>
      <c r="R48" s="47"/>
      <c r="S48" s="47"/>
      <c r="T48" s="47"/>
      <c r="U48" s="47"/>
      <c r="V48" s="47"/>
      <c r="W48" s="47"/>
    </row>
    <row r="49" spans="1:23" x14ac:dyDescent="0.3">
      <c r="A49" s="47"/>
      <c r="B49" s="109"/>
      <c r="C49" s="47"/>
      <c r="E49" s="53"/>
      <c r="F49" s="47"/>
      <c r="G49" s="47"/>
      <c r="H49" s="47"/>
      <c r="I49" s="47"/>
      <c r="J49" s="47"/>
      <c r="K49" s="47"/>
      <c r="L49" s="47"/>
      <c r="M49" s="47"/>
      <c r="N49" s="91"/>
      <c r="O49" s="47"/>
      <c r="P49" s="47"/>
      <c r="Q49" s="47"/>
      <c r="R49" s="47"/>
      <c r="S49" s="47"/>
      <c r="T49" s="47"/>
      <c r="U49" s="47"/>
      <c r="V49" s="47"/>
      <c r="W49" s="47"/>
    </row>
    <row r="50" spans="1:23" x14ac:dyDescent="0.3">
      <c r="A50" s="47"/>
      <c r="B50" s="109"/>
      <c r="C50" s="47"/>
      <c r="E50" s="53"/>
      <c r="F50" s="47"/>
      <c r="G50" s="47"/>
      <c r="H50" s="47"/>
      <c r="I50" s="47"/>
      <c r="J50" s="47"/>
      <c r="K50" s="47"/>
      <c r="L50" s="47"/>
      <c r="M50" s="47"/>
      <c r="N50" s="91"/>
      <c r="O50" s="47"/>
      <c r="P50" s="47"/>
      <c r="Q50" s="47"/>
      <c r="R50" s="47"/>
      <c r="S50" s="47"/>
      <c r="T50" s="47"/>
      <c r="U50" s="47"/>
      <c r="V50" s="47"/>
      <c r="W50" s="47"/>
    </row>
    <row r="51" spans="1:23" x14ac:dyDescent="0.3">
      <c r="A51" s="47"/>
      <c r="B51" s="109"/>
      <c r="C51" s="47"/>
      <c r="E51" s="53"/>
      <c r="F51" s="47"/>
      <c r="G51" s="47"/>
      <c r="H51" s="47"/>
      <c r="I51" s="47"/>
      <c r="J51" s="47"/>
      <c r="K51" s="47"/>
      <c r="L51" s="47"/>
      <c r="M51" s="47"/>
      <c r="N51" s="91"/>
      <c r="O51" s="47"/>
      <c r="P51" s="47"/>
      <c r="Q51" s="47"/>
      <c r="R51" s="47"/>
      <c r="S51" s="47"/>
      <c r="T51" s="47"/>
      <c r="U51" s="47"/>
      <c r="V51" s="47"/>
      <c r="W51" s="47"/>
    </row>
    <row r="52" spans="1:23" x14ac:dyDescent="0.3">
      <c r="A52" s="47"/>
      <c r="B52" s="109"/>
      <c r="C52" s="47"/>
      <c r="E52" s="53"/>
      <c r="F52" s="47"/>
      <c r="G52" s="47"/>
      <c r="H52" s="47"/>
      <c r="I52" s="47"/>
      <c r="J52" s="47"/>
      <c r="K52" s="47"/>
      <c r="L52" s="47"/>
      <c r="M52" s="47"/>
      <c r="N52" s="91"/>
      <c r="O52" s="47"/>
      <c r="P52" s="47"/>
      <c r="Q52" s="47"/>
      <c r="R52" s="47"/>
      <c r="S52" s="47"/>
      <c r="T52" s="47"/>
      <c r="U52" s="47"/>
      <c r="V52" s="47"/>
      <c r="W52" s="47"/>
    </row>
    <row r="53" spans="1:23" x14ac:dyDescent="0.3">
      <c r="A53" s="47"/>
      <c r="B53" s="109"/>
      <c r="C53" s="47"/>
      <c r="E53" s="53"/>
      <c r="F53" s="47"/>
      <c r="G53" s="47"/>
      <c r="H53" s="47"/>
      <c r="I53" s="47"/>
      <c r="J53" s="47"/>
      <c r="K53" s="47"/>
      <c r="L53" s="47"/>
      <c r="M53" s="47"/>
      <c r="N53" s="91"/>
      <c r="O53" s="47"/>
      <c r="P53" s="47"/>
      <c r="Q53" s="47"/>
      <c r="R53" s="47"/>
      <c r="S53" s="47"/>
      <c r="T53" s="47"/>
      <c r="U53" s="47"/>
      <c r="V53" s="47"/>
      <c r="W53" s="47"/>
    </row>
    <row r="54" spans="1:23" x14ac:dyDescent="0.3">
      <c r="A54" s="47"/>
      <c r="B54" s="109"/>
      <c r="C54" s="47"/>
      <c r="E54" s="53"/>
      <c r="F54" s="47"/>
      <c r="G54" s="47"/>
      <c r="H54" s="47"/>
      <c r="I54" s="47"/>
      <c r="J54" s="47"/>
      <c r="K54" s="47"/>
      <c r="L54" s="47"/>
      <c r="M54" s="47"/>
      <c r="N54" s="91"/>
      <c r="O54" s="47"/>
      <c r="P54" s="47"/>
      <c r="Q54" s="47"/>
      <c r="R54" s="47"/>
      <c r="S54" s="47"/>
      <c r="T54" s="47"/>
      <c r="U54" s="47"/>
      <c r="V54" s="47"/>
      <c r="W54" s="47"/>
    </row>
    <row r="55" spans="1:23" x14ac:dyDescent="0.3">
      <c r="A55" s="47"/>
      <c r="B55" s="109"/>
      <c r="C55" s="47"/>
      <c r="E55" s="53"/>
      <c r="F55" s="47"/>
      <c r="G55" s="47"/>
      <c r="H55" s="47"/>
      <c r="I55" s="47"/>
      <c r="J55" s="47"/>
      <c r="K55" s="47"/>
      <c r="L55" s="47"/>
      <c r="M55" s="47"/>
      <c r="N55" s="91"/>
      <c r="O55" s="47"/>
      <c r="P55" s="47"/>
      <c r="Q55" s="47"/>
      <c r="R55" s="47"/>
      <c r="S55" s="47"/>
      <c r="T55" s="47"/>
      <c r="U55" s="47"/>
      <c r="V55" s="47"/>
      <c r="W55" s="47"/>
    </row>
    <row r="56" spans="1:23" x14ac:dyDescent="0.3">
      <c r="A56" s="47"/>
      <c r="B56" s="109"/>
      <c r="C56" s="47"/>
      <c r="E56" s="53"/>
      <c r="F56" s="47"/>
      <c r="G56" s="47"/>
      <c r="H56" s="47"/>
      <c r="I56" s="47"/>
      <c r="J56" s="47"/>
      <c r="K56" s="47"/>
      <c r="L56" s="47"/>
      <c r="M56" s="47"/>
      <c r="N56" s="91"/>
      <c r="O56" s="47"/>
      <c r="P56" s="47"/>
      <c r="Q56" s="47"/>
      <c r="R56" s="47"/>
      <c r="S56" s="47"/>
      <c r="T56" s="47"/>
      <c r="U56" s="47"/>
      <c r="V56" s="47"/>
      <c r="W56" s="47"/>
    </row>
    <row r="57" spans="1:23" x14ac:dyDescent="0.3">
      <c r="A57" s="47"/>
      <c r="B57" s="109"/>
      <c r="C57" s="47"/>
      <c r="E57" s="53"/>
      <c r="F57" s="47"/>
      <c r="G57" s="47"/>
      <c r="H57" s="47"/>
      <c r="I57" s="47"/>
      <c r="J57" s="47"/>
      <c r="K57" s="47"/>
      <c r="L57" s="47"/>
      <c r="M57" s="47"/>
      <c r="N57" s="91"/>
      <c r="O57" s="47"/>
      <c r="P57" s="47"/>
      <c r="Q57" s="47"/>
      <c r="R57" s="47"/>
      <c r="S57" s="47"/>
      <c r="T57" s="47"/>
      <c r="U57" s="47"/>
      <c r="V57" s="47"/>
      <c r="W57" s="47"/>
    </row>
    <row r="58" spans="1:23" x14ac:dyDescent="0.3">
      <c r="A58" s="47"/>
      <c r="B58" s="109"/>
      <c r="C58" s="47"/>
      <c r="E58" s="53"/>
      <c r="F58" s="47"/>
      <c r="G58" s="47"/>
      <c r="H58" s="47"/>
      <c r="I58" s="47"/>
      <c r="J58" s="47"/>
      <c r="K58" s="47"/>
      <c r="L58" s="47"/>
      <c r="M58" s="47"/>
      <c r="N58" s="91"/>
      <c r="O58" s="47"/>
      <c r="P58" s="47"/>
      <c r="Q58" s="47"/>
      <c r="R58" s="47"/>
      <c r="S58" s="47"/>
      <c r="T58" s="47"/>
      <c r="U58" s="47"/>
      <c r="V58" s="47"/>
      <c r="W58" s="47"/>
    </row>
    <row r="59" spans="1:23" x14ac:dyDescent="0.3">
      <c r="A59" s="47"/>
      <c r="B59" s="109"/>
      <c r="C59" s="47"/>
      <c r="E59" s="53"/>
      <c r="F59" s="47"/>
      <c r="G59" s="47"/>
      <c r="H59" s="47"/>
      <c r="I59" s="47"/>
      <c r="J59" s="47"/>
      <c r="K59" s="47"/>
      <c r="L59" s="47"/>
      <c r="M59" s="47"/>
      <c r="N59" s="91"/>
      <c r="O59" s="47"/>
      <c r="P59" s="47"/>
      <c r="Q59" s="47"/>
      <c r="R59" s="47"/>
      <c r="S59" s="47"/>
      <c r="T59" s="47"/>
      <c r="U59" s="47"/>
      <c r="V59" s="47"/>
      <c r="W59" s="47"/>
    </row>
    <row r="60" spans="1:23" x14ac:dyDescent="0.3">
      <c r="A60" s="47"/>
      <c r="B60" s="109"/>
      <c r="C60" s="47"/>
      <c r="E60" s="53"/>
      <c r="F60" s="47"/>
      <c r="G60" s="47"/>
      <c r="H60" s="47"/>
      <c r="I60" s="47"/>
      <c r="J60" s="47"/>
      <c r="K60" s="47"/>
      <c r="L60" s="47"/>
      <c r="M60" s="47"/>
      <c r="N60" s="91"/>
      <c r="O60" s="47"/>
      <c r="P60" s="47"/>
      <c r="Q60" s="47"/>
      <c r="R60" s="47"/>
      <c r="S60" s="47"/>
      <c r="T60" s="47"/>
      <c r="U60" s="47"/>
      <c r="V60" s="47"/>
      <c r="W60" s="47"/>
    </row>
    <row r="61" spans="1:23" x14ac:dyDescent="0.3">
      <c r="A61" s="47"/>
      <c r="B61" s="109"/>
      <c r="C61" s="47"/>
      <c r="E61" s="53"/>
      <c r="F61" s="47"/>
      <c r="G61" s="47"/>
      <c r="H61" s="47"/>
      <c r="I61" s="47"/>
      <c r="J61" s="47"/>
      <c r="K61" s="47"/>
      <c r="L61" s="47"/>
      <c r="M61" s="47"/>
      <c r="N61" s="91"/>
      <c r="O61" s="47"/>
      <c r="P61" s="47"/>
      <c r="Q61" s="47"/>
      <c r="R61" s="47"/>
      <c r="S61" s="47"/>
      <c r="T61" s="47"/>
      <c r="U61" s="47"/>
      <c r="V61" s="47"/>
      <c r="W61" s="47"/>
    </row>
    <row r="62" spans="1:23" x14ac:dyDescent="0.3">
      <c r="A62" s="47"/>
      <c r="B62" s="109"/>
      <c r="C62" s="47"/>
      <c r="E62" s="53"/>
      <c r="F62" s="47"/>
      <c r="G62" s="47"/>
      <c r="H62" s="47"/>
      <c r="I62" s="47"/>
      <c r="J62" s="47"/>
      <c r="K62" s="47"/>
      <c r="L62" s="47"/>
      <c r="M62" s="47"/>
      <c r="N62" s="91"/>
      <c r="O62" s="47"/>
      <c r="P62" s="47"/>
      <c r="Q62" s="47"/>
      <c r="R62" s="47"/>
      <c r="S62" s="47"/>
      <c r="T62" s="47"/>
      <c r="U62" s="47"/>
      <c r="V62" s="47"/>
      <c r="W62" s="47"/>
    </row>
    <row r="63" spans="1:23" x14ac:dyDescent="0.3">
      <c r="A63" s="47"/>
      <c r="B63" s="109"/>
      <c r="C63" s="47"/>
      <c r="E63" s="53"/>
      <c r="F63" s="47"/>
      <c r="G63" s="47"/>
      <c r="H63" s="47"/>
      <c r="I63" s="47"/>
      <c r="J63" s="47"/>
      <c r="K63" s="47"/>
      <c r="L63" s="47"/>
      <c r="M63" s="47"/>
      <c r="N63" s="91"/>
      <c r="O63" s="47"/>
      <c r="P63" s="47"/>
      <c r="Q63" s="47"/>
      <c r="R63" s="47"/>
      <c r="S63" s="47"/>
      <c r="T63" s="47"/>
      <c r="U63" s="47"/>
      <c r="V63" s="47"/>
      <c r="W63" s="47"/>
    </row>
    <row r="64" spans="1:23" x14ac:dyDescent="0.3">
      <c r="A64" s="47"/>
      <c r="B64" s="109"/>
      <c r="C64" s="47"/>
      <c r="E64" s="53"/>
      <c r="F64" s="47"/>
      <c r="G64" s="47"/>
      <c r="H64" s="47"/>
      <c r="I64" s="47"/>
      <c r="J64" s="47"/>
      <c r="K64" s="47"/>
      <c r="L64" s="47"/>
      <c r="M64" s="47"/>
      <c r="N64" s="91"/>
      <c r="O64" s="47"/>
      <c r="P64" s="47"/>
      <c r="Q64" s="47"/>
      <c r="R64" s="47"/>
      <c r="S64" s="47"/>
      <c r="T64" s="47"/>
      <c r="U64" s="47"/>
      <c r="V64" s="47"/>
      <c r="W64" s="47"/>
    </row>
    <row r="65" spans="1:23" x14ac:dyDescent="0.3">
      <c r="A65" s="47"/>
      <c r="B65" s="109"/>
      <c r="C65" s="47"/>
      <c r="E65" s="53"/>
      <c r="F65" s="47"/>
      <c r="G65" s="47"/>
      <c r="H65" s="47"/>
      <c r="I65" s="47"/>
      <c r="J65" s="47"/>
      <c r="K65" s="47"/>
      <c r="L65" s="47"/>
      <c r="M65" s="47"/>
      <c r="N65" s="91"/>
      <c r="O65" s="47"/>
      <c r="P65" s="47"/>
      <c r="Q65" s="47"/>
      <c r="R65" s="47"/>
      <c r="S65" s="47"/>
      <c r="T65" s="47"/>
      <c r="U65" s="47"/>
      <c r="V65" s="47"/>
      <c r="W65" s="47"/>
    </row>
    <row r="66" spans="1:23" x14ac:dyDescent="0.3">
      <c r="A66" s="47"/>
      <c r="B66" s="109"/>
      <c r="C66" s="47"/>
      <c r="E66" s="53"/>
      <c r="F66" s="47"/>
      <c r="G66" s="47"/>
      <c r="H66" s="47"/>
      <c r="I66" s="47"/>
      <c r="J66" s="47"/>
      <c r="K66" s="47"/>
      <c r="L66" s="47"/>
      <c r="M66" s="47"/>
      <c r="N66" s="91"/>
      <c r="O66" s="47"/>
      <c r="P66" s="47"/>
      <c r="Q66" s="47"/>
      <c r="R66" s="47"/>
      <c r="S66" s="47"/>
      <c r="T66" s="47"/>
      <c r="U66" s="47"/>
      <c r="V66" s="47"/>
      <c r="W66" s="47"/>
    </row>
    <row r="67" spans="1:23" x14ac:dyDescent="0.3">
      <c r="A67" s="47"/>
      <c r="B67" s="109"/>
      <c r="C67" s="47"/>
      <c r="E67" s="53"/>
      <c r="F67" s="47"/>
      <c r="G67" s="47"/>
      <c r="H67" s="47"/>
      <c r="I67" s="47"/>
      <c r="J67" s="47"/>
      <c r="K67" s="47"/>
      <c r="L67" s="47"/>
      <c r="M67" s="47"/>
      <c r="N67" s="91"/>
      <c r="O67" s="47"/>
      <c r="P67" s="47"/>
      <c r="Q67" s="47"/>
      <c r="R67" s="47"/>
      <c r="S67" s="47"/>
      <c r="T67" s="47"/>
      <c r="U67" s="47"/>
      <c r="V67" s="47"/>
      <c r="W67" s="47"/>
    </row>
    <row r="68" spans="1:23" x14ac:dyDescent="0.3">
      <c r="A68" s="47"/>
      <c r="B68" s="109"/>
      <c r="C68" s="47"/>
      <c r="E68" s="53"/>
      <c r="F68" s="47"/>
      <c r="G68" s="47"/>
      <c r="H68" s="47"/>
      <c r="I68" s="47"/>
      <c r="J68" s="47"/>
      <c r="K68" s="47"/>
      <c r="L68" s="47"/>
      <c r="M68" s="47"/>
      <c r="N68" s="91"/>
      <c r="O68" s="47"/>
      <c r="P68" s="47"/>
      <c r="Q68" s="47"/>
      <c r="R68" s="47"/>
      <c r="S68" s="47"/>
      <c r="T68" s="47"/>
      <c r="U68" s="47"/>
      <c r="V68" s="47"/>
      <c r="W68" s="47"/>
    </row>
    <row r="69" spans="1:23" x14ac:dyDescent="0.3">
      <c r="A69" s="47"/>
      <c r="B69" s="109"/>
      <c r="C69" s="47"/>
      <c r="E69" s="53"/>
      <c r="F69" s="47"/>
      <c r="G69" s="47"/>
      <c r="H69" s="47"/>
      <c r="I69" s="47"/>
      <c r="J69" s="47"/>
      <c r="K69" s="47"/>
      <c r="L69" s="47"/>
      <c r="M69" s="47"/>
      <c r="N69" s="91"/>
      <c r="O69" s="47"/>
      <c r="P69" s="47"/>
      <c r="Q69" s="47"/>
      <c r="R69" s="47"/>
      <c r="S69" s="47"/>
      <c r="T69" s="47"/>
      <c r="U69" s="47"/>
      <c r="V69" s="47"/>
      <c r="W69" s="47"/>
    </row>
    <row r="70" spans="1:23" x14ac:dyDescent="0.3">
      <c r="A70" s="47"/>
      <c r="B70" s="109"/>
      <c r="C70" s="47"/>
      <c r="E70" s="53"/>
      <c r="F70" s="47"/>
      <c r="G70" s="47"/>
      <c r="H70" s="47"/>
      <c r="I70" s="47"/>
      <c r="J70" s="47"/>
      <c r="K70" s="47"/>
      <c r="L70" s="47"/>
      <c r="M70" s="47"/>
      <c r="N70" s="91"/>
      <c r="O70" s="47"/>
      <c r="P70" s="47"/>
      <c r="Q70" s="47"/>
      <c r="R70" s="47"/>
      <c r="S70" s="47"/>
      <c r="T70" s="47"/>
      <c r="U70" s="47"/>
      <c r="V70" s="47"/>
      <c r="W70" s="47"/>
    </row>
    <row r="71" spans="1:23" x14ac:dyDescent="0.3">
      <c r="A71" s="47"/>
      <c r="B71" s="109"/>
      <c r="C71" s="47"/>
      <c r="E71" s="53"/>
      <c r="F71" s="47"/>
      <c r="G71" s="47"/>
      <c r="H71" s="47"/>
      <c r="I71" s="47"/>
      <c r="J71" s="47"/>
      <c r="K71" s="47"/>
      <c r="L71" s="47"/>
      <c r="M71" s="47"/>
      <c r="N71" s="91"/>
      <c r="O71" s="47"/>
      <c r="P71" s="47"/>
      <c r="Q71" s="47"/>
      <c r="R71" s="47"/>
      <c r="S71" s="47"/>
      <c r="T71" s="47"/>
      <c r="U71" s="47"/>
      <c r="V71" s="47"/>
      <c r="W71" s="47"/>
    </row>
    <row r="72" spans="1:23" x14ac:dyDescent="0.3">
      <c r="A72" s="47"/>
      <c r="B72" s="109"/>
      <c r="C72" s="47"/>
      <c r="E72" s="53"/>
      <c r="F72" s="47"/>
      <c r="G72" s="47"/>
      <c r="H72" s="47"/>
      <c r="I72" s="47"/>
      <c r="J72" s="47"/>
      <c r="K72" s="47"/>
      <c r="L72" s="47"/>
      <c r="M72" s="47"/>
      <c r="N72" s="91"/>
      <c r="O72" s="47"/>
      <c r="P72" s="47"/>
      <c r="Q72" s="47"/>
      <c r="R72" s="47"/>
      <c r="S72" s="47"/>
      <c r="T72" s="47"/>
      <c r="U72" s="47"/>
      <c r="V72" s="47"/>
      <c r="W72" s="47"/>
    </row>
    <row r="73" spans="1:23" x14ac:dyDescent="0.3">
      <c r="A73" s="47"/>
      <c r="B73" s="109"/>
      <c r="C73" s="47"/>
      <c r="E73" s="53"/>
      <c r="F73" s="47"/>
      <c r="G73" s="47"/>
      <c r="H73" s="47"/>
      <c r="I73" s="47"/>
      <c r="J73" s="47"/>
      <c r="K73" s="47"/>
      <c r="L73" s="47"/>
      <c r="M73" s="47"/>
      <c r="N73" s="91"/>
      <c r="O73" s="47"/>
      <c r="P73" s="47"/>
      <c r="Q73" s="47"/>
      <c r="R73" s="47"/>
      <c r="S73" s="47"/>
      <c r="T73" s="47"/>
      <c r="U73" s="47"/>
      <c r="V73" s="47"/>
      <c r="W73" s="47"/>
    </row>
    <row r="74" spans="1:23" x14ac:dyDescent="0.3">
      <c r="A74" s="47"/>
      <c r="B74" s="109"/>
      <c r="C74" s="47"/>
      <c r="E74" s="53"/>
      <c r="F74" s="47"/>
      <c r="G74" s="47"/>
      <c r="H74" s="47"/>
      <c r="I74" s="47"/>
      <c r="J74" s="47"/>
      <c r="K74" s="47"/>
      <c r="L74" s="47"/>
      <c r="M74" s="47"/>
      <c r="N74" s="91"/>
      <c r="O74" s="47"/>
      <c r="P74" s="47"/>
      <c r="Q74" s="47"/>
      <c r="R74" s="47"/>
      <c r="S74" s="47"/>
      <c r="T74" s="47"/>
      <c r="U74" s="47"/>
      <c r="V74" s="47"/>
      <c r="W74" s="47"/>
    </row>
    <row r="75" spans="1:23" x14ac:dyDescent="0.3">
      <c r="A75" s="47"/>
      <c r="B75" s="109"/>
      <c r="C75" s="47"/>
      <c r="E75" s="53"/>
      <c r="F75" s="47"/>
      <c r="G75" s="47"/>
      <c r="H75" s="47"/>
      <c r="I75" s="47"/>
      <c r="J75" s="47"/>
      <c r="K75" s="47"/>
      <c r="L75" s="47"/>
      <c r="M75" s="47"/>
      <c r="N75" s="91"/>
      <c r="O75" s="47"/>
      <c r="P75" s="47"/>
      <c r="Q75" s="47"/>
      <c r="R75" s="47"/>
      <c r="S75" s="47"/>
      <c r="T75" s="47"/>
      <c r="U75" s="47"/>
      <c r="V75" s="47"/>
      <c r="W75" s="47"/>
    </row>
    <row r="76" spans="1:23" x14ac:dyDescent="0.3">
      <c r="A76" s="47"/>
      <c r="B76" s="109"/>
      <c r="C76" s="47"/>
      <c r="E76" s="53"/>
      <c r="F76" s="47"/>
      <c r="G76" s="47"/>
      <c r="H76" s="47"/>
      <c r="I76" s="47"/>
      <c r="J76" s="47"/>
      <c r="K76" s="47"/>
      <c r="L76" s="47"/>
      <c r="M76" s="47"/>
      <c r="N76" s="91"/>
      <c r="O76" s="47"/>
      <c r="P76" s="47"/>
      <c r="Q76" s="47"/>
      <c r="R76" s="47"/>
      <c r="S76" s="47"/>
      <c r="T76" s="47"/>
      <c r="U76" s="47"/>
      <c r="V76" s="47"/>
      <c r="W76" s="47"/>
    </row>
    <row r="77" spans="1:23" x14ac:dyDescent="0.3">
      <c r="A77" s="47"/>
      <c r="B77" s="109"/>
      <c r="C77" s="47"/>
      <c r="E77" s="53"/>
      <c r="F77" s="47"/>
      <c r="G77" s="47"/>
      <c r="H77" s="47"/>
      <c r="I77" s="47"/>
      <c r="J77" s="47"/>
      <c r="K77" s="47"/>
      <c r="L77" s="47"/>
      <c r="M77" s="47"/>
      <c r="N77" s="91"/>
      <c r="O77" s="47"/>
      <c r="P77" s="47"/>
      <c r="Q77" s="47"/>
      <c r="R77" s="47"/>
      <c r="S77" s="47"/>
      <c r="T77" s="47"/>
      <c r="U77" s="47"/>
      <c r="V77" s="47"/>
      <c r="W77" s="47"/>
    </row>
    <row r="78" spans="1:23" x14ac:dyDescent="0.3">
      <c r="A78" s="47"/>
      <c r="B78" s="109"/>
      <c r="C78" s="47"/>
      <c r="E78" s="53"/>
      <c r="F78" s="47"/>
      <c r="G78" s="47"/>
      <c r="H78" s="47"/>
      <c r="I78" s="47"/>
      <c r="J78" s="47"/>
      <c r="K78" s="47"/>
      <c r="L78" s="47"/>
      <c r="M78" s="47"/>
      <c r="N78" s="91"/>
      <c r="O78" s="47"/>
      <c r="P78" s="47"/>
      <c r="Q78" s="47"/>
      <c r="R78" s="47"/>
      <c r="S78" s="47"/>
      <c r="T78" s="47"/>
      <c r="U78" s="47"/>
      <c r="V78" s="47"/>
      <c r="W78" s="47"/>
    </row>
    <row r="79" spans="1:23" x14ac:dyDescent="0.3">
      <c r="A79" s="47"/>
      <c r="B79" s="109"/>
      <c r="C79" s="47"/>
      <c r="E79" s="53"/>
      <c r="F79" s="47"/>
      <c r="G79" s="47"/>
      <c r="H79" s="47"/>
      <c r="I79" s="47"/>
      <c r="J79" s="47"/>
      <c r="K79" s="47"/>
      <c r="L79" s="47"/>
      <c r="M79" s="47"/>
      <c r="N79" s="91"/>
      <c r="O79" s="47"/>
      <c r="P79" s="47"/>
      <c r="Q79" s="47"/>
      <c r="R79" s="47"/>
      <c r="S79" s="47"/>
      <c r="T79" s="47"/>
      <c r="U79" s="47"/>
      <c r="V79" s="47"/>
      <c r="W79" s="47"/>
    </row>
    <row r="80" spans="1:23" x14ac:dyDescent="0.3">
      <c r="A80" s="47"/>
      <c r="B80" s="109"/>
      <c r="C80" s="47"/>
      <c r="E80" s="53"/>
      <c r="F80" s="47"/>
      <c r="G80" s="47"/>
      <c r="H80" s="47"/>
      <c r="I80" s="47"/>
      <c r="J80" s="47"/>
      <c r="K80" s="47"/>
      <c r="L80" s="47"/>
      <c r="M80" s="47"/>
      <c r="N80" s="91"/>
      <c r="O80" s="47"/>
      <c r="P80" s="47"/>
      <c r="Q80" s="47"/>
      <c r="R80" s="47"/>
      <c r="S80" s="47"/>
      <c r="T80" s="47"/>
      <c r="U80" s="47"/>
      <c r="V80" s="47"/>
      <c r="W80" s="47"/>
    </row>
    <row r="81" spans="1:23" x14ac:dyDescent="0.3">
      <c r="A81" s="47"/>
      <c r="B81" s="109"/>
      <c r="C81" s="47"/>
      <c r="E81" s="53"/>
      <c r="F81" s="47"/>
      <c r="G81" s="47"/>
      <c r="H81" s="47"/>
      <c r="I81" s="47"/>
      <c r="J81" s="47"/>
      <c r="K81" s="47"/>
      <c r="L81" s="47"/>
      <c r="M81" s="47"/>
      <c r="N81" s="91"/>
      <c r="O81" s="47"/>
      <c r="P81" s="47"/>
      <c r="Q81" s="47"/>
      <c r="R81" s="47"/>
      <c r="S81" s="47"/>
      <c r="T81" s="47"/>
      <c r="U81" s="47"/>
      <c r="V81" s="47"/>
      <c r="W81" s="47"/>
    </row>
    <row r="82" spans="1:23" x14ac:dyDescent="0.3">
      <c r="A82" s="47"/>
      <c r="B82" s="109"/>
      <c r="C82" s="47"/>
      <c r="E82" s="53"/>
      <c r="F82" s="47"/>
      <c r="G82" s="47"/>
      <c r="H82" s="47"/>
      <c r="I82" s="47"/>
      <c r="J82" s="47"/>
      <c r="K82" s="47"/>
      <c r="L82" s="47"/>
      <c r="M82" s="47"/>
      <c r="N82" s="91"/>
      <c r="O82" s="47"/>
      <c r="P82" s="47"/>
      <c r="Q82" s="47"/>
      <c r="R82" s="47"/>
      <c r="S82" s="47"/>
      <c r="T82" s="47"/>
      <c r="U82" s="47"/>
      <c r="V82" s="47"/>
      <c r="W82" s="47"/>
    </row>
    <row r="83" spans="1:23" x14ac:dyDescent="0.3">
      <c r="A83" s="47"/>
      <c r="B83" s="109"/>
      <c r="C83" s="47"/>
      <c r="E83" s="53"/>
      <c r="F83" s="47"/>
      <c r="G83" s="47"/>
      <c r="H83" s="47"/>
      <c r="I83" s="47"/>
      <c r="J83" s="47"/>
      <c r="K83" s="47"/>
      <c r="L83" s="47"/>
      <c r="M83" s="47"/>
      <c r="N83" s="91"/>
      <c r="O83" s="47"/>
      <c r="P83" s="47"/>
      <c r="Q83" s="47"/>
      <c r="R83" s="47"/>
      <c r="S83" s="47"/>
      <c r="T83" s="47"/>
      <c r="U83" s="47"/>
      <c r="V83" s="47"/>
      <c r="W83" s="47"/>
    </row>
    <row r="84" spans="1:23" x14ac:dyDescent="0.3">
      <c r="A84" s="47"/>
      <c r="B84" s="109"/>
      <c r="C84" s="47"/>
      <c r="E84" s="53"/>
      <c r="F84" s="47"/>
      <c r="G84" s="47"/>
      <c r="H84" s="47"/>
      <c r="I84" s="47"/>
      <c r="J84" s="47"/>
      <c r="K84" s="47"/>
      <c r="L84" s="47"/>
      <c r="M84" s="47"/>
      <c r="N84" s="91"/>
      <c r="O84" s="47"/>
      <c r="P84" s="47"/>
      <c r="Q84" s="47"/>
      <c r="R84" s="47"/>
      <c r="S84" s="47"/>
      <c r="T84" s="47"/>
      <c r="U84" s="47"/>
      <c r="V84" s="47"/>
      <c r="W84" s="47"/>
    </row>
    <row r="85" spans="1:23" x14ac:dyDescent="0.3">
      <c r="A85" s="47"/>
      <c r="B85" s="109"/>
      <c r="C85" s="47"/>
      <c r="E85" s="53"/>
      <c r="F85" s="47"/>
      <c r="G85" s="47"/>
      <c r="H85" s="47"/>
      <c r="I85" s="47"/>
      <c r="J85" s="47"/>
      <c r="K85" s="47"/>
      <c r="L85" s="47"/>
      <c r="M85" s="47"/>
      <c r="N85" s="91"/>
      <c r="O85" s="47"/>
      <c r="P85" s="47"/>
      <c r="Q85" s="47"/>
      <c r="R85" s="47"/>
      <c r="S85" s="47"/>
      <c r="T85" s="47"/>
      <c r="U85" s="47"/>
      <c r="V85" s="47"/>
      <c r="W85" s="47"/>
    </row>
    <row r="86" spans="1:23" x14ac:dyDescent="0.3">
      <c r="A86" s="47"/>
      <c r="B86" s="109"/>
      <c r="C86" s="47"/>
      <c r="E86" s="53"/>
      <c r="F86" s="47"/>
      <c r="G86" s="47"/>
      <c r="H86" s="47"/>
      <c r="I86" s="47"/>
      <c r="J86" s="47"/>
      <c r="K86" s="47"/>
      <c r="L86" s="47"/>
      <c r="M86" s="47"/>
      <c r="N86" s="91"/>
      <c r="O86" s="47"/>
      <c r="P86" s="47"/>
      <c r="Q86" s="47"/>
      <c r="R86" s="47"/>
      <c r="S86" s="47"/>
      <c r="T86" s="47"/>
      <c r="U86" s="47"/>
      <c r="V86" s="47"/>
      <c r="W86" s="47"/>
    </row>
    <row r="87" spans="1:23" x14ac:dyDescent="0.3">
      <c r="A87" s="47"/>
      <c r="B87" s="109"/>
      <c r="C87" s="47"/>
      <c r="E87" s="53"/>
      <c r="F87" s="47"/>
      <c r="G87" s="47"/>
      <c r="H87" s="47"/>
      <c r="I87" s="47"/>
      <c r="J87" s="47"/>
      <c r="K87" s="47"/>
      <c r="L87" s="47"/>
      <c r="M87" s="47"/>
      <c r="N87" s="91"/>
      <c r="O87" s="47"/>
      <c r="P87" s="47"/>
      <c r="Q87" s="47"/>
      <c r="R87" s="47"/>
      <c r="S87" s="47"/>
      <c r="T87" s="47"/>
      <c r="U87" s="47"/>
      <c r="V87" s="47"/>
      <c r="W87" s="47"/>
    </row>
    <row r="88" spans="1:23" x14ac:dyDescent="0.3">
      <c r="A88" s="47"/>
      <c r="B88" s="109"/>
      <c r="C88" s="47"/>
      <c r="E88" s="53"/>
      <c r="F88" s="47"/>
      <c r="G88" s="47"/>
      <c r="H88" s="47"/>
      <c r="I88" s="47"/>
      <c r="J88" s="47"/>
      <c r="K88" s="47"/>
      <c r="L88" s="47"/>
      <c r="M88" s="47"/>
      <c r="N88" s="91"/>
      <c r="O88" s="47"/>
      <c r="P88" s="47"/>
      <c r="Q88" s="47"/>
      <c r="R88" s="47"/>
      <c r="S88" s="47"/>
      <c r="T88" s="47"/>
      <c r="U88" s="47"/>
      <c r="V88" s="47"/>
      <c r="W88" s="47"/>
    </row>
    <row r="89" spans="1:23" x14ac:dyDescent="0.3">
      <c r="A89" s="47"/>
      <c r="B89" s="109"/>
      <c r="C89" s="47"/>
      <c r="E89" s="53"/>
      <c r="F89" s="47"/>
      <c r="G89" s="47"/>
      <c r="H89" s="47"/>
      <c r="I89" s="47"/>
      <c r="J89" s="47"/>
      <c r="K89" s="47"/>
      <c r="L89" s="47"/>
      <c r="M89" s="47"/>
      <c r="N89" s="91"/>
      <c r="O89" s="47"/>
      <c r="P89" s="47"/>
      <c r="Q89" s="47"/>
      <c r="R89" s="47"/>
      <c r="S89" s="47"/>
      <c r="T89" s="47"/>
      <c r="U89" s="47"/>
      <c r="V89" s="47"/>
      <c r="W89" s="47"/>
    </row>
    <row r="90" spans="1:23" x14ac:dyDescent="0.3">
      <c r="A90" s="47"/>
      <c r="B90" s="109"/>
      <c r="C90" s="47"/>
      <c r="E90" s="53"/>
      <c r="F90" s="47"/>
      <c r="G90" s="47"/>
      <c r="H90" s="47"/>
      <c r="I90" s="47"/>
      <c r="J90" s="47"/>
      <c r="K90" s="47"/>
      <c r="L90" s="47"/>
      <c r="M90" s="47"/>
      <c r="N90" s="91"/>
      <c r="O90" s="47"/>
      <c r="P90" s="47"/>
      <c r="Q90" s="47"/>
      <c r="R90" s="47"/>
      <c r="S90" s="47"/>
      <c r="T90" s="47"/>
      <c r="U90" s="47"/>
      <c r="V90" s="47"/>
      <c r="W90" s="47"/>
    </row>
    <row r="91" spans="1:23" x14ac:dyDescent="0.3">
      <c r="A91" s="47"/>
      <c r="B91" s="109"/>
      <c r="C91" s="47"/>
      <c r="E91" s="53"/>
      <c r="F91" s="47"/>
      <c r="G91" s="47"/>
      <c r="H91" s="47"/>
      <c r="I91" s="47"/>
      <c r="J91" s="47"/>
      <c r="K91" s="47"/>
      <c r="L91" s="47"/>
      <c r="M91" s="47"/>
      <c r="N91" s="91"/>
      <c r="O91" s="47"/>
      <c r="P91" s="47"/>
      <c r="Q91" s="47"/>
      <c r="R91" s="47"/>
      <c r="S91" s="47"/>
      <c r="T91" s="47"/>
      <c r="U91" s="47"/>
      <c r="V91" s="47"/>
      <c r="W91" s="47"/>
    </row>
    <row r="92" spans="1:23" x14ac:dyDescent="0.3">
      <c r="A92" s="47"/>
      <c r="B92" s="109"/>
      <c r="C92" s="47"/>
      <c r="E92" s="53"/>
      <c r="F92" s="47"/>
      <c r="G92" s="47"/>
      <c r="H92" s="47"/>
      <c r="I92" s="47"/>
      <c r="J92" s="47"/>
      <c r="K92" s="47"/>
      <c r="L92" s="47"/>
      <c r="M92" s="47"/>
      <c r="N92" s="91"/>
      <c r="O92" s="47"/>
      <c r="P92" s="47"/>
      <c r="Q92" s="47"/>
      <c r="R92" s="47"/>
      <c r="S92" s="47"/>
      <c r="T92" s="47"/>
      <c r="U92" s="47"/>
      <c r="V92" s="47"/>
      <c r="W92" s="47"/>
    </row>
    <row r="93" spans="1:23" x14ac:dyDescent="0.3">
      <c r="A93" s="47"/>
      <c r="B93" s="109"/>
      <c r="C93" s="47"/>
      <c r="E93" s="53"/>
      <c r="F93" s="47"/>
      <c r="G93" s="47"/>
      <c r="H93" s="47"/>
      <c r="I93" s="47"/>
      <c r="J93" s="47"/>
      <c r="K93" s="47"/>
      <c r="L93" s="47"/>
      <c r="M93" s="47"/>
      <c r="N93" s="91"/>
      <c r="O93" s="47"/>
      <c r="P93" s="47"/>
      <c r="Q93" s="47"/>
      <c r="R93" s="47"/>
      <c r="S93" s="47"/>
      <c r="T93" s="47"/>
      <c r="U93" s="47"/>
      <c r="V93" s="47"/>
      <c r="W93" s="47"/>
    </row>
    <row r="94" spans="1:23" x14ac:dyDescent="0.3">
      <c r="A94" s="47"/>
      <c r="B94" s="109"/>
      <c r="C94" s="47"/>
      <c r="E94" s="53"/>
      <c r="F94" s="47"/>
      <c r="G94" s="47"/>
      <c r="H94" s="47"/>
      <c r="I94" s="47"/>
      <c r="J94" s="47"/>
      <c r="K94" s="47"/>
      <c r="L94" s="47"/>
      <c r="M94" s="47"/>
      <c r="N94" s="91"/>
      <c r="O94" s="47"/>
      <c r="P94" s="47"/>
      <c r="Q94" s="47"/>
      <c r="R94" s="47"/>
      <c r="S94" s="47"/>
      <c r="T94" s="47"/>
      <c r="U94" s="47"/>
      <c r="V94" s="47"/>
      <c r="W94" s="47"/>
    </row>
    <row r="95" spans="1:23" x14ac:dyDescent="0.3">
      <c r="A95" s="47"/>
      <c r="B95" s="109"/>
      <c r="C95" s="47"/>
      <c r="E95" s="53"/>
      <c r="F95" s="47"/>
      <c r="G95" s="47"/>
      <c r="H95" s="47"/>
      <c r="I95" s="47"/>
      <c r="J95" s="47"/>
      <c r="K95" s="47"/>
      <c r="L95" s="47"/>
      <c r="M95" s="47"/>
      <c r="N95" s="91"/>
      <c r="O95" s="47"/>
      <c r="P95" s="47"/>
      <c r="Q95" s="47"/>
      <c r="R95" s="47"/>
      <c r="S95" s="47"/>
      <c r="T95" s="47"/>
      <c r="U95" s="47"/>
      <c r="V95" s="47"/>
      <c r="W95" s="47"/>
    </row>
    <row r="96" spans="1:23" x14ac:dyDescent="0.3">
      <c r="A96" s="47"/>
      <c r="B96" s="109"/>
      <c r="C96" s="47"/>
      <c r="E96" s="53"/>
      <c r="F96" s="47"/>
      <c r="G96" s="47"/>
      <c r="H96" s="47"/>
      <c r="I96" s="47"/>
      <c r="J96" s="47"/>
      <c r="K96" s="47"/>
      <c r="L96" s="47"/>
      <c r="M96" s="47"/>
      <c r="N96" s="91"/>
      <c r="O96" s="47"/>
      <c r="P96" s="47"/>
      <c r="Q96" s="47"/>
      <c r="R96" s="47"/>
      <c r="S96" s="47"/>
      <c r="T96" s="47"/>
      <c r="U96" s="47"/>
      <c r="V96" s="47"/>
      <c r="W96" s="47"/>
    </row>
    <row r="97" spans="1:23" x14ac:dyDescent="0.3">
      <c r="A97" s="47"/>
      <c r="B97" s="109"/>
      <c r="C97" s="47"/>
      <c r="E97" s="53"/>
      <c r="F97" s="47"/>
      <c r="G97" s="47"/>
      <c r="H97" s="47"/>
      <c r="I97" s="47"/>
      <c r="J97" s="47"/>
      <c r="K97" s="47"/>
      <c r="L97" s="47"/>
      <c r="M97" s="47"/>
      <c r="N97" s="91"/>
      <c r="O97" s="47"/>
      <c r="P97" s="47"/>
      <c r="Q97" s="47"/>
      <c r="R97" s="47"/>
      <c r="S97" s="47"/>
      <c r="T97" s="47"/>
      <c r="U97" s="47"/>
      <c r="V97" s="47"/>
      <c r="W97" s="47"/>
    </row>
    <row r="98" spans="1:23" x14ac:dyDescent="0.3">
      <c r="A98" s="47"/>
      <c r="B98" s="109"/>
      <c r="C98" s="47"/>
      <c r="E98" s="53"/>
      <c r="F98" s="47"/>
      <c r="G98" s="47"/>
      <c r="H98" s="47"/>
      <c r="I98" s="47"/>
      <c r="J98" s="47"/>
      <c r="K98" s="47"/>
      <c r="L98" s="47"/>
      <c r="M98" s="47"/>
      <c r="N98" s="91"/>
      <c r="O98" s="47"/>
      <c r="P98" s="47"/>
      <c r="Q98" s="47"/>
      <c r="R98" s="47"/>
      <c r="S98" s="47"/>
      <c r="T98" s="47"/>
      <c r="U98" s="47"/>
      <c r="V98" s="47"/>
      <c r="W98" s="47"/>
    </row>
    <row r="99" spans="1:23" x14ac:dyDescent="0.3">
      <c r="A99" s="47"/>
      <c r="B99" s="109"/>
      <c r="C99" s="47"/>
      <c r="E99" s="53"/>
      <c r="F99" s="47"/>
      <c r="G99" s="47"/>
      <c r="H99" s="47"/>
      <c r="I99" s="47"/>
      <c r="J99" s="47"/>
      <c r="K99" s="47"/>
      <c r="L99" s="47"/>
      <c r="M99" s="47"/>
      <c r="N99" s="91"/>
      <c r="O99" s="47"/>
      <c r="P99" s="47"/>
      <c r="Q99" s="47"/>
      <c r="R99" s="47"/>
      <c r="S99" s="47"/>
      <c r="T99" s="47"/>
      <c r="U99" s="47"/>
      <c r="V99" s="47"/>
      <c r="W99" s="47"/>
    </row>
    <row r="100" spans="1:23" x14ac:dyDescent="0.3">
      <c r="A100" s="47"/>
      <c r="B100" s="109"/>
      <c r="C100" s="47"/>
      <c r="E100" s="53"/>
      <c r="F100" s="47"/>
      <c r="G100" s="47"/>
      <c r="H100" s="47"/>
      <c r="I100" s="47"/>
      <c r="J100" s="47"/>
      <c r="K100" s="47"/>
      <c r="L100" s="47"/>
      <c r="M100" s="47"/>
      <c r="N100" s="91"/>
      <c r="O100" s="47"/>
      <c r="P100" s="47"/>
      <c r="Q100" s="47"/>
      <c r="R100" s="47"/>
      <c r="S100" s="47"/>
      <c r="T100" s="47"/>
      <c r="U100" s="47"/>
      <c r="V100" s="47"/>
      <c r="W100" s="47"/>
    </row>
    <row r="101" spans="1:23" x14ac:dyDescent="0.3">
      <c r="A101" s="47"/>
      <c r="B101" s="109"/>
      <c r="C101" s="47"/>
      <c r="E101" s="53"/>
      <c r="F101" s="47"/>
      <c r="G101" s="47"/>
      <c r="H101" s="47"/>
      <c r="I101" s="47"/>
      <c r="J101" s="47"/>
      <c r="K101" s="47"/>
      <c r="L101" s="47"/>
      <c r="M101" s="47"/>
      <c r="N101" s="91"/>
      <c r="O101" s="47"/>
      <c r="P101" s="47"/>
      <c r="Q101" s="47"/>
      <c r="R101" s="47"/>
      <c r="S101" s="47"/>
      <c r="T101" s="47"/>
      <c r="U101" s="47"/>
      <c r="V101" s="47"/>
      <c r="W101" s="47"/>
    </row>
    <row r="102" spans="1:23" x14ac:dyDescent="0.3">
      <c r="A102" s="47"/>
      <c r="B102" s="109"/>
      <c r="C102" s="47"/>
      <c r="E102" s="53"/>
      <c r="F102" s="47"/>
      <c r="G102" s="47"/>
      <c r="H102" s="47"/>
      <c r="I102" s="47"/>
      <c r="J102" s="47"/>
      <c r="K102" s="47"/>
      <c r="L102" s="47"/>
      <c r="M102" s="47"/>
      <c r="N102" s="91"/>
      <c r="O102" s="47"/>
      <c r="P102" s="47"/>
      <c r="Q102" s="47"/>
      <c r="R102" s="47"/>
      <c r="S102" s="47"/>
      <c r="T102" s="47"/>
      <c r="U102" s="47"/>
      <c r="V102" s="47"/>
      <c r="W102" s="47"/>
    </row>
    <row r="103" spans="1:23" x14ac:dyDescent="0.3">
      <c r="A103" s="47"/>
      <c r="B103" s="109"/>
      <c r="C103" s="47"/>
      <c r="E103" s="53"/>
      <c r="F103" s="47"/>
      <c r="G103" s="47"/>
      <c r="H103" s="47"/>
      <c r="I103" s="47"/>
      <c r="J103" s="47"/>
      <c r="K103" s="47"/>
      <c r="L103" s="47"/>
      <c r="M103" s="47"/>
      <c r="N103" s="91"/>
      <c r="O103" s="47"/>
      <c r="P103" s="47"/>
      <c r="Q103" s="47"/>
      <c r="R103" s="47"/>
      <c r="S103" s="47"/>
      <c r="T103" s="47"/>
      <c r="U103" s="47"/>
      <c r="V103" s="47"/>
      <c r="W103" s="47"/>
    </row>
    <row r="104" spans="1:23" x14ac:dyDescent="0.3">
      <c r="A104" s="47"/>
      <c r="B104" s="109"/>
      <c r="C104" s="47"/>
      <c r="E104" s="53"/>
      <c r="F104" s="47"/>
      <c r="G104" s="47"/>
      <c r="H104" s="47"/>
      <c r="I104" s="47"/>
      <c r="J104" s="47"/>
      <c r="K104" s="47"/>
      <c r="L104" s="47"/>
      <c r="M104" s="47"/>
      <c r="N104" s="91"/>
      <c r="O104" s="47"/>
      <c r="P104" s="47"/>
      <c r="Q104" s="47"/>
      <c r="R104" s="47"/>
      <c r="S104" s="47"/>
      <c r="T104" s="47"/>
      <c r="U104" s="47"/>
      <c r="V104" s="47"/>
      <c r="W104" s="47"/>
    </row>
    <row r="105" spans="1:23" x14ac:dyDescent="0.3">
      <c r="A105" s="47"/>
      <c r="B105" s="109"/>
      <c r="C105" s="47"/>
      <c r="E105" s="53"/>
      <c r="F105" s="47"/>
      <c r="G105" s="47"/>
      <c r="H105" s="47"/>
      <c r="I105" s="47"/>
      <c r="J105" s="47"/>
      <c r="K105" s="47"/>
      <c r="L105" s="47"/>
      <c r="M105" s="47"/>
      <c r="N105" s="91"/>
      <c r="O105" s="47"/>
      <c r="P105" s="47"/>
      <c r="Q105" s="47"/>
      <c r="R105" s="47"/>
      <c r="S105" s="47"/>
      <c r="T105" s="47"/>
      <c r="U105" s="47"/>
      <c r="V105" s="47"/>
      <c r="W105" s="47"/>
    </row>
    <row r="106" spans="1:23" x14ac:dyDescent="0.3">
      <c r="A106" s="47"/>
      <c r="B106" s="109"/>
      <c r="C106" s="47"/>
      <c r="E106" s="53"/>
      <c r="F106" s="47"/>
      <c r="G106" s="47"/>
      <c r="H106" s="47"/>
      <c r="I106" s="47"/>
      <c r="J106" s="47"/>
      <c r="K106" s="47"/>
      <c r="L106" s="47"/>
      <c r="M106" s="47"/>
      <c r="N106" s="91"/>
      <c r="O106" s="47"/>
      <c r="P106" s="47"/>
      <c r="Q106" s="47"/>
      <c r="R106" s="47"/>
      <c r="S106" s="47"/>
      <c r="T106" s="47"/>
      <c r="U106" s="47"/>
      <c r="V106" s="47"/>
      <c r="W106" s="47"/>
    </row>
    <row r="107" spans="1:23" x14ac:dyDescent="0.3">
      <c r="A107" s="47"/>
      <c r="B107" s="109"/>
      <c r="C107" s="47"/>
      <c r="E107" s="53"/>
      <c r="F107" s="47"/>
      <c r="G107" s="47"/>
      <c r="H107" s="47"/>
      <c r="I107" s="47"/>
      <c r="J107" s="47"/>
      <c r="K107" s="47"/>
      <c r="L107" s="47"/>
      <c r="M107" s="47"/>
      <c r="N107" s="91"/>
      <c r="O107" s="47"/>
      <c r="P107" s="47"/>
      <c r="Q107" s="47"/>
      <c r="R107" s="47"/>
      <c r="S107" s="47"/>
      <c r="T107" s="47"/>
      <c r="U107" s="47"/>
      <c r="V107" s="47"/>
      <c r="W107" s="47"/>
    </row>
    <row r="108" spans="1:23" x14ac:dyDescent="0.3">
      <c r="A108" s="47"/>
      <c r="B108" s="109"/>
      <c r="C108" s="47"/>
      <c r="E108" s="53"/>
      <c r="F108" s="47"/>
      <c r="G108" s="47"/>
      <c r="H108" s="47"/>
      <c r="I108" s="47"/>
      <c r="J108" s="47"/>
      <c r="K108" s="47"/>
      <c r="L108" s="47"/>
      <c r="M108" s="47"/>
      <c r="N108" s="91"/>
      <c r="O108" s="47"/>
      <c r="P108" s="47"/>
      <c r="Q108" s="47"/>
      <c r="R108" s="47"/>
      <c r="S108" s="47"/>
      <c r="T108" s="47"/>
      <c r="U108" s="47"/>
      <c r="V108" s="47"/>
      <c r="W108" s="47"/>
    </row>
    <row r="109" spans="1:23" x14ac:dyDescent="0.3">
      <c r="A109" s="47"/>
      <c r="B109" s="109"/>
      <c r="C109" s="47"/>
      <c r="E109" s="53"/>
      <c r="F109" s="47"/>
      <c r="G109" s="47"/>
      <c r="H109" s="47"/>
      <c r="I109" s="47"/>
      <c r="J109" s="47"/>
      <c r="K109" s="47"/>
      <c r="L109" s="47"/>
      <c r="M109" s="47"/>
      <c r="N109" s="91"/>
      <c r="O109" s="47"/>
      <c r="P109" s="47"/>
      <c r="Q109" s="47"/>
      <c r="R109" s="47"/>
      <c r="S109" s="47"/>
      <c r="T109" s="47"/>
      <c r="U109" s="47"/>
      <c r="V109" s="47"/>
      <c r="W109" s="47"/>
    </row>
    <row r="110" spans="1:23" x14ac:dyDescent="0.3">
      <c r="A110" s="47"/>
      <c r="B110" s="109"/>
      <c r="C110" s="47"/>
      <c r="E110" s="53"/>
      <c r="F110" s="47"/>
      <c r="G110" s="47"/>
      <c r="H110" s="47"/>
      <c r="I110" s="47"/>
      <c r="J110" s="47"/>
      <c r="K110" s="47"/>
      <c r="L110" s="47"/>
      <c r="M110" s="47"/>
      <c r="N110" s="91"/>
      <c r="O110" s="47"/>
      <c r="P110" s="47"/>
      <c r="Q110" s="47"/>
      <c r="R110" s="47"/>
      <c r="S110" s="47"/>
      <c r="T110" s="47"/>
      <c r="U110" s="47"/>
      <c r="V110" s="47"/>
      <c r="W110" s="47"/>
    </row>
    <row r="111" spans="1:23" x14ac:dyDescent="0.3">
      <c r="A111" s="47"/>
      <c r="B111" s="109"/>
      <c r="C111" s="47"/>
      <c r="E111" s="53"/>
      <c r="F111" s="47"/>
      <c r="G111" s="47"/>
      <c r="H111" s="47"/>
      <c r="I111" s="47"/>
      <c r="J111" s="47"/>
      <c r="K111" s="47"/>
      <c r="L111" s="47"/>
      <c r="M111" s="47"/>
      <c r="N111" s="91"/>
      <c r="O111" s="47"/>
      <c r="P111" s="47"/>
      <c r="Q111" s="47"/>
      <c r="R111" s="47"/>
      <c r="S111" s="47"/>
      <c r="T111" s="47"/>
      <c r="U111" s="47"/>
      <c r="V111" s="47"/>
      <c r="W111" s="47"/>
    </row>
    <row r="112" spans="1:23" x14ac:dyDescent="0.3">
      <c r="A112" s="47"/>
      <c r="B112" s="109"/>
      <c r="C112" s="47"/>
      <c r="E112" s="53"/>
      <c r="F112" s="47"/>
      <c r="G112" s="47"/>
      <c r="H112" s="47"/>
      <c r="I112" s="47"/>
      <c r="J112" s="47"/>
      <c r="K112" s="47"/>
      <c r="L112" s="47"/>
      <c r="M112" s="47"/>
      <c r="N112" s="91"/>
      <c r="O112" s="47"/>
      <c r="P112" s="47"/>
      <c r="Q112" s="47"/>
      <c r="R112" s="47"/>
      <c r="S112" s="47"/>
      <c r="T112" s="47"/>
      <c r="U112" s="47"/>
      <c r="V112" s="47"/>
      <c r="W112" s="47"/>
    </row>
    <row r="113" spans="1:23" x14ac:dyDescent="0.3">
      <c r="A113" s="47"/>
      <c r="B113" s="109"/>
      <c r="C113" s="47"/>
      <c r="E113" s="53"/>
      <c r="F113" s="47"/>
      <c r="G113" s="47"/>
      <c r="H113" s="47"/>
      <c r="I113" s="47"/>
      <c r="J113" s="47"/>
      <c r="K113" s="47"/>
      <c r="L113" s="47"/>
      <c r="M113" s="47"/>
      <c r="N113" s="91"/>
      <c r="O113" s="47"/>
      <c r="P113" s="47"/>
      <c r="Q113" s="47"/>
      <c r="R113" s="47"/>
      <c r="S113" s="47"/>
      <c r="T113" s="47"/>
      <c r="U113" s="47"/>
      <c r="V113" s="47"/>
      <c r="W113" s="47"/>
    </row>
    <row r="114" spans="1:23" x14ac:dyDescent="0.3">
      <c r="A114" s="47"/>
      <c r="B114" s="109"/>
      <c r="C114" s="47"/>
      <c r="E114" s="53"/>
      <c r="F114" s="47"/>
      <c r="G114" s="47"/>
      <c r="H114" s="47"/>
      <c r="I114" s="47"/>
      <c r="J114" s="47"/>
      <c r="K114" s="47"/>
      <c r="L114" s="47"/>
      <c r="M114" s="47"/>
      <c r="N114" s="91"/>
      <c r="O114" s="47"/>
      <c r="P114" s="47"/>
      <c r="Q114" s="47"/>
      <c r="R114" s="47"/>
      <c r="S114" s="47"/>
      <c r="T114" s="47"/>
      <c r="U114" s="47"/>
      <c r="V114" s="47"/>
      <c r="W114" s="47"/>
    </row>
    <row r="115" spans="1:23" x14ac:dyDescent="0.3">
      <c r="A115" s="47"/>
      <c r="B115" s="109"/>
      <c r="C115" s="47"/>
      <c r="E115" s="53"/>
      <c r="F115" s="47"/>
      <c r="G115" s="47"/>
      <c r="H115" s="47"/>
      <c r="I115" s="47"/>
      <c r="J115" s="47"/>
      <c r="K115" s="47"/>
      <c r="L115" s="47"/>
      <c r="M115" s="47"/>
      <c r="N115" s="91"/>
      <c r="O115" s="47"/>
      <c r="P115" s="47"/>
      <c r="Q115" s="47"/>
      <c r="R115" s="47"/>
      <c r="S115" s="47"/>
      <c r="T115" s="47"/>
      <c r="U115" s="47"/>
      <c r="V115" s="47"/>
      <c r="W115" s="47"/>
    </row>
    <row r="116" spans="1:23" x14ac:dyDescent="0.3">
      <c r="A116" s="47"/>
      <c r="B116" s="109"/>
      <c r="C116" s="47"/>
      <c r="E116" s="53"/>
      <c r="F116" s="47"/>
      <c r="G116" s="47"/>
      <c r="H116" s="47"/>
      <c r="I116" s="47"/>
      <c r="J116" s="47"/>
      <c r="K116" s="47"/>
      <c r="L116" s="47"/>
      <c r="M116" s="47"/>
      <c r="N116" s="91"/>
      <c r="O116" s="47"/>
      <c r="P116" s="47"/>
      <c r="Q116" s="47"/>
      <c r="R116" s="47"/>
      <c r="S116" s="47"/>
      <c r="T116" s="47"/>
      <c r="U116" s="47"/>
      <c r="V116" s="47"/>
      <c r="W116" s="47"/>
    </row>
    <row r="117" spans="1:23" x14ac:dyDescent="0.3">
      <c r="A117" s="47"/>
      <c r="B117" s="109"/>
      <c r="C117" s="47"/>
      <c r="E117" s="53"/>
      <c r="F117" s="47"/>
      <c r="G117" s="47"/>
      <c r="H117" s="47"/>
      <c r="I117" s="47"/>
      <c r="J117" s="47"/>
      <c r="K117" s="47"/>
      <c r="L117" s="47"/>
      <c r="M117" s="47"/>
      <c r="N117" s="91"/>
      <c r="O117" s="47"/>
      <c r="P117" s="47"/>
      <c r="Q117" s="47"/>
      <c r="R117" s="47"/>
      <c r="S117" s="47"/>
      <c r="T117" s="47"/>
      <c r="U117" s="47"/>
      <c r="V117" s="47"/>
      <c r="W117" s="47"/>
    </row>
    <row r="118" spans="1:23" x14ac:dyDescent="0.3">
      <c r="A118" s="47"/>
      <c r="B118" s="109"/>
      <c r="C118" s="47"/>
      <c r="E118" s="53"/>
      <c r="F118" s="47"/>
      <c r="G118" s="47"/>
      <c r="H118" s="47"/>
      <c r="I118" s="47"/>
      <c r="J118" s="47"/>
      <c r="K118" s="47"/>
      <c r="L118" s="47"/>
      <c r="M118" s="47"/>
      <c r="N118" s="91"/>
      <c r="O118" s="47"/>
      <c r="P118" s="47"/>
      <c r="Q118" s="47"/>
      <c r="R118" s="47"/>
      <c r="S118" s="47"/>
      <c r="T118" s="47"/>
      <c r="U118" s="47"/>
      <c r="V118" s="47"/>
      <c r="W118" s="47"/>
    </row>
    <row r="119" spans="1:23" x14ac:dyDescent="0.3">
      <c r="A119" s="47"/>
      <c r="B119" s="109"/>
      <c r="C119" s="47"/>
      <c r="E119" s="53"/>
      <c r="F119" s="47"/>
      <c r="G119" s="47"/>
      <c r="H119" s="47"/>
      <c r="I119" s="47"/>
      <c r="J119" s="47"/>
      <c r="K119" s="47"/>
      <c r="L119" s="47"/>
      <c r="M119" s="47"/>
      <c r="N119" s="91"/>
      <c r="O119" s="47"/>
      <c r="P119" s="47"/>
      <c r="Q119" s="47"/>
      <c r="R119" s="47"/>
      <c r="S119" s="47"/>
      <c r="T119" s="47"/>
      <c r="U119" s="47"/>
      <c r="V119" s="47"/>
      <c r="W119" s="47"/>
    </row>
    <row r="120" spans="1:23" x14ac:dyDescent="0.3">
      <c r="A120" s="47"/>
      <c r="B120" s="109"/>
      <c r="C120" s="47"/>
      <c r="E120" s="53"/>
      <c r="F120" s="47"/>
      <c r="G120" s="47"/>
      <c r="H120" s="47"/>
      <c r="I120" s="47"/>
      <c r="J120" s="47"/>
      <c r="K120" s="47"/>
      <c r="L120" s="47"/>
      <c r="M120" s="47"/>
      <c r="N120" s="91"/>
      <c r="O120" s="47"/>
      <c r="P120" s="47"/>
      <c r="Q120" s="47"/>
      <c r="R120" s="47"/>
      <c r="S120" s="47"/>
      <c r="T120" s="47"/>
      <c r="U120" s="47"/>
      <c r="V120" s="47"/>
      <c r="W120" s="47"/>
    </row>
    <row r="121" spans="1:23" x14ac:dyDescent="0.3">
      <c r="A121" s="47"/>
      <c r="B121" s="109"/>
      <c r="C121" s="47"/>
      <c r="E121" s="53"/>
      <c r="F121" s="47"/>
      <c r="G121" s="47"/>
      <c r="H121" s="47"/>
      <c r="I121" s="47"/>
      <c r="J121" s="47"/>
      <c r="K121" s="47"/>
      <c r="L121" s="47"/>
      <c r="M121" s="47"/>
      <c r="N121" s="91"/>
      <c r="O121" s="47"/>
      <c r="P121" s="47"/>
      <c r="Q121" s="47"/>
      <c r="R121" s="47"/>
      <c r="S121" s="47"/>
      <c r="T121" s="47"/>
      <c r="U121" s="47"/>
      <c r="V121" s="47"/>
      <c r="W121" s="47"/>
    </row>
    <row r="122" spans="1:23" x14ac:dyDescent="0.3">
      <c r="A122" s="47"/>
      <c r="B122" s="109"/>
      <c r="C122" s="47"/>
      <c r="E122" s="53"/>
      <c r="F122" s="47"/>
      <c r="G122" s="47"/>
      <c r="H122" s="47"/>
      <c r="I122" s="47"/>
      <c r="J122" s="47"/>
      <c r="K122" s="47"/>
      <c r="L122" s="47"/>
      <c r="M122" s="47"/>
      <c r="N122" s="91"/>
      <c r="O122" s="47"/>
      <c r="P122" s="47"/>
      <c r="Q122" s="47"/>
      <c r="R122" s="47"/>
      <c r="S122" s="47"/>
      <c r="T122" s="47"/>
      <c r="U122" s="47"/>
      <c r="V122" s="47"/>
      <c r="W122" s="47"/>
    </row>
    <row r="123" spans="1:23" x14ac:dyDescent="0.3">
      <c r="A123" s="47"/>
      <c r="B123" s="109"/>
      <c r="C123" s="47"/>
      <c r="E123" s="53"/>
      <c r="F123" s="47"/>
      <c r="G123" s="47"/>
      <c r="H123" s="47"/>
      <c r="I123" s="47"/>
      <c r="J123" s="47"/>
      <c r="K123" s="47"/>
      <c r="L123" s="47"/>
      <c r="M123" s="47"/>
      <c r="N123" s="91"/>
      <c r="O123" s="47"/>
      <c r="P123" s="47"/>
      <c r="Q123" s="47"/>
      <c r="R123" s="47"/>
      <c r="S123" s="47"/>
      <c r="T123" s="47"/>
      <c r="U123" s="47"/>
      <c r="V123" s="47"/>
      <c r="W123" s="47"/>
    </row>
    <row r="124" spans="1:23" x14ac:dyDescent="0.3">
      <c r="A124" s="47"/>
      <c r="B124" s="109"/>
      <c r="C124" s="47"/>
      <c r="E124" s="53"/>
      <c r="F124" s="47"/>
      <c r="G124" s="47"/>
      <c r="H124" s="47"/>
      <c r="I124" s="47"/>
      <c r="J124" s="47"/>
      <c r="K124" s="47"/>
      <c r="L124" s="47"/>
      <c r="M124" s="47"/>
      <c r="N124" s="91"/>
      <c r="O124" s="47"/>
      <c r="P124" s="47"/>
      <c r="Q124" s="47"/>
      <c r="R124" s="47"/>
      <c r="S124" s="47"/>
      <c r="T124" s="47"/>
      <c r="U124" s="47"/>
      <c r="V124" s="47"/>
      <c r="W124" s="47"/>
    </row>
    <row r="125" spans="1:23" x14ac:dyDescent="0.3">
      <c r="A125" s="47"/>
      <c r="B125" s="109"/>
      <c r="C125" s="47"/>
      <c r="E125" s="53"/>
      <c r="F125" s="47"/>
      <c r="G125" s="47"/>
      <c r="H125" s="47"/>
      <c r="I125" s="47"/>
      <c r="J125" s="47"/>
      <c r="K125" s="47"/>
      <c r="L125" s="47"/>
      <c r="M125" s="47"/>
      <c r="N125" s="91"/>
      <c r="O125" s="47"/>
      <c r="P125" s="47"/>
      <c r="Q125" s="47"/>
      <c r="R125" s="47"/>
      <c r="S125" s="47"/>
      <c r="T125" s="47"/>
      <c r="U125" s="47"/>
      <c r="V125" s="47"/>
      <c r="W125" s="47"/>
    </row>
    <row r="126" spans="1:23" x14ac:dyDescent="0.3">
      <c r="A126" s="47"/>
      <c r="B126" s="109"/>
      <c r="C126" s="47"/>
      <c r="E126" s="53"/>
      <c r="F126" s="47"/>
      <c r="G126" s="47"/>
      <c r="H126" s="47"/>
      <c r="I126" s="47"/>
      <c r="J126" s="47"/>
      <c r="K126" s="47"/>
      <c r="L126" s="47"/>
      <c r="M126" s="47"/>
      <c r="N126" s="91"/>
      <c r="O126" s="47"/>
      <c r="P126" s="47"/>
      <c r="Q126" s="47"/>
      <c r="R126" s="47"/>
      <c r="S126" s="47"/>
      <c r="T126" s="47"/>
      <c r="U126" s="47"/>
      <c r="V126" s="47"/>
      <c r="W126" s="47"/>
    </row>
    <row r="127" spans="1:23" x14ac:dyDescent="0.3">
      <c r="A127" s="47"/>
      <c r="B127" s="109"/>
      <c r="C127" s="47"/>
      <c r="E127" s="53"/>
      <c r="F127" s="47"/>
      <c r="G127" s="47"/>
      <c r="H127" s="47"/>
      <c r="I127" s="47"/>
      <c r="J127" s="47"/>
      <c r="K127" s="47"/>
      <c r="L127" s="47"/>
      <c r="M127" s="47"/>
      <c r="N127" s="91"/>
      <c r="O127" s="47"/>
      <c r="P127" s="47"/>
      <c r="Q127" s="47"/>
      <c r="R127" s="47"/>
      <c r="S127" s="47"/>
      <c r="T127" s="47"/>
      <c r="U127" s="47"/>
      <c r="V127" s="47"/>
      <c r="W127" s="47"/>
    </row>
    <row r="128" spans="1:23" x14ac:dyDescent="0.3">
      <c r="A128" s="47"/>
      <c r="B128" s="109"/>
      <c r="C128" s="47"/>
      <c r="E128" s="53"/>
      <c r="F128" s="47"/>
      <c r="G128" s="47"/>
      <c r="H128" s="47"/>
      <c r="I128" s="47"/>
      <c r="J128" s="47"/>
      <c r="K128" s="47"/>
      <c r="L128" s="47"/>
      <c r="M128" s="47"/>
      <c r="N128" s="91"/>
      <c r="O128" s="47"/>
      <c r="P128" s="47"/>
      <c r="Q128" s="47"/>
      <c r="R128" s="47"/>
      <c r="S128" s="47"/>
      <c r="T128" s="47"/>
      <c r="U128" s="47"/>
      <c r="V128" s="47"/>
      <c r="W128" s="47"/>
    </row>
    <row r="129" spans="1:23" x14ac:dyDescent="0.3">
      <c r="A129" s="47"/>
      <c r="B129" s="109"/>
      <c r="C129" s="47"/>
      <c r="E129" s="53"/>
      <c r="F129" s="47"/>
      <c r="G129" s="47"/>
      <c r="H129" s="47"/>
      <c r="I129" s="47"/>
      <c r="J129" s="47"/>
      <c r="K129" s="47"/>
      <c r="L129" s="47"/>
      <c r="M129" s="47"/>
      <c r="N129" s="91"/>
      <c r="O129" s="47"/>
      <c r="P129" s="47"/>
      <c r="Q129" s="47"/>
      <c r="R129" s="47"/>
      <c r="S129" s="47"/>
      <c r="T129" s="47"/>
      <c r="U129" s="47"/>
      <c r="V129" s="47"/>
      <c r="W129" s="47"/>
    </row>
    <row r="130" spans="1:23" x14ac:dyDescent="0.3">
      <c r="A130" s="47"/>
      <c r="B130" s="109"/>
      <c r="C130" s="47"/>
      <c r="E130" s="53"/>
      <c r="F130" s="47"/>
      <c r="G130" s="47"/>
      <c r="H130" s="47"/>
      <c r="I130" s="47"/>
      <c r="J130" s="47"/>
      <c r="K130" s="47"/>
      <c r="L130" s="47"/>
      <c r="M130" s="47"/>
      <c r="N130" s="91"/>
      <c r="O130" s="47"/>
      <c r="P130" s="47"/>
      <c r="Q130" s="47"/>
      <c r="R130" s="47"/>
      <c r="S130" s="47"/>
      <c r="T130" s="47"/>
      <c r="U130" s="47"/>
      <c r="V130" s="47"/>
      <c r="W130" s="47"/>
    </row>
    <row r="131" spans="1:23" x14ac:dyDescent="0.3">
      <c r="A131" s="47"/>
      <c r="B131" s="109"/>
      <c r="C131" s="47"/>
      <c r="E131" s="53"/>
      <c r="F131" s="47"/>
      <c r="G131" s="47"/>
      <c r="H131" s="47"/>
      <c r="I131" s="47"/>
      <c r="J131" s="47"/>
      <c r="K131" s="47"/>
      <c r="L131" s="47"/>
      <c r="M131" s="47"/>
      <c r="N131" s="91"/>
      <c r="O131" s="47"/>
      <c r="P131" s="47"/>
      <c r="Q131" s="47"/>
      <c r="R131" s="47"/>
      <c r="S131" s="47"/>
      <c r="T131" s="47"/>
      <c r="U131" s="47"/>
      <c r="V131" s="47"/>
      <c r="W131" s="47"/>
    </row>
    <row r="132" spans="1:23" x14ac:dyDescent="0.3">
      <c r="A132" s="47"/>
      <c r="B132" s="109"/>
      <c r="C132" s="47"/>
      <c r="E132" s="53"/>
      <c r="F132" s="47"/>
      <c r="G132" s="47"/>
      <c r="H132" s="47"/>
      <c r="I132" s="47"/>
      <c r="J132" s="47"/>
      <c r="K132" s="47"/>
      <c r="L132" s="47"/>
      <c r="M132" s="47"/>
      <c r="N132" s="91"/>
      <c r="O132" s="47"/>
      <c r="P132" s="47"/>
      <c r="Q132" s="47"/>
      <c r="R132" s="47"/>
      <c r="S132" s="47"/>
      <c r="T132" s="47"/>
      <c r="U132" s="47"/>
      <c r="V132" s="47"/>
      <c r="W132" s="47"/>
    </row>
    <row r="133" spans="1:23" x14ac:dyDescent="0.3">
      <c r="A133" s="47"/>
      <c r="B133" s="109"/>
      <c r="C133" s="47"/>
      <c r="E133" s="53"/>
      <c r="F133" s="47"/>
      <c r="G133" s="47"/>
      <c r="H133" s="47"/>
      <c r="I133" s="47"/>
      <c r="J133" s="47"/>
      <c r="K133" s="47"/>
      <c r="L133" s="47"/>
      <c r="M133" s="47"/>
      <c r="N133" s="91"/>
      <c r="O133" s="47"/>
      <c r="P133" s="47"/>
      <c r="Q133" s="47"/>
      <c r="R133" s="47"/>
      <c r="S133" s="47"/>
      <c r="T133" s="47"/>
      <c r="U133" s="47"/>
      <c r="V133" s="47"/>
      <c r="W133" s="47"/>
    </row>
    <row r="134" spans="1:23" x14ac:dyDescent="0.3">
      <c r="A134" s="47"/>
      <c r="B134" s="109"/>
      <c r="C134" s="47"/>
      <c r="E134" s="53"/>
      <c r="F134" s="47"/>
      <c r="G134" s="47"/>
      <c r="H134" s="47"/>
      <c r="I134" s="47"/>
      <c r="J134" s="47"/>
      <c r="K134" s="47"/>
      <c r="L134" s="47"/>
      <c r="M134" s="47"/>
      <c r="N134" s="91"/>
      <c r="O134" s="47"/>
      <c r="P134" s="47"/>
      <c r="Q134" s="47"/>
      <c r="R134" s="47"/>
      <c r="S134" s="47"/>
      <c r="T134" s="47"/>
      <c r="U134" s="47"/>
      <c r="V134" s="47"/>
      <c r="W134" s="47"/>
    </row>
    <row r="135" spans="1:23" x14ac:dyDescent="0.3">
      <c r="A135" s="47"/>
      <c r="B135" s="109"/>
      <c r="C135" s="47"/>
      <c r="E135" s="53"/>
      <c r="F135" s="47"/>
      <c r="G135" s="47"/>
      <c r="H135" s="47"/>
      <c r="I135" s="47"/>
      <c r="J135" s="47"/>
      <c r="K135" s="47"/>
      <c r="L135" s="47"/>
      <c r="M135" s="47"/>
      <c r="N135" s="91"/>
      <c r="O135" s="47"/>
      <c r="P135" s="47"/>
      <c r="Q135" s="47"/>
      <c r="R135" s="47"/>
      <c r="S135" s="47"/>
      <c r="T135" s="47"/>
      <c r="U135" s="47"/>
      <c r="V135" s="47"/>
      <c r="W135" s="47"/>
    </row>
    <row r="136" spans="1:23" x14ac:dyDescent="0.3">
      <c r="A136" s="47"/>
      <c r="B136" s="109"/>
      <c r="C136" s="47"/>
      <c r="E136" s="53"/>
      <c r="F136" s="47"/>
      <c r="G136" s="47"/>
      <c r="H136" s="47"/>
      <c r="I136" s="47"/>
      <c r="J136" s="47"/>
      <c r="K136" s="47"/>
      <c r="L136" s="47"/>
      <c r="M136" s="47"/>
      <c r="N136" s="91"/>
      <c r="O136" s="47"/>
      <c r="P136" s="47"/>
      <c r="Q136" s="47"/>
      <c r="R136" s="47"/>
      <c r="S136" s="47"/>
      <c r="T136" s="47"/>
      <c r="U136" s="47"/>
      <c r="V136" s="47"/>
      <c r="W136" s="47"/>
    </row>
    <row r="137" spans="1:23" x14ac:dyDescent="0.3">
      <c r="A137" s="47"/>
      <c r="B137" s="109"/>
      <c r="C137" s="47"/>
      <c r="E137" s="53"/>
      <c r="F137" s="47"/>
      <c r="G137" s="47"/>
      <c r="H137" s="47"/>
      <c r="I137" s="47"/>
      <c r="J137" s="47"/>
      <c r="K137" s="47"/>
      <c r="L137" s="47"/>
      <c r="M137" s="47"/>
      <c r="N137" s="91"/>
      <c r="O137" s="47"/>
      <c r="P137" s="47"/>
      <c r="Q137" s="47"/>
      <c r="R137" s="47"/>
      <c r="S137" s="47"/>
      <c r="T137" s="47"/>
      <c r="U137" s="47"/>
      <c r="V137" s="47"/>
      <c r="W137" s="47"/>
    </row>
    <row r="138" spans="1:23" x14ac:dyDescent="0.3">
      <c r="A138" s="47"/>
      <c r="B138" s="109"/>
      <c r="C138" s="47"/>
      <c r="E138" s="53"/>
      <c r="F138" s="47"/>
      <c r="G138" s="47"/>
      <c r="H138" s="47"/>
      <c r="I138" s="47"/>
      <c r="J138" s="47"/>
      <c r="K138" s="47"/>
      <c r="L138" s="47"/>
      <c r="M138" s="47"/>
      <c r="N138" s="91"/>
      <c r="O138" s="47"/>
      <c r="P138" s="47"/>
      <c r="Q138" s="47"/>
      <c r="R138" s="47"/>
      <c r="S138" s="47"/>
      <c r="T138" s="47"/>
      <c r="U138" s="47"/>
      <c r="V138" s="47"/>
      <c r="W138" s="47"/>
    </row>
    <row r="139" spans="1:23" x14ac:dyDescent="0.3">
      <c r="A139" s="47"/>
      <c r="B139" s="109"/>
      <c r="C139" s="47"/>
      <c r="E139" s="53"/>
      <c r="F139" s="47"/>
      <c r="G139" s="47"/>
      <c r="H139" s="47"/>
      <c r="I139" s="47"/>
      <c r="J139" s="47"/>
      <c r="K139" s="47"/>
      <c r="L139" s="47"/>
      <c r="M139" s="47"/>
      <c r="N139" s="91"/>
      <c r="O139" s="47"/>
      <c r="P139" s="47"/>
      <c r="Q139" s="47"/>
      <c r="R139" s="47"/>
      <c r="S139" s="47"/>
      <c r="T139" s="47"/>
      <c r="U139" s="47"/>
      <c r="V139" s="47"/>
      <c r="W139" s="47"/>
    </row>
    <row r="140" spans="1:23" x14ac:dyDescent="0.3">
      <c r="A140" s="47"/>
      <c r="B140" s="109"/>
      <c r="C140" s="47"/>
      <c r="E140" s="53"/>
      <c r="F140" s="47"/>
      <c r="G140" s="47"/>
      <c r="H140" s="47"/>
      <c r="I140" s="47"/>
      <c r="J140" s="47"/>
      <c r="K140" s="47"/>
      <c r="L140" s="47"/>
      <c r="M140" s="47"/>
      <c r="N140" s="91"/>
      <c r="O140" s="47"/>
      <c r="P140" s="47"/>
      <c r="Q140" s="47"/>
      <c r="R140" s="47"/>
      <c r="S140" s="47"/>
      <c r="T140" s="47"/>
      <c r="U140" s="47"/>
      <c r="V140" s="47"/>
      <c r="W140" s="47"/>
    </row>
    <row r="141" spans="1:23" x14ac:dyDescent="0.3">
      <c r="A141" s="47"/>
      <c r="B141" s="109"/>
      <c r="C141" s="47"/>
      <c r="E141" s="53"/>
      <c r="F141" s="47"/>
      <c r="G141" s="47"/>
      <c r="H141" s="47"/>
      <c r="I141" s="47"/>
      <c r="J141" s="47"/>
      <c r="K141" s="47"/>
      <c r="L141" s="47"/>
      <c r="M141" s="47"/>
      <c r="N141" s="91"/>
      <c r="O141" s="47"/>
      <c r="P141" s="47"/>
      <c r="Q141" s="47"/>
      <c r="R141" s="47"/>
      <c r="S141" s="47"/>
      <c r="T141" s="47"/>
      <c r="U141" s="47"/>
      <c r="V141" s="47"/>
      <c r="W141" s="47"/>
    </row>
    <row r="142" spans="1:23" x14ac:dyDescent="0.3">
      <c r="A142" s="47"/>
      <c r="B142" s="109"/>
      <c r="C142" s="47"/>
      <c r="E142" s="53"/>
      <c r="F142" s="47"/>
      <c r="G142" s="47"/>
      <c r="H142" s="47"/>
      <c r="I142" s="47"/>
      <c r="J142" s="47"/>
      <c r="K142" s="47"/>
      <c r="L142" s="47"/>
      <c r="M142" s="47"/>
      <c r="N142" s="91"/>
      <c r="O142" s="47"/>
      <c r="P142" s="47"/>
      <c r="Q142" s="47"/>
      <c r="R142" s="47"/>
      <c r="S142" s="47"/>
      <c r="T142" s="47"/>
      <c r="U142" s="47"/>
      <c r="V142" s="47"/>
      <c r="W142" s="47"/>
    </row>
    <row r="143" spans="1:23" x14ac:dyDescent="0.3">
      <c r="A143" s="47"/>
      <c r="B143" s="109"/>
      <c r="C143" s="47"/>
      <c r="E143" s="53"/>
      <c r="F143" s="47"/>
      <c r="G143" s="47"/>
      <c r="H143" s="47"/>
      <c r="I143" s="47"/>
      <c r="J143" s="47"/>
      <c r="K143" s="47"/>
      <c r="L143" s="47"/>
      <c r="M143" s="47"/>
      <c r="N143" s="91"/>
      <c r="O143" s="47"/>
      <c r="P143" s="47"/>
      <c r="Q143" s="47"/>
      <c r="R143" s="47"/>
      <c r="S143" s="47"/>
      <c r="T143" s="47"/>
      <c r="U143" s="47"/>
      <c r="V143" s="47"/>
      <c r="W143" s="47"/>
    </row>
    <row r="144" spans="1:23" x14ac:dyDescent="0.3">
      <c r="A144" s="47"/>
      <c r="B144" s="109"/>
      <c r="C144" s="47"/>
      <c r="E144" s="53"/>
      <c r="F144" s="47"/>
      <c r="G144" s="47"/>
      <c r="H144" s="47"/>
      <c r="I144" s="47"/>
      <c r="J144" s="47"/>
      <c r="K144" s="47"/>
      <c r="L144" s="47"/>
      <c r="M144" s="47"/>
      <c r="N144" s="91"/>
      <c r="O144" s="47"/>
      <c r="P144" s="47"/>
      <c r="Q144" s="47"/>
      <c r="R144" s="47"/>
      <c r="S144" s="47"/>
      <c r="T144" s="47"/>
      <c r="U144" s="47"/>
      <c r="V144" s="47"/>
      <c r="W144" s="47"/>
    </row>
    <row r="145" spans="1:23" x14ac:dyDescent="0.3">
      <c r="A145" s="47"/>
      <c r="B145" s="109"/>
      <c r="C145" s="47"/>
      <c r="E145" s="53"/>
      <c r="F145" s="47"/>
      <c r="G145" s="47"/>
      <c r="H145" s="47"/>
      <c r="I145" s="47"/>
      <c r="J145" s="47"/>
      <c r="K145" s="47"/>
      <c r="L145" s="47"/>
      <c r="M145" s="47"/>
      <c r="N145" s="91"/>
      <c r="O145" s="47"/>
      <c r="P145" s="47"/>
      <c r="Q145" s="47"/>
      <c r="R145" s="47"/>
      <c r="S145" s="47"/>
      <c r="T145" s="47"/>
      <c r="U145" s="47"/>
      <c r="V145" s="47"/>
      <c r="W145" s="47"/>
    </row>
    <row r="146" spans="1:23" x14ac:dyDescent="0.3">
      <c r="A146" s="47"/>
      <c r="B146" s="109"/>
      <c r="C146" s="47"/>
      <c r="E146" s="53"/>
      <c r="F146" s="47"/>
      <c r="G146" s="47"/>
      <c r="H146" s="47"/>
      <c r="I146" s="47"/>
      <c r="J146" s="47"/>
      <c r="K146" s="47"/>
      <c r="L146" s="47"/>
      <c r="M146" s="47"/>
      <c r="N146" s="91"/>
      <c r="O146" s="47"/>
      <c r="P146" s="47"/>
      <c r="Q146" s="47"/>
      <c r="R146" s="47"/>
      <c r="S146" s="47"/>
      <c r="T146" s="47"/>
      <c r="U146" s="47"/>
      <c r="V146" s="47"/>
      <c r="W146" s="47"/>
    </row>
    <row r="147" spans="1:23" x14ac:dyDescent="0.3">
      <c r="A147" s="47"/>
      <c r="B147" s="109"/>
      <c r="C147" s="47"/>
      <c r="E147" s="53"/>
      <c r="F147" s="47"/>
      <c r="G147" s="47"/>
      <c r="H147" s="47"/>
      <c r="I147" s="47"/>
      <c r="J147" s="47"/>
      <c r="K147" s="47"/>
      <c r="L147" s="47"/>
      <c r="M147" s="47"/>
      <c r="N147" s="91"/>
      <c r="O147" s="47"/>
      <c r="P147" s="47"/>
      <c r="Q147" s="47"/>
      <c r="R147" s="47"/>
      <c r="S147" s="47"/>
      <c r="T147" s="47"/>
      <c r="U147" s="47"/>
      <c r="V147" s="47"/>
      <c r="W147" s="47"/>
    </row>
    <row r="148" spans="1:23" x14ac:dyDescent="0.3">
      <c r="A148" s="47"/>
      <c r="B148" s="109"/>
      <c r="C148" s="47"/>
      <c r="E148" s="53"/>
      <c r="F148" s="47"/>
      <c r="G148" s="47"/>
      <c r="H148" s="47"/>
      <c r="I148" s="47"/>
      <c r="J148" s="47"/>
      <c r="K148" s="47"/>
      <c r="L148" s="47"/>
      <c r="M148" s="47"/>
      <c r="N148" s="91"/>
      <c r="O148" s="47"/>
      <c r="P148" s="47"/>
      <c r="Q148" s="47"/>
      <c r="R148" s="47"/>
      <c r="S148" s="47"/>
      <c r="T148" s="47"/>
      <c r="U148" s="47"/>
      <c r="V148" s="47"/>
      <c r="W148" s="47"/>
    </row>
    <row r="149" spans="1:23" x14ac:dyDescent="0.3">
      <c r="A149" s="47"/>
      <c r="B149" s="109"/>
      <c r="C149" s="47"/>
      <c r="E149" s="53"/>
      <c r="F149" s="47"/>
      <c r="G149" s="47"/>
      <c r="H149" s="47"/>
      <c r="I149" s="47"/>
      <c r="J149" s="47"/>
      <c r="K149" s="47"/>
      <c r="L149" s="47"/>
      <c r="M149" s="47"/>
      <c r="N149" s="91"/>
      <c r="O149" s="47"/>
      <c r="P149" s="47"/>
      <c r="Q149" s="47"/>
      <c r="R149" s="47"/>
      <c r="S149" s="47"/>
      <c r="T149" s="47"/>
      <c r="U149" s="47"/>
      <c r="V149" s="47"/>
      <c r="W149" s="47"/>
    </row>
    <row r="150" spans="1:23" x14ac:dyDescent="0.3">
      <c r="A150" s="47"/>
      <c r="B150" s="109"/>
      <c r="C150" s="47"/>
      <c r="E150" s="53"/>
      <c r="F150" s="47"/>
      <c r="G150" s="47"/>
      <c r="H150" s="47"/>
      <c r="I150" s="47"/>
      <c r="J150" s="47"/>
      <c r="K150" s="47"/>
      <c r="L150" s="47"/>
      <c r="M150" s="47"/>
      <c r="N150" s="91"/>
      <c r="O150" s="47"/>
      <c r="P150" s="47"/>
      <c r="Q150" s="47"/>
      <c r="R150" s="47"/>
      <c r="S150" s="47"/>
      <c r="T150" s="47"/>
      <c r="U150" s="47"/>
      <c r="V150" s="47"/>
      <c r="W150" s="47"/>
    </row>
    <row r="151" spans="1:23" x14ac:dyDescent="0.3">
      <c r="A151" s="47"/>
      <c r="B151" s="109"/>
      <c r="C151" s="47"/>
      <c r="E151" s="53"/>
      <c r="F151" s="47"/>
      <c r="G151" s="47"/>
      <c r="H151" s="47"/>
      <c r="I151" s="47"/>
      <c r="J151" s="47"/>
      <c r="K151" s="47"/>
      <c r="L151" s="47"/>
      <c r="M151" s="47"/>
      <c r="N151" s="91"/>
      <c r="O151" s="47"/>
      <c r="P151" s="47"/>
      <c r="Q151" s="47"/>
      <c r="R151" s="47"/>
      <c r="S151" s="47"/>
      <c r="T151" s="47"/>
      <c r="U151" s="47"/>
      <c r="V151" s="47"/>
      <c r="W151" s="47"/>
    </row>
    <row r="152" spans="1:23" x14ac:dyDescent="0.3">
      <c r="A152" s="47"/>
      <c r="B152" s="109"/>
      <c r="C152" s="47"/>
      <c r="E152" s="53"/>
      <c r="F152" s="47"/>
      <c r="G152" s="47"/>
      <c r="H152" s="47"/>
      <c r="I152" s="47"/>
      <c r="J152" s="47"/>
      <c r="K152" s="47"/>
      <c r="L152" s="47"/>
      <c r="M152" s="47"/>
      <c r="N152" s="91"/>
      <c r="O152" s="47"/>
      <c r="P152" s="47"/>
      <c r="Q152" s="47"/>
      <c r="R152" s="47"/>
      <c r="S152" s="47"/>
      <c r="T152" s="47"/>
      <c r="U152" s="47"/>
      <c r="V152" s="47"/>
      <c r="W152" s="47"/>
    </row>
    <row r="153" spans="1:23" x14ac:dyDescent="0.3">
      <c r="A153" s="47"/>
      <c r="B153" s="109"/>
      <c r="C153" s="47"/>
      <c r="E153" s="53"/>
      <c r="F153" s="47"/>
      <c r="G153" s="47"/>
      <c r="H153" s="47"/>
      <c r="I153" s="47"/>
      <c r="J153" s="47"/>
      <c r="K153" s="47"/>
      <c r="L153" s="47"/>
      <c r="M153" s="47"/>
      <c r="N153" s="91"/>
      <c r="O153" s="47"/>
      <c r="P153" s="47"/>
      <c r="Q153" s="47"/>
      <c r="R153" s="47"/>
      <c r="S153" s="47"/>
      <c r="T153" s="47"/>
      <c r="U153" s="47"/>
      <c r="V153" s="47"/>
      <c r="W153" s="47"/>
    </row>
    <row r="154" spans="1:23" x14ac:dyDescent="0.3">
      <c r="A154" s="47"/>
      <c r="B154" s="109"/>
      <c r="C154" s="47"/>
      <c r="E154" s="53"/>
      <c r="F154" s="47"/>
      <c r="G154" s="47"/>
      <c r="H154" s="47"/>
      <c r="I154" s="47"/>
      <c r="J154" s="47"/>
      <c r="K154" s="47"/>
      <c r="L154" s="47"/>
      <c r="M154" s="47"/>
      <c r="N154" s="91"/>
      <c r="O154" s="47"/>
      <c r="P154" s="47"/>
      <c r="Q154" s="47"/>
      <c r="R154" s="47"/>
      <c r="S154" s="47"/>
      <c r="T154" s="47"/>
      <c r="U154" s="47"/>
      <c r="V154" s="47"/>
      <c r="W154" s="47"/>
    </row>
    <row r="155" spans="1:23" x14ac:dyDescent="0.3">
      <c r="A155" s="47"/>
      <c r="B155" s="109"/>
      <c r="C155" s="47"/>
      <c r="E155" s="53"/>
      <c r="F155" s="47"/>
      <c r="G155" s="47"/>
      <c r="H155" s="47"/>
      <c r="I155" s="47"/>
      <c r="J155" s="47"/>
      <c r="K155" s="47"/>
      <c r="L155" s="47"/>
      <c r="M155" s="47"/>
      <c r="N155" s="91"/>
      <c r="O155" s="47"/>
      <c r="P155" s="47"/>
      <c r="Q155" s="47"/>
      <c r="R155" s="47"/>
      <c r="S155" s="47"/>
      <c r="T155" s="47"/>
      <c r="U155" s="47"/>
      <c r="V155" s="47"/>
      <c r="W155" s="47"/>
    </row>
    <row r="156" spans="1:23" x14ac:dyDescent="0.3">
      <c r="A156" s="47"/>
      <c r="B156" s="109"/>
      <c r="C156" s="47"/>
      <c r="E156" s="53"/>
      <c r="F156" s="47"/>
      <c r="G156" s="47"/>
      <c r="H156" s="47"/>
      <c r="I156" s="47"/>
      <c r="J156" s="47"/>
      <c r="K156" s="47"/>
      <c r="L156" s="47"/>
      <c r="M156" s="47"/>
      <c r="N156" s="91"/>
      <c r="O156" s="47"/>
      <c r="P156" s="47"/>
      <c r="Q156" s="47"/>
      <c r="R156" s="47"/>
      <c r="S156" s="47"/>
      <c r="T156" s="47"/>
      <c r="U156" s="47"/>
      <c r="V156" s="47"/>
      <c r="W156" s="47"/>
    </row>
    <row r="157" spans="1:23" x14ac:dyDescent="0.3">
      <c r="A157" s="47"/>
      <c r="B157" s="109"/>
      <c r="C157" s="47"/>
      <c r="E157" s="53"/>
      <c r="F157" s="47"/>
      <c r="G157" s="47"/>
      <c r="H157" s="47"/>
      <c r="I157" s="47"/>
      <c r="J157" s="47"/>
      <c r="K157" s="47"/>
      <c r="L157" s="47"/>
      <c r="M157" s="47"/>
      <c r="N157" s="91"/>
      <c r="O157" s="47"/>
      <c r="P157" s="47"/>
      <c r="Q157" s="47"/>
      <c r="R157" s="47"/>
      <c r="S157" s="47"/>
      <c r="T157" s="47"/>
      <c r="U157" s="47"/>
      <c r="V157" s="47"/>
      <c r="W157" s="47"/>
    </row>
    <row r="158" spans="1:23" x14ac:dyDescent="0.3">
      <c r="A158" s="47"/>
      <c r="B158" s="109"/>
      <c r="C158" s="47"/>
      <c r="E158" s="53"/>
      <c r="F158" s="47"/>
      <c r="G158" s="47"/>
      <c r="H158" s="47"/>
      <c r="I158" s="47"/>
      <c r="J158" s="47"/>
      <c r="K158" s="47"/>
      <c r="L158" s="47"/>
      <c r="M158" s="47"/>
      <c r="N158" s="91"/>
      <c r="O158" s="47"/>
      <c r="P158" s="47"/>
      <c r="Q158" s="47"/>
      <c r="R158" s="47"/>
      <c r="S158" s="47"/>
      <c r="T158" s="47"/>
      <c r="U158" s="47"/>
      <c r="V158" s="47"/>
      <c r="W158" s="47"/>
    </row>
    <row r="159" spans="1:23" x14ac:dyDescent="0.3">
      <c r="A159" s="47"/>
      <c r="B159" s="109"/>
      <c r="C159" s="47"/>
      <c r="E159" s="53"/>
      <c r="F159" s="47"/>
      <c r="G159" s="47"/>
      <c r="H159" s="47"/>
      <c r="I159" s="47"/>
      <c r="J159" s="47"/>
      <c r="K159" s="47"/>
      <c r="L159" s="47"/>
      <c r="M159" s="47"/>
      <c r="N159" s="91"/>
      <c r="O159" s="47"/>
      <c r="P159" s="47"/>
      <c r="Q159" s="47"/>
      <c r="R159" s="47"/>
      <c r="S159" s="47"/>
      <c r="T159" s="47"/>
      <c r="U159" s="47"/>
      <c r="V159" s="47"/>
      <c r="W159" s="47"/>
    </row>
    <row r="160" spans="1:23" x14ac:dyDescent="0.3">
      <c r="A160" s="47"/>
      <c r="B160" s="109"/>
      <c r="C160" s="47"/>
      <c r="E160" s="53"/>
      <c r="F160" s="47"/>
      <c r="G160" s="47"/>
      <c r="H160" s="47"/>
      <c r="I160" s="47"/>
      <c r="J160" s="47"/>
      <c r="K160" s="47"/>
      <c r="L160" s="47"/>
      <c r="M160" s="47"/>
      <c r="N160" s="91"/>
      <c r="O160" s="47"/>
      <c r="P160" s="47"/>
      <c r="Q160" s="47"/>
      <c r="R160" s="47"/>
      <c r="S160" s="47"/>
      <c r="T160" s="47"/>
      <c r="U160" s="47"/>
      <c r="V160" s="47"/>
      <c r="W160" s="47"/>
    </row>
    <row r="161" spans="1:23" x14ac:dyDescent="0.3">
      <c r="A161" s="47"/>
      <c r="B161" s="109"/>
      <c r="C161" s="47"/>
      <c r="E161" s="53"/>
      <c r="F161" s="47"/>
      <c r="G161" s="47"/>
      <c r="H161" s="47"/>
      <c r="I161" s="47"/>
      <c r="J161" s="47"/>
      <c r="K161" s="47"/>
      <c r="L161" s="47"/>
      <c r="M161" s="47"/>
      <c r="N161" s="91"/>
      <c r="O161" s="47"/>
      <c r="P161" s="47"/>
      <c r="Q161" s="47"/>
      <c r="R161" s="47"/>
      <c r="S161" s="47"/>
      <c r="T161" s="47"/>
      <c r="U161" s="47"/>
      <c r="V161" s="47"/>
      <c r="W161" s="47"/>
    </row>
    <row r="162" spans="1:23" x14ac:dyDescent="0.3">
      <c r="A162" s="47"/>
      <c r="B162" s="109"/>
      <c r="C162" s="47"/>
      <c r="E162" s="53"/>
      <c r="F162" s="47"/>
      <c r="G162" s="47"/>
      <c r="H162" s="47"/>
      <c r="I162" s="47"/>
      <c r="J162" s="47"/>
      <c r="K162" s="47"/>
      <c r="L162" s="47"/>
      <c r="M162" s="47"/>
      <c r="N162" s="91"/>
      <c r="O162" s="47"/>
      <c r="P162" s="47"/>
      <c r="Q162" s="47"/>
      <c r="R162" s="47"/>
      <c r="S162" s="47"/>
      <c r="T162" s="47"/>
      <c r="U162" s="47"/>
      <c r="V162" s="47"/>
      <c r="W162" s="47"/>
    </row>
    <row r="163" spans="1:23" x14ac:dyDescent="0.3">
      <c r="A163" s="47"/>
      <c r="B163" s="109"/>
      <c r="C163" s="47"/>
      <c r="E163" s="53"/>
      <c r="F163" s="47"/>
      <c r="G163" s="47"/>
      <c r="H163" s="47"/>
      <c r="I163" s="47"/>
      <c r="J163" s="47"/>
      <c r="K163" s="47"/>
      <c r="L163" s="47"/>
      <c r="M163" s="47"/>
      <c r="N163" s="91"/>
      <c r="O163" s="47"/>
      <c r="P163" s="47"/>
      <c r="Q163" s="47"/>
      <c r="R163" s="47"/>
      <c r="S163" s="47"/>
      <c r="T163" s="47"/>
      <c r="U163" s="47"/>
      <c r="V163" s="47"/>
      <c r="W163" s="47"/>
    </row>
    <row r="164" spans="1:23" x14ac:dyDescent="0.3">
      <c r="A164" s="47"/>
      <c r="B164" s="109"/>
      <c r="C164" s="47"/>
      <c r="E164" s="53"/>
      <c r="F164" s="47"/>
      <c r="G164" s="47"/>
      <c r="H164" s="47"/>
      <c r="I164" s="47"/>
      <c r="J164" s="47"/>
      <c r="K164" s="47"/>
      <c r="L164" s="47"/>
      <c r="M164" s="47"/>
      <c r="N164" s="91"/>
      <c r="O164" s="47"/>
      <c r="P164" s="47"/>
      <c r="Q164" s="47"/>
      <c r="R164" s="47"/>
      <c r="S164" s="47"/>
      <c r="T164" s="47"/>
      <c r="U164" s="47"/>
      <c r="V164" s="47"/>
      <c r="W164" s="47"/>
    </row>
    <row r="165" spans="1:23" x14ac:dyDescent="0.3">
      <c r="A165" s="47"/>
      <c r="B165" s="109"/>
      <c r="C165" s="47"/>
      <c r="E165" s="53"/>
      <c r="F165" s="47"/>
      <c r="G165" s="47"/>
      <c r="H165" s="47"/>
      <c r="I165" s="47"/>
      <c r="J165" s="47"/>
      <c r="K165" s="47"/>
      <c r="L165" s="47"/>
      <c r="M165" s="47"/>
      <c r="N165" s="91"/>
      <c r="O165" s="47"/>
      <c r="P165" s="47"/>
      <c r="Q165" s="47"/>
      <c r="R165" s="47"/>
      <c r="S165" s="47"/>
      <c r="T165" s="47"/>
      <c r="U165" s="47"/>
      <c r="V165" s="47"/>
      <c r="W165" s="47"/>
    </row>
    <row r="166" spans="1:23" x14ac:dyDescent="0.3">
      <c r="A166" s="47"/>
      <c r="B166" s="109"/>
      <c r="C166" s="47"/>
      <c r="E166" s="53"/>
      <c r="F166" s="47"/>
      <c r="G166" s="47"/>
      <c r="H166" s="47"/>
      <c r="I166" s="47"/>
      <c r="J166" s="47"/>
      <c r="K166" s="47"/>
      <c r="L166" s="47"/>
      <c r="M166" s="47"/>
      <c r="N166" s="91"/>
      <c r="O166" s="47"/>
      <c r="P166" s="47"/>
      <c r="Q166" s="47"/>
      <c r="R166" s="47"/>
      <c r="S166" s="47"/>
      <c r="T166" s="47"/>
      <c r="U166" s="47"/>
      <c r="V166" s="47"/>
      <c r="W166" s="47"/>
    </row>
    <row r="167" spans="1:23" x14ac:dyDescent="0.3">
      <c r="A167" s="47"/>
      <c r="B167" s="109"/>
      <c r="C167" s="47"/>
      <c r="E167" s="53"/>
      <c r="F167" s="47"/>
      <c r="G167" s="47"/>
      <c r="H167" s="47"/>
      <c r="I167" s="47"/>
      <c r="J167" s="47"/>
      <c r="K167" s="47"/>
      <c r="L167" s="47"/>
      <c r="M167" s="47"/>
      <c r="N167" s="91"/>
      <c r="O167" s="47"/>
      <c r="P167" s="47"/>
      <c r="Q167" s="47"/>
      <c r="R167" s="47"/>
      <c r="S167" s="47"/>
      <c r="T167" s="47"/>
      <c r="U167" s="47"/>
      <c r="V167" s="47"/>
      <c r="W167" s="47"/>
    </row>
    <row r="168" spans="1:23" x14ac:dyDescent="0.3">
      <c r="A168" s="47"/>
      <c r="B168" s="109"/>
      <c r="C168" s="47"/>
      <c r="E168" s="53"/>
      <c r="F168" s="47"/>
      <c r="G168" s="47"/>
      <c r="H168" s="47"/>
      <c r="I168" s="47"/>
      <c r="J168" s="47"/>
      <c r="K168" s="47"/>
      <c r="L168" s="47"/>
      <c r="M168" s="47"/>
      <c r="N168" s="91"/>
      <c r="O168" s="47"/>
      <c r="P168" s="47"/>
      <c r="Q168" s="47"/>
      <c r="R168" s="47"/>
      <c r="S168" s="47"/>
      <c r="T168" s="47"/>
      <c r="U168" s="47"/>
      <c r="V168" s="47"/>
      <c r="W168" s="47"/>
    </row>
    <row r="169" spans="1:23" x14ac:dyDescent="0.3">
      <c r="A169" s="47"/>
      <c r="B169" s="109"/>
      <c r="C169" s="47"/>
      <c r="E169" s="53"/>
      <c r="F169" s="47"/>
      <c r="G169" s="47"/>
      <c r="H169" s="47"/>
      <c r="I169" s="47"/>
      <c r="J169" s="47"/>
      <c r="K169" s="47"/>
      <c r="L169" s="47"/>
      <c r="M169" s="47"/>
      <c r="N169" s="91"/>
      <c r="O169" s="47"/>
      <c r="P169" s="47"/>
      <c r="Q169" s="47"/>
      <c r="R169" s="47"/>
      <c r="S169" s="47"/>
      <c r="T169" s="47"/>
      <c r="U169" s="47"/>
      <c r="V169" s="47"/>
      <c r="W169" s="47"/>
    </row>
    <row r="170" spans="1:23" x14ac:dyDescent="0.3">
      <c r="A170" s="47"/>
      <c r="B170" s="109"/>
      <c r="C170" s="47"/>
      <c r="E170" s="53"/>
      <c r="F170" s="47"/>
      <c r="G170" s="47"/>
      <c r="H170" s="47"/>
      <c r="I170" s="47"/>
      <c r="J170" s="47"/>
      <c r="K170" s="47"/>
      <c r="L170" s="47"/>
      <c r="M170" s="47"/>
      <c r="N170" s="91"/>
      <c r="O170" s="47"/>
      <c r="P170" s="47"/>
      <c r="Q170" s="47"/>
      <c r="R170" s="47"/>
      <c r="S170" s="47"/>
      <c r="T170" s="47"/>
      <c r="U170" s="47"/>
      <c r="V170" s="47"/>
      <c r="W170" s="47"/>
    </row>
    <row r="171" spans="1:23" x14ac:dyDescent="0.3">
      <c r="A171" s="47"/>
      <c r="B171" s="109"/>
      <c r="C171" s="47"/>
      <c r="E171" s="53"/>
      <c r="F171" s="47"/>
      <c r="G171" s="47"/>
      <c r="H171" s="47"/>
      <c r="I171" s="47"/>
      <c r="J171" s="47"/>
      <c r="K171" s="47"/>
      <c r="L171" s="47"/>
      <c r="M171" s="47"/>
      <c r="N171" s="91"/>
      <c r="O171" s="47"/>
      <c r="P171" s="47"/>
      <c r="Q171" s="47"/>
      <c r="R171" s="47"/>
      <c r="S171" s="47"/>
      <c r="T171" s="47"/>
      <c r="U171" s="47"/>
      <c r="V171" s="47"/>
      <c r="W171" s="47"/>
    </row>
    <row r="172" spans="1:23" x14ac:dyDescent="0.3">
      <c r="A172" s="47"/>
      <c r="B172" s="109"/>
      <c r="C172" s="47"/>
      <c r="E172" s="53"/>
      <c r="F172" s="47"/>
      <c r="G172" s="47"/>
      <c r="H172" s="47"/>
      <c r="I172" s="47"/>
      <c r="J172" s="47"/>
      <c r="K172" s="47"/>
      <c r="L172" s="47"/>
      <c r="M172" s="47"/>
      <c r="N172" s="91"/>
      <c r="O172" s="47"/>
      <c r="P172" s="47"/>
      <c r="Q172" s="47"/>
      <c r="R172" s="47"/>
      <c r="S172" s="47"/>
      <c r="T172" s="47"/>
      <c r="U172" s="47"/>
      <c r="V172" s="47"/>
      <c r="W172" s="47"/>
    </row>
    <row r="173" spans="1:23" x14ac:dyDescent="0.3">
      <c r="A173" s="47"/>
      <c r="B173" s="109"/>
      <c r="C173" s="47"/>
      <c r="E173" s="53"/>
      <c r="F173" s="47"/>
      <c r="G173" s="47"/>
      <c r="H173" s="47"/>
      <c r="I173" s="47"/>
      <c r="J173" s="47"/>
      <c r="K173" s="47"/>
      <c r="L173" s="47"/>
      <c r="M173" s="47"/>
      <c r="N173" s="91"/>
      <c r="O173" s="47"/>
      <c r="P173" s="47"/>
      <c r="Q173" s="47"/>
      <c r="R173" s="47"/>
      <c r="S173" s="47"/>
      <c r="T173" s="47"/>
      <c r="U173" s="47"/>
      <c r="V173" s="47"/>
      <c r="W173" s="47"/>
    </row>
    <row r="174" spans="1:23" x14ac:dyDescent="0.3">
      <c r="A174" s="47"/>
      <c r="B174" s="109"/>
      <c r="C174" s="47"/>
      <c r="E174" s="53"/>
      <c r="F174" s="47"/>
      <c r="G174" s="47"/>
      <c r="H174" s="47"/>
      <c r="I174" s="47"/>
      <c r="J174" s="47"/>
      <c r="K174" s="47"/>
      <c r="L174" s="47"/>
      <c r="M174" s="47"/>
      <c r="N174" s="91"/>
      <c r="O174" s="47"/>
      <c r="P174" s="47"/>
      <c r="Q174" s="47"/>
      <c r="R174" s="47"/>
      <c r="S174" s="47"/>
      <c r="T174" s="47"/>
      <c r="U174" s="47"/>
      <c r="V174" s="47"/>
      <c r="W174" s="47"/>
    </row>
    <row r="175" spans="1:23" x14ac:dyDescent="0.3">
      <c r="A175" s="47"/>
      <c r="B175" s="109"/>
      <c r="C175" s="47"/>
      <c r="E175" s="53"/>
      <c r="F175" s="47"/>
      <c r="G175" s="47"/>
      <c r="H175" s="47"/>
      <c r="I175" s="47"/>
      <c r="J175" s="47"/>
      <c r="K175" s="47"/>
      <c r="L175" s="47"/>
      <c r="M175" s="47"/>
      <c r="N175" s="91"/>
      <c r="O175" s="47"/>
      <c r="P175" s="47"/>
      <c r="Q175" s="47"/>
      <c r="R175" s="47"/>
      <c r="S175" s="47"/>
      <c r="T175" s="47"/>
      <c r="U175" s="47"/>
      <c r="V175" s="47"/>
      <c r="W175" s="47"/>
    </row>
    <row r="176" spans="1:23" x14ac:dyDescent="0.3">
      <c r="A176" s="47"/>
      <c r="B176" s="109"/>
      <c r="C176" s="47"/>
      <c r="E176" s="53"/>
      <c r="F176" s="47"/>
      <c r="G176" s="47"/>
      <c r="H176" s="47"/>
      <c r="I176" s="47"/>
      <c r="J176" s="47"/>
      <c r="K176" s="47"/>
      <c r="L176" s="47"/>
      <c r="M176" s="47"/>
      <c r="N176" s="91"/>
      <c r="O176" s="47"/>
      <c r="P176" s="47"/>
      <c r="Q176" s="47"/>
      <c r="R176" s="47"/>
      <c r="S176" s="47"/>
      <c r="T176" s="47"/>
      <c r="U176" s="47"/>
      <c r="V176" s="47"/>
      <c r="W176" s="47"/>
    </row>
    <row r="177" spans="1:23" x14ac:dyDescent="0.3">
      <c r="A177" s="47"/>
      <c r="B177" s="109"/>
      <c r="C177" s="47"/>
      <c r="E177" s="53"/>
      <c r="F177" s="47"/>
      <c r="G177" s="47"/>
      <c r="H177" s="47"/>
      <c r="I177" s="47"/>
      <c r="J177" s="47"/>
      <c r="K177" s="47"/>
      <c r="L177" s="47"/>
      <c r="M177" s="47"/>
      <c r="N177" s="91"/>
      <c r="O177" s="47"/>
      <c r="P177" s="47"/>
      <c r="Q177" s="47"/>
      <c r="R177" s="47"/>
      <c r="S177" s="47"/>
      <c r="T177" s="47"/>
      <c r="U177" s="47"/>
      <c r="V177" s="47"/>
      <c r="W177" s="47"/>
    </row>
    <row r="178" spans="1:23" x14ac:dyDescent="0.3">
      <c r="A178" s="47"/>
      <c r="B178" s="109"/>
      <c r="C178" s="47"/>
      <c r="E178" s="53"/>
      <c r="F178" s="47"/>
      <c r="G178" s="47"/>
      <c r="H178" s="47"/>
      <c r="I178" s="47"/>
      <c r="J178" s="47"/>
      <c r="K178" s="47"/>
      <c r="L178" s="47"/>
      <c r="M178" s="47"/>
      <c r="N178" s="91"/>
      <c r="O178" s="47"/>
      <c r="P178" s="47"/>
      <c r="Q178" s="47"/>
      <c r="R178" s="47"/>
      <c r="S178" s="47"/>
      <c r="T178" s="47"/>
      <c r="U178" s="47"/>
      <c r="V178" s="47"/>
      <c r="W178" s="47"/>
    </row>
    <row r="179" spans="1:23" x14ac:dyDescent="0.3">
      <c r="A179" s="47"/>
      <c r="B179" s="109"/>
      <c r="C179" s="47"/>
      <c r="E179" s="53"/>
      <c r="F179" s="47"/>
      <c r="G179" s="47"/>
      <c r="H179" s="47"/>
      <c r="I179" s="47"/>
      <c r="J179" s="47"/>
      <c r="K179" s="47"/>
      <c r="L179" s="47"/>
      <c r="M179" s="47"/>
      <c r="N179" s="91"/>
      <c r="O179" s="47"/>
      <c r="P179" s="47"/>
      <c r="Q179" s="47"/>
      <c r="R179" s="47"/>
      <c r="S179" s="47"/>
      <c r="T179" s="47"/>
      <c r="U179" s="47"/>
      <c r="V179" s="47"/>
      <c r="W179" s="47"/>
    </row>
    <row r="180" spans="1:23" x14ac:dyDescent="0.3">
      <c r="A180" s="47"/>
      <c r="B180" s="109"/>
      <c r="C180" s="47"/>
      <c r="E180" s="53"/>
      <c r="F180" s="47"/>
      <c r="G180" s="47"/>
      <c r="H180" s="47"/>
      <c r="I180" s="47"/>
      <c r="J180" s="47"/>
      <c r="K180" s="47"/>
      <c r="L180" s="47"/>
      <c r="M180" s="47"/>
      <c r="N180" s="91"/>
      <c r="O180" s="47"/>
      <c r="P180" s="47"/>
      <c r="Q180" s="47"/>
      <c r="R180" s="47"/>
      <c r="S180" s="47"/>
      <c r="T180" s="47"/>
      <c r="U180" s="47"/>
      <c r="V180" s="47"/>
      <c r="W180" s="47"/>
    </row>
    <row r="181" spans="1:23" x14ac:dyDescent="0.3">
      <c r="A181" s="47"/>
      <c r="B181" s="109"/>
      <c r="C181" s="47"/>
      <c r="E181" s="53"/>
      <c r="F181" s="47"/>
      <c r="G181" s="47"/>
      <c r="H181" s="47"/>
      <c r="I181" s="47"/>
      <c r="J181" s="47"/>
      <c r="K181" s="47"/>
      <c r="L181" s="47"/>
      <c r="M181" s="47"/>
      <c r="N181" s="91"/>
      <c r="O181" s="47"/>
      <c r="P181" s="47"/>
      <c r="Q181" s="47"/>
      <c r="R181" s="47"/>
      <c r="S181" s="47"/>
      <c r="T181" s="47"/>
      <c r="U181" s="47"/>
      <c r="V181" s="47"/>
      <c r="W181" s="47"/>
    </row>
    <row r="182" spans="1:23" x14ac:dyDescent="0.3">
      <c r="A182" s="47"/>
      <c r="B182" s="109"/>
      <c r="C182" s="47"/>
      <c r="E182" s="53"/>
      <c r="F182" s="47"/>
      <c r="G182" s="47"/>
      <c r="H182" s="47"/>
      <c r="I182" s="47"/>
      <c r="J182" s="47"/>
      <c r="K182" s="47"/>
      <c r="L182" s="47"/>
      <c r="M182" s="47"/>
      <c r="N182" s="91"/>
      <c r="O182" s="47"/>
      <c r="P182" s="47"/>
      <c r="Q182" s="47"/>
      <c r="R182" s="47"/>
      <c r="S182" s="47"/>
      <c r="T182" s="47"/>
      <c r="U182" s="47"/>
      <c r="V182" s="47"/>
      <c r="W182" s="47"/>
    </row>
    <row r="183" spans="1:23" x14ac:dyDescent="0.3">
      <c r="A183" s="47"/>
      <c r="B183" s="109"/>
      <c r="C183" s="47"/>
      <c r="E183" s="53"/>
      <c r="F183" s="47"/>
      <c r="G183" s="47"/>
      <c r="H183" s="47"/>
      <c r="I183" s="47"/>
      <c r="J183" s="47"/>
      <c r="K183" s="47"/>
      <c r="L183" s="47"/>
      <c r="M183" s="47"/>
      <c r="N183" s="91"/>
      <c r="O183" s="47"/>
      <c r="P183" s="47"/>
      <c r="Q183" s="47"/>
      <c r="R183" s="47"/>
      <c r="S183" s="47"/>
      <c r="T183" s="47"/>
      <c r="U183" s="47"/>
      <c r="V183" s="47"/>
      <c r="W183" s="47"/>
    </row>
    <row r="184" spans="1:23" x14ac:dyDescent="0.3">
      <c r="A184" s="47"/>
      <c r="B184" s="109"/>
      <c r="C184" s="47"/>
      <c r="E184" s="53"/>
      <c r="F184" s="47"/>
      <c r="G184" s="47"/>
      <c r="H184" s="47"/>
      <c r="I184" s="47"/>
      <c r="J184" s="47"/>
      <c r="K184" s="47"/>
      <c r="L184" s="47"/>
      <c r="M184" s="47"/>
      <c r="N184" s="91"/>
      <c r="O184" s="47"/>
      <c r="P184" s="47"/>
      <c r="Q184" s="47"/>
      <c r="R184" s="47"/>
      <c r="S184" s="47"/>
      <c r="T184" s="47"/>
      <c r="U184" s="47"/>
      <c r="V184" s="47"/>
      <c r="W184" s="47"/>
    </row>
    <row r="185" spans="1:23" x14ac:dyDescent="0.3">
      <c r="A185" s="47"/>
      <c r="B185" s="109"/>
      <c r="C185" s="47"/>
      <c r="E185" s="53"/>
      <c r="F185" s="47"/>
      <c r="G185" s="47"/>
      <c r="H185" s="47"/>
      <c r="I185" s="47"/>
      <c r="J185" s="47"/>
      <c r="K185" s="47"/>
      <c r="L185" s="47"/>
      <c r="M185" s="47"/>
      <c r="N185" s="91"/>
      <c r="O185" s="47"/>
      <c r="P185" s="47"/>
      <c r="Q185" s="47"/>
      <c r="R185" s="47"/>
      <c r="S185" s="47"/>
      <c r="T185" s="47"/>
      <c r="U185" s="47"/>
      <c r="V185" s="47"/>
      <c r="W185" s="47"/>
    </row>
    <row r="186" spans="1:23" x14ac:dyDescent="0.3">
      <c r="A186" s="47"/>
      <c r="B186" s="109"/>
      <c r="C186" s="47"/>
      <c r="E186" s="53"/>
      <c r="F186" s="47"/>
      <c r="G186" s="47"/>
      <c r="H186" s="47"/>
      <c r="I186" s="47"/>
      <c r="J186" s="47"/>
      <c r="K186" s="47"/>
      <c r="L186" s="47"/>
      <c r="M186" s="47"/>
      <c r="N186" s="91"/>
      <c r="O186" s="47"/>
      <c r="P186" s="47"/>
      <c r="Q186" s="47"/>
      <c r="R186" s="47"/>
      <c r="S186" s="47"/>
      <c r="T186" s="47"/>
      <c r="U186" s="47"/>
      <c r="V186" s="47"/>
      <c r="W186" s="47"/>
    </row>
    <row r="187" spans="1:23" x14ac:dyDescent="0.3">
      <c r="A187" s="47"/>
      <c r="B187" s="109"/>
      <c r="C187" s="47"/>
      <c r="E187" s="53"/>
      <c r="F187" s="47"/>
      <c r="G187" s="47"/>
      <c r="H187" s="47"/>
      <c r="I187" s="47"/>
      <c r="J187" s="47"/>
      <c r="K187" s="47"/>
      <c r="L187" s="47"/>
      <c r="M187" s="47"/>
      <c r="N187" s="91"/>
      <c r="O187" s="47"/>
      <c r="P187" s="47"/>
      <c r="Q187" s="47"/>
      <c r="R187" s="47"/>
      <c r="S187" s="47"/>
      <c r="T187" s="47"/>
      <c r="U187" s="47"/>
      <c r="V187" s="47"/>
      <c r="W187" s="47"/>
    </row>
    <row r="188" spans="1:23" x14ac:dyDescent="0.3">
      <c r="A188" s="47"/>
      <c r="B188" s="109"/>
      <c r="C188" s="47"/>
      <c r="E188" s="53"/>
      <c r="F188" s="47"/>
      <c r="G188" s="47"/>
      <c r="H188" s="47"/>
      <c r="I188" s="47"/>
      <c r="J188" s="47"/>
      <c r="K188" s="47"/>
      <c r="L188" s="47"/>
      <c r="M188" s="47"/>
      <c r="N188" s="91"/>
      <c r="O188" s="47"/>
      <c r="P188" s="47"/>
      <c r="Q188" s="47"/>
      <c r="R188" s="47"/>
      <c r="S188" s="47"/>
      <c r="T188" s="47"/>
      <c r="U188" s="47"/>
      <c r="V188" s="47"/>
      <c r="W188" s="47"/>
    </row>
    <row r="189" spans="1:23" x14ac:dyDescent="0.3">
      <c r="A189" s="47"/>
      <c r="B189" s="109"/>
      <c r="C189" s="47"/>
      <c r="E189" s="53"/>
      <c r="F189" s="47"/>
      <c r="G189" s="47"/>
      <c r="H189" s="47"/>
      <c r="I189" s="47"/>
      <c r="J189" s="47"/>
      <c r="K189" s="47"/>
      <c r="L189" s="47"/>
      <c r="M189" s="47"/>
      <c r="N189" s="91"/>
      <c r="O189" s="47"/>
      <c r="P189" s="47"/>
      <c r="Q189" s="47"/>
      <c r="R189" s="47"/>
      <c r="S189" s="47"/>
      <c r="T189" s="47"/>
      <c r="U189" s="47"/>
      <c r="V189" s="47"/>
      <c r="W189" s="47"/>
    </row>
    <row r="190" spans="1:23" x14ac:dyDescent="0.3">
      <c r="A190" s="47"/>
      <c r="B190" s="109"/>
      <c r="C190" s="47"/>
      <c r="E190" s="53"/>
      <c r="F190" s="47"/>
      <c r="G190" s="47"/>
      <c r="H190" s="47"/>
      <c r="I190" s="47"/>
      <c r="J190" s="47"/>
      <c r="K190" s="47"/>
      <c r="L190" s="47"/>
      <c r="M190" s="47"/>
      <c r="N190" s="91"/>
      <c r="O190" s="47"/>
      <c r="P190" s="47"/>
      <c r="Q190" s="47"/>
      <c r="R190" s="47"/>
      <c r="S190" s="47"/>
      <c r="T190" s="47"/>
      <c r="U190" s="47"/>
      <c r="V190" s="47"/>
      <c r="W190" s="47"/>
    </row>
    <row r="191" spans="1:23" x14ac:dyDescent="0.3">
      <c r="A191" s="47"/>
      <c r="B191" s="109"/>
      <c r="C191" s="47"/>
      <c r="E191" s="53"/>
      <c r="F191" s="47"/>
      <c r="G191" s="47"/>
      <c r="H191" s="47"/>
      <c r="I191" s="47"/>
      <c r="J191" s="47"/>
      <c r="K191" s="47"/>
      <c r="L191" s="47"/>
      <c r="M191" s="47"/>
      <c r="N191" s="91"/>
      <c r="O191" s="47"/>
      <c r="P191" s="47"/>
      <c r="Q191" s="47"/>
      <c r="R191" s="47"/>
      <c r="S191" s="47"/>
      <c r="T191" s="47"/>
      <c r="U191" s="47"/>
      <c r="V191" s="47"/>
      <c r="W191" s="47"/>
    </row>
    <row r="192" spans="1:23" x14ac:dyDescent="0.3">
      <c r="A192" s="47"/>
      <c r="B192" s="109"/>
      <c r="C192" s="47"/>
      <c r="E192" s="53"/>
      <c r="F192" s="47"/>
      <c r="G192" s="47"/>
      <c r="H192" s="47"/>
      <c r="I192" s="47"/>
      <c r="J192" s="47"/>
      <c r="K192" s="47"/>
      <c r="L192" s="47"/>
      <c r="M192" s="47"/>
      <c r="N192" s="91"/>
      <c r="O192" s="47"/>
      <c r="P192" s="47"/>
      <c r="Q192" s="47"/>
      <c r="R192" s="47"/>
      <c r="S192" s="47"/>
      <c r="T192" s="47"/>
      <c r="U192" s="47"/>
      <c r="V192" s="47"/>
      <c r="W192" s="47"/>
    </row>
    <row r="193" spans="1:23" x14ac:dyDescent="0.3">
      <c r="A193" s="47"/>
      <c r="B193" s="109"/>
      <c r="C193" s="47"/>
      <c r="E193" s="53"/>
      <c r="F193" s="47"/>
      <c r="G193" s="47"/>
      <c r="H193" s="47"/>
      <c r="I193" s="47"/>
      <c r="J193" s="47"/>
      <c r="K193" s="47"/>
      <c r="L193" s="47"/>
      <c r="M193" s="47"/>
      <c r="N193" s="91"/>
      <c r="O193" s="47"/>
      <c r="P193" s="47"/>
      <c r="Q193" s="47"/>
      <c r="R193" s="47"/>
      <c r="S193" s="47"/>
      <c r="T193" s="47"/>
      <c r="U193" s="47"/>
      <c r="V193" s="47"/>
      <c r="W193" s="47"/>
    </row>
    <row r="194" spans="1:23" x14ac:dyDescent="0.3">
      <c r="A194" s="47"/>
      <c r="B194" s="109"/>
      <c r="C194" s="47"/>
      <c r="E194" s="53"/>
      <c r="F194" s="47"/>
      <c r="G194" s="47"/>
      <c r="H194" s="47"/>
      <c r="I194" s="47"/>
      <c r="J194" s="47"/>
      <c r="K194" s="47"/>
      <c r="L194" s="47"/>
      <c r="M194" s="47"/>
      <c r="N194" s="91"/>
      <c r="O194" s="47"/>
      <c r="P194" s="47"/>
      <c r="Q194" s="47"/>
      <c r="R194" s="47"/>
      <c r="S194" s="47"/>
      <c r="T194" s="47"/>
      <c r="U194" s="47"/>
      <c r="V194" s="47"/>
      <c r="W194" s="47"/>
    </row>
    <row r="195" spans="1:23" x14ac:dyDescent="0.3">
      <c r="A195" s="47"/>
      <c r="B195" s="109"/>
      <c r="C195" s="47"/>
      <c r="E195" s="53"/>
      <c r="F195" s="47"/>
      <c r="G195" s="47"/>
      <c r="H195" s="47"/>
      <c r="I195" s="47"/>
      <c r="J195" s="47"/>
      <c r="K195" s="47"/>
      <c r="L195" s="47"/>
      <c r="M195" s="47"/>
      <c r="N195" s="91"/>
      <c r="O195" s="47"/>
      <c r="P195" s="47"/>
      <c r="Q195" s="47"/>
      <c r="R195" s="47"/>
      <c r="S195" s="47"/>
      <c r="T195" s="47"/>
      <c r="U195" s="47"/>
      <c r="V195" s="47"/>
      <c r="W195" s="47"/>
    </row>
    <row r="196" spans="1:23" x14ac:dyDescent="0.3">
      <c r="A196" s="47"/>
      <c r="B196" s="109"/>
      <c r="C196" s="47"/>
      <c r="E196" s="53"/>
      <c r="F196" s="47"/>
      <c r="G196" s="47"/>
      <c r="H196" s="47"/>
      <c r="I196" s="47"/>
      <c r="J196" s="47"/>
      <c r="K196" s="47"/>
      <c r="L196" s="47"/>
      <c r="M196" s="47"/>
      <c r="N196" s="91"/>
      <c r="O196" s="47"/>
      <c r="P196" s="47"/>
      <c r="Q196" s="47"/>
      <c r="R196" s="47"/>
      <c r="S196" s="47"/>
      <c r="T196" s="47"/>
      <c r="U196" s="47"/>
      <c r="V196" s="47"/>
      <c r="W196" s="47"/>
    </row>
    <row r="197" spans="1:23" x14ac:dyDescent="0.3">
      <c r="A197" s="47"/>
      <c r="B197" s="109"/>
      <c r="C197" s="47"/>
      <c r="E197" s="53"/>
      <c r="F197" s="47"/>
      <c r="G197" s="47"/>
      <c r="H197" s="47"/>
      <c r="I197" s="47"/>
      <c r="J197" s="47"/>
      <c r="K197" s="47"/>
      <c r="L197" s="47"/>
      <c r="M197" s="47"/>
      <c r="N197" s="91"/>
      <c r="O197" s="47"/>
      <c r="P197" s="47"/>
      <c r="Q197" s="47"/>
      <c r="R197" s="47"/>
      <c r="S197" s="47"/>
      <c r="T197" s="47"/>
      <c r="U197" s="47"/>
      <c r="V197" s="47"/>
      <c r="W197" s="47"/>
    </row>
    <row r="198" spans="1:23" x14ac:dyDescent="0.3">
      <c r="A198" s="47"/>
      <c r="B198" s="109"/>
      <c r="C198" s="47"/>
      <c r="E198" s="53"/>
      <c r="F198" s="47"/>
      <c r="G198" s="47"/>
      <c r="H198" s="47"/>
      <c r="I198" s="47"/>
      <c r="J198" s="47"/>
      <c r="K198" s="47"/>
      <c r="L198" s="47"/>
      <c r="M198" s="47"/>
      <c r="N198" s="91"/>
      <c r="O198" s="47"/>
      <c r="P198" s="47"/>
      <c r="Q198" s="47"/>
      <c r="R198" s="47"/>
      <c r="S198" s="47"/>
      <c r="T198" s="47"/>
      <c r="U198" s="47"/>
      <c r="V198" s="47"/>
      <c r="W198" s="47"/>
    </row>
    <row r="199" spans="1:23" x14ac:dyDescent="0.3">
      <c r="A199" s="47"/>
      <c r="B199" s="109"/>
      <c r="C199" s="47"/>
      <c r="E199" s="53"/>
      <c r="F199" s="47"/>
      <c r="G199" s="47"/>
      <c r="H199" s="47"/>
      <c r="I199" s="47"/>
      <c r="J199" s="47"/>
      <c r="K199" s="47"/>
      <c r="L199" s="47"/>
      <c r="M199" s="47"/>
      <c r="N199" s="91"/>
      <c r="O199" s="47"/>
      <c r="P199" s="47"/>
      <c r="Q199" s="47"/>
      <c r="R199" s="47"/>
      <c r="S199" s="47"/>
      <c r="T199" s="47"/>
      <c r="U199" s="47"/>
      <c r="V199" s="47"/>
      <c r="W199" s="47"/>
    </row>
    <row r="200" spans="1:23" x14ac:dyDescent="0.3">
      <c r="A200" s="47"/>
      <c r="B200" s="109"/>
      <c r="C200" s="47"/>
      <c r="E200" s="53"/>
      <c r="F200" s="47"/>
      <c r="G200" s="47"/>
      <c r="H200" s="47"/>
      <c r="I200" s="47"/>
      <c r="J200" s="47"/>
      <c r="K200" s="47"/>
      <c r="L200" s="47"/>
      <c r="M200" s="47"/>
      <c r="N200" s="91"/>
      <c r="O200" s="47"/>
      <c r="P200" s="47"/>
      <c r="Q200" s="47"/>
      <c r="R200" s="47"/>
      <c r="S200" s="47"/>
      <c r="T200" s="47"/>
      <c r="U200" s="47"/>
      <c r="V200" s="47"/>
      <c r="W200" s="47"/>
    </row>
    <row r="201" spans="1:23" x14ac:dyDescent="0.3">
      <c r="A201" s="47"/>
      <c r="B201" s="109"/>
      <c r="C201" s="47"/>
      <c r="E201" s="53"/>
      <c r="F201" s="47"/>
      <c r="G201" s="47"/>
      <c r="H201" s="47"/>
      <c r="I201" s="47"/>
      <c r="J201" s="47"/>
      <c r="K201" s="47"/>
      <c r="L201" s="47"/>
      <c r="M201" s="47"/>
      <c r="N201" s="91"/>
      <c r="O201" s="47"/>
      <c r="P201" s="47"/>
      <c r="Q201" s="47"/>
      <c r="R201" s="47"/>
      <c r="S201" s="47"/>
      <c r="T201" s="47"/>
      <c r="U201" s="47"/>
      <c r="V201" s="47"/>
      <c r="W201" s="47"/>
    </row>
    <row r="202" spans="1:23" x14ac:dyDescent="0.3">
      <c r="A202" s="47"/>
      <c r="B202" s="109"/>
      <c r="C202" s="47"/>
      <c r="E202" s="53"/>
      <c r="F202" s="47"/>
      <c r="G202" s="47"/>
      <c r="H202" s="47"/>
      <c r="I202" s="47"/>
      <c r="J202" s="47"/>
      <c r="K202" s="47"/>
      <c r="L202" s="47"/>
      <c r="M202" s="47"/>
      <c r="N202" s="91"/>
      <c r="O202" s="47"/>
      <c r="P202" s="47"/>
      <c r="Q202" s="47"/>
      <c r="R202" s="47"/>
      <c r="S202" s="47"/>
      <c r="T202" s="47"/>
      <c r="U202" s="47"/>
      <c r="V202" s="47"/>
      <c r="W202" s="47"/>
    </row>
    <row r="203" spans="1:23" x14ac:dyDescent="0.3">
      <c r="A203" s="47"/>
      <c r="B203" s="109"/>
      <c r="C203" s="47"/>
      <c r="E203" s="53"/>
      <c r="F203" s="47"/>
      <c r="G203" s="47"/>
      <c r="H203" s="47"/>
      <c r="I203" s="47"/>
      <c r="J203" s="47"/>
      <c r="K203" s="47"/>
      <c r="L203" s="47"/>
      <c r="M203" s="47"/>
      <c r="N203" s="91"/>
      <c r="O203" s="47"/>
      <c r="P203" s="47"/>
      <c r="Q203" s="47"/>
      <c r="R203" s="47"/>
      <c r="S203" s="47"/>
      <c r="T203" s="47"/>
      <c r="U203" s="47"/>
      <c r="V203" s="47"/>
      <c r="W203" s="47"/>
    </row>
    <row r="204" spans="1:23" x14ac:dyDescent="0.3">
      <c r="A204" s="47"/>
      <c r="B204" s="109"/>
      <c r="C204" s="47"/>
      <c r="E204" s="53"/>
      <c r="F204" s="47"/>
      <c r="G204" s="47"/>
      <c r="H204" s="47"/>
      <c r="I204" s="47"/>
      <c r="J204" s="47"/>
      <c r="K204" s="47"/>
      <c r="L204" s="47"/>
      <c r="M204" s="47"/>
      <c r="N204" s="91"/>
      <c r="O204" s="47"/>
      <c r="P204" s="47"/>
      <c r="Q204" s="47"/>
      <c r="R204" s="47"/>
      <c r="S204" s="47"/>
      <c r="T204" s="47"/>
      <c r="U204" s="47"/>
      <c r="V204" s="47"/>
      <c r="W204" s="47"/>
    </row>
    <row r="205" spans="1:23" x14ac:dyDescent="0.3">
      <c r="A205" s="47"/>
      <c r="B205" s="109"/>
      <c r="C205" s="47"/>
      <c r="E205" s="53"/>
      <c r="F205" s="47"/>
      <c r="G205" s="47"/>
      <c r="H205" s="47"/>
      <c r="I205" s="47"/>
      <c r="J205" s="47"/>
      <c r="K205" s="47"/>
      <c r="L205" s="47"/>
      <c r="M205" s="47"/>
      <c r="N205" s="91"/>
      <c r="O205" s="47"/>
      <c r="P205" s="47"/>
      <c r="Q205" s="47"/>
      <c r="R205" s="47"/>
      <c r="S205" s="47"/>
      <c r="T205" s="47"/>
      <c r="U205" s="47"/>
      <c r="V205" s="47"/>
      <c r="W205" s="47"/>
    </row>
    <row r="206" spans="1:23" x14ac:dyDescent="0.3">
      <c r="A206" s="47"/>
      <c r="B206" s="109"/>
      <c r="C206" s="47"/>
      <c r="E206" s="53"/>
      <c r="F206" s="47"/>
      <c r="G206" s="47"/>
      <c r="H206" s="47"/>
      <c r="I206" s="47"/>
      <c r="J206" s="47"/>
      <c r="K206" s="47"/>
      <c r="L206" s="47"/>
      <c r="M206" s="47"/>
      <c r="N206" s="91"/>
      <c r="O206" s="47"/>
      <c r="P206" s="47"/>
      <c r="Q206" s="47"/>
      <c r="R206" s="47"/>
      <c r="S206" s="47"/>
      <c r="T206" s="47"/>
      <c r="U206" s="47"/>
      <c r="V206" s="47"/>
      <c r="W206" s="47"/>
    </row>
    <row r="207" spans="1:23" x14ac:dyDescent="0.3">
      <c r="A207" s="47"/>
      <c r="B207" s="109"/>
      <c r="C207" s="47"/>
      <c r="E207" s="53"/>
      <c r="F207" s="47"/>
      <c r="G207" s="47"/>
      <c r="H207" s="47"/>
      <c r="I207" s="47"/>
      <c r="J207" s="47"/>
      <c r="K207" s="47"/>
      <c r="L207" s="47"/>
      <c r="M207" s="47"/>
      <c r="N207" s="91"/>
      <c r="O207" s="47"/>
      <c r="P207" s="47"/>
      <c r="Q207" s="47"/>
      <c r="R207" s="47"/>
      <c r="S207" s="47"/>
      <c r="T207" s="47"/>
      <c r="U207" s="47"/>
      <c r="V207" s="47"/>
      <c r="W207" s="47"/>
    </row>
    <row r="208" spans="1:23" x14ac:dyDescent="0.3">
      <c r="A208" s="47"/>
      <c r="B208" s="109"/>
      <c r="C208" s="47"/>
      <c r="E208" s="53"/>
      <c r="F208" s="47"/>
      <c r="G208" s="47"/>
      <c r="H208" s="47"/>
      <c r="I208" s="47"/>
      <c r="J208" s="47"/>
      <c r="K208" s="47"/>
      <c r="L208" s="47"/>
      <c r="M208" s="47"/>
      <c r="N208" s="91"/>
      <c r="O208" s="47"/>
      <c r="P208" s="47"/>
      <c r="Q208" s="47"/>
      <c r="R208" s="47"/>
      <c r="S208" s="47"/>
      <c r="T208" s="47"/>
      <c r="U208" s="47"/>
      <c r="V208" s="47"/>
      <c r="W208" s="47"/>
    </row>
    <row r="209" spans="1:23" x14ac:dyDescent="0.3">
      <c r="A209" s="47"/>
      <c r="B209" s="109"/>
      <c r="C209" s="47"/>
      <c r="E209" s="53"/>
      <c r="F209" s="47"/>
      <c r="G209" s="47"/>
      <c r="H209" s="47"/>
      <c r="I209" s="47"/>
      <c r="J209" s="47"/>
      <c r="K209" s="47"/>
      <c r="L209" s="47"/>
      <c r="M209" s="47"/>
      <c r="N209" s="91"/>
      <c r="O209" s="47"/>
      <c r="P209" s="47"/>
      <c r="Q209" s="47"/>
      <c r="R209" s="47"/>
      <c r="S209" s="47"/>
      <c r="T209" s="47"/>
      <c r="U209" s="47"/>
      <c r="V209" s="47"/>
      <c r="W209" s="47"/>
    </row>
    <row r="210" spans="1:23" x14ac:dyDescent="0.3">
      <c r="A210" s="47"/>
      <c r="B210" s="109"/>
      <c r="C210" s="47"/>
      <c r="E210" s="53"/>
      <c r="F210" s="47"/>
      <c r="G210" s="47"/>
      <c r="H210" s="47"/>
      <c r="I210" s="47"/>
      <c r="J210" s="47"/>
      <c r="K210" s="47"/>
      <c r="L210" s="47"/>
      <c r="M210" s="47"/>
      <c r="N210" s="91"/>
      <c r="O210" s="47"/>
      <c r="P210" s="47"/>
      <c r="Q210" s="47"/>
      <c r="R210" s="47"/>
      <c r="S210" s="47"/>
      <c r="T210" s="47"/>
      <c r="U210" s="47"/>
      <c r="V210" s="47"/>
      <c r="W210" s="47"/>
    </row>
    <row r="211" spans="1:23" x14ac:dyDescent="0.3">
      <c r="A211" s="47"/>
      <c r="B211" s="109"/>
      <c r="C211" s="47"/>
      <c r="E211" s="53"/>
      <c r="F211" s="47"/>
      <c r="G211" s="47"/>
      <c r="H211" s="47"/>
      <c r="I211" s="47"/>
      <c r="J211" s="47"/>
      <c r="K211" s="47"/>
      <c r="L211" s="47"/>
      <c r="M211" s="47"/>
      <c r="N211" s="91"/>
      <c r="O211" s="47"/>
      <c r="P211" s="47"/>
      <c r="Q211" s="47"/>
      <c r="R211" s="47"/>
      <c r="S211" s="47"/>
      <c r="T211" s="47"/>
      <c r="U211" s="47"/>
      <c r="V211" s="47"/>
      <c r="W211" s="47"/>
    </row>
    <row r="212" spans="1:23" x14ac:dyDescent="0.3">
      <c r="A212" s="47"/>
      <c r="B212" s="109"/>
      <c r="C212" s="47"/>
      <c r="E212" s="53"/>
      <c r="F212" s="47"/>
      <c r="G212" s="47"/>
      <c r="H212" s="47"/>
      <c r="I212" s="47"/>
      <c r="J212" s="47"/>
      <c r="K212" s="47"/>
      <c r="L212" s="47"/>
      <c r="M212" s="47"/>
      <c r="N212" s="91"/>
      <c r="O212" s="47"/>
      <c r="P212" s="47"/>
      <c r="Q212" s="47"/>
      <c r="R212" s="47"/>
      <c r="S212" s="47"/>
      <c r="T212" s="47"/>
      <c r="U212" s="47"/>
      <c r="V212" s="47"/>
      <c r="W212" s="47"/>
    </row>
    <row r="213" spans="1:23" x14ac:dyDescent="0.3">
      <c r="A213" s="47"/>
      <c r="B213" s="109"/>
      <c r="C213" s="47"/>
      <c r="E213" s="53"/>
      <c r="F213" s="47"/>
      <c r="G213" s="47"/>
      <c r="H213" s="47"/>
      <c r="I213" s="47"/>
      <c r="J213" s="47"/>
      <c r="K213" s="47"/>
      <c r="L213" s="47"/>
      <c r="M213" s="47"/>
      <c r="N213" s="91"/>
      <c r="O213" s="47"/>
      <c r="P213" s="47"/>
      <c r="Q213" s="47"/>
      <c r="R213" s="47"/>
      <c r="S213" s="47"/>
      <c r="T213" s="47"/>
      <c r="U213" s="47"/>
      <c r="V213" s="47"/>
      <c r="W213" s="47"/>
    </row>
    <row r="214" spans="1:23" x14ac:dyDescent="0.3">
      <c r="A214" s="47"/>
      <c r="B214" s="109"/>
      <c r="C214" s="47"/>
      <c r="E214" s="53"/>
      <c r="F214" s="47"/>
      <c r="G214" s="47"/>
      <c r="H214" s="47"/>
      <c r="I214" s="47"/>
      <c r="J214" s="47"/>
      <c r="K214" s="47"/>
      <c r="L214" s="47"/>
      <c r="M214" s="47"/>
      <c r="N214" s="91"/>
      <c r="O214" s="47"/>
      <c r="P214" s="47"/>
      <c r="Q214" s="47"/>
      <c r="R214" s="47"/>
      <c r="S214" s="47"/>
      <c r="T214" s="47"/>
      <c r="U214" s="47"/>
      <c r="V214" s="47"/>
      <c r="W214" s="47"/>
    </row>
    <row r="215" spans="1:23" x14ac:dyDescent="0.3">
      <c r="A215" s="47"/>
      <c r="B215" s="109"/>
      <c r="C215" s="47"/>
      <c r="E215" s="53"/>
      <c r="F215" s="47"/>
      <c r="G215" s="47"/>
      <c r="H215" s="47"/>
      <c r="I215" s="47"/>
      <c r="J215" s="47"/>
      <c r="K215" s="47"/>
      <c r="L215" s="47"/>
      <c r="M215" s="47"/>
      <c r="N215" s="91"/>
      <c r="O215" s="47"/>
      <c r="P215" s="47"/>
      <c r="Q215" s="47"/>
      <c r="R215" s="47"/>
      <c r="S215" s="47"/>
      <c r="T215" s="47"/>
      <c r="U215" s="47"/>
      <c r="V215" s="47"/>
      <c r="W215" s="47"/>
    </row>
    <row r="216" spans="1:23" x14ac:dyDescent="0.3">
      <c r="A216" s="47"/>
      <c r="B216" s="109"/>
      <c r="C216" s="47"/>
      <c r="E216" s="53"/>
      <c r="F216" s="47"/>
      <c r="G216" s="47"/>
      <c r="H216" s="47"/>
      <c r="I216" s="47"/>
      <c r="J216" s="47"/>
      <c r="K216" s="47"/>
      <c r="L216" s="47"/>
      <c r="M216" s="47"/>
      <c r="N216" s="91"/>
      <c r="O216" s="47"/>
      <c r="P216" s="47"/>
      <c r="Q216" s="47"/>
      <c r="R216" s="47"/>
      <c r="S216" s="47"/>
      <c r="T216" s="47"/>
      <c r="U216" s="47"/>
      <c r="V216" s="47"/>
      <c r="W216" s="47"/>
    </row>
    <row r="217" spans="1:23" x14ac:dyDescent="0.3">
      <c r="A217" s="47"/>
      <c r="B217" s="109"/>
      <c r="C217" s="47"/>
      <c r="E217" s="53"/>
      <c r="F217" s="47"/>
      <c r="G217" s="47"/>
      <c r="H217" s="47"/>
      <c r="I217" s="47"/>
      <c r="J217" s="47"/>
      <c r="K217" s="47"/>
      <c r="L217" s="47"/>
      <c r="M217" s="47"/>
      <c r="N217" s="91"/>
      <c r="O217" s="47"/>
      <c r="P217" s="47"/>
      <c r="Q217" s="47"/>
      <c r="R217" s="47"/>
      <c r="S217" s="47"/>
      <c r="T217" s="47"/>
      <c r="U217" s="47"/>
      <c r="V217" s="47"/>
      <c r="W217" s="47"/>
    </row>
    <row r="218" spans="1:23" x14ac:dyDescent="0.3">
      <c r="A218" s="47"/>
      <c r="B218" s="109"/>
      <c r="C218" s="47"/>
      <c r="E218" s="53"/>
      <c r="F218" s="47"/>
      <c r="G218" s="47"/>
      <c r="H218" s="47"/>
      <c r="I218" s="47"/>
      <c r="J218" s="47"/>
      <c r="K218" s="47"/>
      <c r="L218" s="47"/>
      <c r="M218" s="47"/>
      <c r="N218" s="91"/>
      <c r="O218" s="47"/>
      <c r="P218" s="47"/>
      <c r="Q218" s="47"/>
      <c r="R218" s="47"/>
      <c r="S218" s="47"/>
      <c r="T218" s="47"/>
      <c r="U218" s="47"/>
      <c r="V218" s="47"/>
      <c r="W218" s="47"/>
    </row>
    <row r="219" spans="1:23" x14ac:dyDescent="0.3">
      <c r="A219" s="47"/>
      <c r="B219" s="109"/>
      <c r="C219" s="47"/>
      <c r="E219" s="53"/>
      <c r="F219" s="47"/>
      <c r="G219" s="47"/>
      <c r="H219" s="47"/>
      <c r="I219" s="47"/>
      <c r="J219" s="47"/>
      <c r="K219" s="47"/>
      <c r="L219" s="47"/>
      <c r="M219" s="47"/>
      <c r="N219" s="91"/>
      <c r="O219" s="47"/>
      <c r="P219" s="47"/>
      <c r="Q219" s="47"/>
      <c r="R219" s="47"/>
      <c r="S219" s="47"/>
      <c r="T219" s="47"/>
      <c r="U219" s="47"/>
      <c r="V219" s="47"/>
      <c r="W219" s="47"/>
    </row>
    <row r="220" spans="1:23" x14ac:dyDescent="0.3">
      <c r="A220" s="47"/>
      <c r="B220" s="109"/>
      <c r="C220" s="47"/>
      <c r="E220" s="53"/>
      <c r="F220" s="47"/>
      <c r="G220" s="47"/>
      <c r="H220" s="47"/>
      <c r="I220" s="47"/>
      <c r="J220" s="47"/>
      <c r="K220" s="47"/>
      <c r="L220" s="47"/>
      <c r="M220" s="47"/>
      <c r="N220" s="91"/>
      <c r="O220" s="47"/>
      <c r="P220" s="47"/>
      <c r="Q220" s="47"/>
      <c r="R220" s="47"/>
      <c r="S220" s="47"/>
      <c r="T220" s="47"/>
      <c r="U220" s="47"/>
      <c r="V220" s="47"/>
      <c r="W220" s="47"/>
    </row>
    <row r="221" spans="1:23" x14ac:dyDescent="0.3">
      <c r="A221" s="47"/>
      <c r="B221" s="109"/>
      <c r="C221" s="47"/>
      <c r="E221" s="53"/>
      <c r="F221" s="47"/>
      <c r="G221" s="47"/>
      <c r="H221" s="47"/>
      <c r="I221" s="47"/>
      <c r="J221" s="47"/>
      <c r="K221" s="47"/>
      <c r="L221" s="47"/>
      <c r="M221" s="47"/>
      <c r="N221" s="91"/>
      <c r="O221" s="47"/>
      <c r="P221" s="47"/>
      <c r="Q221" s="47"/>
      <c r="R221" s="47"/>
      <c r="S221" s="47"/>
      <c r="T221" s="47"/>
      <c r="U221" s="47"/>
      <c r="V221" s="47"/>
      <c r="W221" s="47"/>
    </row>
    <row r="222" spans="1:23" x14ac:dyDescent="0.3">
      <c r="A222" s="47"/>
      <c r="B222" s="109"/>
      <c r="C222" s="47"/>
      <c r="E222" s="53"/>
      <c r="F222" s="47"/>
      <c r="G222" s="47"/>
      <c r="H222" s="47"/>
      <c r="I222" s="47"/>
      <c r="J222" s="47"/>
      <c r="K222" s="47"/>
      <c r="L222" s="47"/>
      <c r="M222" s="47"/>
      <c r="N222" s="91"/>
      <c r="O222" s="47"/>
      <c r="P222" s="47"/>
      <c r="Q222" s="47"/>
      <c r="R222" s="47"/>
      <c r="S222" s="47"/>
      <c r="T222" s="47"/>
      <c r="U222" s="47"/>
      <c r="V222" s="47"/>
      <c r="W222" s="47"/>
    </row>
    <row r="223" spans="1:23" x14ac:dyDescent="0.3">
      <c r="A223" s="47"/>
      <c r="B223" s="109"/>
      <c r="C223" s="47"/>
      <c r="E223" s="53"/>
      <c r="F223" s="47"/>
      <c r="G223" s="47"/>
      <c r="H223" s="47"/>
      <c r="I223" s="47"/>
      <c r="J223" s="47"/>
      <c r="K223" s="47"/>
      <c r="L223" s="47"/>
      <c r="M223" s="47"/>
      <c r="N223" s="91"/>
      <c r="O223" s="47"/>
      <c r="P223" s="47"/>
      <c r="Q223" s="47"/>
      <c r="R223" s="47"/>
      <c r="S223" s="47"/>
      <c r="T223" s="47"/>
      <c r="U223" s="47"/>
      <c r="V223" s="47"/>
      <c r="W223" s="47"/>
    </row>
    <row r="224" spans="1:23" x14ac:dyDescent="0.3">
      <c r="A224" s="47"/>
      <c r="B224" s="109"/>
      <c r="C224" s="47"/>
      <c r="E224" s="53"/>
      <c r="F224" s="47"/>
      <c r="G224" s="47"/>
      <c r="H224" s="47"/>
      <c r="I224" s="47"/>
      <c r="J224" s="47"/>
      <c r="K224" s="47"/>
      <c r="L224" s="47"/>
      <c r="M224" s="47"/>
      <c r="N224" s="91"/>
      <c r="O224" s="47"/>
      <c r="P224" s="47"/>
      <c r="Q224" s="47"/>
      <c r="R224" s="47"/>
      <c r="S224" s="47"/>
      <c r="T224" s="47"/>
      <c r="U224" s="47"/>
      <c r="V224" s="47"/>
      <c r="W224" s="47"/>
    </row>
    <row r="225" spans="1:23" x14ac:dyDescent="0.3">
      <c r="A225" s="47"/>
      <c r="B225" s="109"/>
      <c r="C225" s="47"/>
      <c r="E225" s="53"/>
      <c r="F225" s="47"/>
      <c r="G225" s="47"/>
      <c r="H225" s="47"/>
      <c r="I225" s="47"/>
      <c r="J225" s="47"/>
      <c r="K225" s="47"/>
      <c r="L225" s="47"/>
      <c r="M225" s="47"/>
      <c r="N225" s="91"/>
      <c r="O225" s="47"/>
      <c r="P225" s="47"/>
      <c r="Q225" s="47"/>
      <c r="R225" s="47"/>
      <c r="S225" s="47"/>
      <c r="T225" s="47"/>
      <c r="U225" s="47"/>
      <c r="V225" s="47"/>
      <c r="W225" s="47"/>
    </row>
    <row r="226" spans="1:23" x14ac:dyDescent="0.3">
      <c r="A226" s="47"/>
      <c r="B226" s="109"/>
      <c r="C226" s="47"/>
      <c r="E226" s="53"/>
      <c r="F226" s="47"/>
      <c r="G226" s="47"/>
      <c r="H226" s="47"/>
      <c r="I226" s="47"/>
      <c r="J226" s="47"/>
      <c r="K226" s="47"/>
      <c r="L226" s="47"/>
      <c r="M226" s="47"/>
      <c r="N226" s="91"/>
      <c r="O226" s="47"/>
      <c r="P226" s="47"/>
      <c r="Q226" s="47"/>
      <c r="R226" s="47"/>
      <c r="S226" s="47"/>
      <c r="T226" s="47"/>
      <c r="U226" s="47"/>
      <c r="V226" s="47"/>
      <c r="W226" s="47"/>
    </row>
    <row r="227" spans="1:23" x14ac:dyDescent="0.3">
      <c r="A227" s="47"/>
      <c r="B227" s="109"/>
      <c r="C227" s="47"/>
      <c r="E227" s="53"/>
      <c r="F227" s="47"/>
      <c r="G227" s="47"/>
      <c r="H227" s="47"/>
      <c r="I227" s="47"/>
      <c r="J227" s="47"/>
      <c r="K227" s="47"/>
      <c r="L227" s="47"/>
      <c r="M227" s="47"/>
      <c r="N227" s="91"/>
      <c r="O227" s="47"/>
      <c r="P227" s="47"/>
      <c r="Q227" s="47"/>
      <c r="R227" s="47"/>
      <c r="S227" s="47"/>
      <c r="T227" s="47"/>
      <c r="U227" s="47"/>
      <c r="V227" s="47"/>
      <c r="W227" s="47"/>
    </row>
    <row r="228" spans="1:23" x14ac:dyDescent="0.3">
      <c r="A228" s="47"/>
      <c r="B228" s="109"/>
      <c r="C228" s="47"/>
      <c r="E228" s="53"/>
      <c r="F228" s="47"/>
      <c r="G228" s="47"/>
      <c r="H228" s="47"/>
      <c r="I228" s="47"/>
      <c r="J228" s="47"/>
      <c r="K228" s="47"/>
      <c r="L228" s="47"/>
      <c r="M228" s="47"/>
      <c r="N228" s="91"/>
      <c r="O228" s="47"/>
      <c r="P228" s="47"/>
      <c r="Q228" s="47"/>
      <c r="R228" s="47"/>
      <c r="S228" s="47"/>
      <c r="T228" s="47"/>
      <c r="U228" s="47"/>
      <c r="V228" s="47"/>
      <c r="W228" s="47"/>
    </row>
    <row r="229" spans="1:23" x14ac:dyDescent="0.3">
      <c r="A229" s="47"/>
      <c r="B229" s="109"/>
      <c r="C229" s="47"/>
      <c r="E229" s="53"/>
      <c r="F229" s="47"/>
      <c r="G229" s="47"/>
      <c r="H229" s="47"/>
      <c r="I229" s="47"/>
      <c r="J229" s="47"/>
      <c r="K229" s="47"/>
      <c r="L229" s="47"/>
      <c r="M229" s="47"/>
      <c r="N229" s="91"/>
      <c r="O229" s="47"/>
      <c r="P229" s="47"/>
      <c r="Q229" s="47"/>
      <c r="R229" s="47"/>
      <c r="S229" s="47"/>
      <c r="T229" s="47"/>
      <c r="U229" s="47"/>
      <c r="V229" s="47"/>
      <c r="W229" s="47"/>
    </row>
    <row r="230" spans="1:23" x14ac:dyDescent="0.3">
      <c r="A230" s="47"/>
      <c r="B230" s="109"/>
      <c r="C230" s="47"/>
      <c r="E230" s="53"/>
      <c r="F230" s="47"/>
      <c r="G230" s="47"/>
      <c r="H230" s="47"/>
      <c r="I230" s="47"/>
      <c r="J230" s="47"/>
      <c r="K230" s="47"/>
      <c r="L230" s="47"/>
      <c r="M230" s="47"/>
      <c r="N230" s="91"/>
      <c r="O230" s="47"/>
      <c r="P230" s="47"/>
      <c r="Q230" s="47"/>
      <c r="R230" s="47"/>
      <c r="S230" s="47"/>
      <c r="T230" s="47"/>
      <c r="U230" s="47"/>
      <c r="V230" s="47"/>
      <c r="W230" s="47"/>
    </row>
    <row r="231" spans="1:23" x14ac:dyDescent="0.3">
      <c r="A231" s="47"/>
      <c r="B231" s="109"/>
      <c r="C231" s="47"/>
      <c r="E231" s="53"/>
      <c r="F231" s="47"/>
      <c r="G231" s="47"/>
      <c r="H231" s="47"/>
      <c r="I231" s="47"/>
      <c r="J231" s="47"/>
      <c r="K231" s="47"/>
      <c r="L231" s="47"/>
      <c r="M231" s="47"/>
      <c r="N231" s="91"/>
      <c r="O231" s="47"/>
      <c r="P231" s="47"/>
      <c r="Q231" s="47"/>
      <c r="R231" s="47"/>
      <c r="S231" s="47"/>
      <c r="T231" s="47"/>
      <c r="U231" s="47"/>
      <c r="V231" s="47"/>
      <c r="W231" s="47"/>
    </row>
    <row r="232" spans="1:23" x14ac:dyDescent="0.3">
      <c r="A232" s="47"/>
      <c r="B232" s="109"/>
      <c r="C232" s="47"/>
      <c r="E232" s="53"/>
      <c r="F232" s="47"/>
      <c r="G232" s="47"/>
      <c r="H232" s="47"/>
      <c r="I232" s="47"/>
      <c r="J232" s="47"/>
      <c r="K232" s="47"/>
      <c r="L232" s="47"/>
      <c r="M232" s="47"/>
      <c r="N232" s="91"/>
      <c r="O232" s="47"/>
      <c r="P232" s="47"/>
      <c r="Q232" s="47"/>
      <c r="R232" s="47"/>
      <c r="S232" s="47"/>
      <c r="T232" s="47"/>
      <c r="U232" s="47"/>
      <c r="V232" s="47"/>
      <c r="W232" s="47"/>
    </row>
    <row r="233" spans="1:23" x14ac:dyDescent="0.3">
      <c r="A233" s="47"/>
      <c r="B233" s="109"/>
      <c r="C233" s="47"/>
      <c r="E233" s="53"/>
      <c r="F233" s="47"/>
      <c r="G233" s="47"/>
      <c r="H233" s="47"/>
      <c r="I233" s="47"/>
      <c r="J233" s="47"/>
      <c r="K233" s="47"/>
      <c r="L233" s="47"/>
      <c r="M233" s="47"/>
      <c r="N233" s="91"/>
      <c r="O233" s="47"/>
      <c r="P233" s="47"/>
      <c r="Q233" s="47"/>
      <c r="R233" s="47"/>
      <c r="S233" s="47"/>
      <c r="T233" s="47"/>
      <c r="U233" s="47"/>
      <c r="V233" s="47"/>
      <c r="W233" s="47"/>
    </row>
    <row r="234" spans="1:23" x14ac:dyDescent="0.3">
      <c r="A234" s="47"/>
      <c r="B234" s="109"/>
      <c r="C234" s="47"/>
      <c r="E234" s="53"/>
      <c r="F234" s="47"/>
      <c r="G234" s="47"/>
      <c r="H234" s="47"/>
      <c r="I234" s="47"/>
      <c r="J234" s="47"/>
      <c r="K234" s="47"/>
      <c r="L234" s="47"/>
      <c r="M234" s="47"/>
      <c r="N234" s="91"/>
      <c r="O234" s="47"/>
      <c r="P234" s="47"/>
      <c r="Q234" s="47"/>
      <c r="R234" s="47"/>
      <c r="S234" s="47"/>
      <c r="T234" s="47"/>
      <c r="U234" s="47"/>
      <c r="V234" s="47"/>
      <c r="W234" s="47"/>
    </row>
    <row r="235" spans="1:23" x14ac:dyDescent="0.3">
      <c r="A235" s="47"/>
      <c r="B235" s="109"/>
      <c r="C235" s="47"/>
      <c r="E235" s="53"/>
      <c r="F235" s="47"/>
      <c r="G235" s="47"/>
      <c r="H235" s="47"/>
      <c r="I235" s="47"/>
      <c r="J235" s="47"/>
      <c r="K235" s="47"/>
      <c r="L235" s="47"/>
      <c r="M235" s="47"/>
      <c r="N235" s="91"/>
      <c r="O235" s="47"/>
      <c r="P235" s="47"/>
      <c r="Q235" s="47"/>
      <c r="R235" s="47"/>
      <c r="S235" s="47"/>
      <c r="T235" s="47"/>
      <c r="U235" s="47"/>
      <c r="V235" s="47"/>
      <c r="W235" s="47"/>
    </row>
    <row r="236" spans="1:23" x14ac:dyDescent="0.3">
      <c r="A236" s="47"/>
      <c r="B236" s="109"/>
      <c r="C236" s="47"/>
      <c r="E236" s="53"/>
      <c r="F236" s="47"/>
      <c r="G236" s="47"/>
      <c r="H236" s="47"/>
      <c r="I236" s="47"/>
      <c r="J236" s="47"/>
      <c r="K236" s="47"/>
      <c r="L236" s="47"/>
      <c r="M236" s="47"/>
      <c r="N236" s="91"/>
      <c r="O236" s="47"/>
      <c r="P236" s="47"/>
      <c r="Q236" s="47"/>
      <c r="R236" s="47"/>
      <c r="S236" s="47"/>
      <c r="T236" s="47"/>
      <c r="U236" s="47"/>
      <c r="V236" s="47"/>
      <c r="W236" s="47"/>
    </row>
    <row r="237" spans="1:23" x14ac:dyDescent="0.3">
      <c r="A237" s="47"/>
      <c r="B237" s="109"/>
      <c r="C237" s="47"/>
      <c r="E237" s="53"/>
      <c r="F237" s="47"/>
      <c r="G237" s="47"/>
      <c r="H237" s="47"/>
      <c r="I237" s="47"/>
      <c r="J237" s="47"/>
      <c r="K237" s="47"/>
      <c r="L237" s="47"/>
      <c r="M237" s="47"/>
      <c r="N237" s="91"/>
      <c r="O237" s="47"/>
      <c r="P237" s="47"/>
      <c r="Q237" s="47"/>
      <c r="R237" s="47"/>
      <c r="S237" s="47"/>
      <c r="T237" s="47"/>
      <c r="U237" s="47"/>
      <c r="V237" s="47"/>
      <c r="W237" s="47"/>
    </row>
    <row r="238" spans="1:23" x14ac:dyDescent="0.3">
      <c r="A238" s="47"/>
      <c r="B238" s="109"/>
      <c r="C238" s="47"/>
      <c r="E238" s="53"/>
      <c r="F238" s="47"/>
      <c r="G238" s="47"/>
      <c r="H238" s="47"/>
      <c r="I238" s="47"/>
      <c r="J238" s="47"/>
      <c r="K238" s="47"/>
      <c r="L238" s="47"/>
      <c r="M238" s="47"/>
      <c r="N238" s="91"/>
      <c r="O238" s="47"/>
      <c r="P238" s="47"/>
      <c r="Q238" s="47"/>
      <c r="R238" s="47"/>
      <c r="S238" s="47"/>
      <c r="T238" s="47"/>
      <c r="U238" s="47"/>
      <c r="V238" s="47"/>
      <c r="W238" s="47"/>
    </row>
    <row r="239" spans="1:23" x14ac:dyDescent="0.3">
      <c r="A239" s="47"/>
      <c r="B239" s="109"/>
      <c r="C239" s="47"/>
      <c r="E239" s="53"/>
      <c r="F239" s="47"/>
      <c r="G239" s="47"/>
      <c r="H239" s="47"/>
      <c r="I239" s="47"/>
      <c r="J239" s="47"/>
      <c r="K239" s="47"/>
      <c r="L239" s="47"/>
      <c r="M239" s="47"/>
      <c r="N239" s="91"/>
      <c r="O239" s="47"/>
      <c r="P239" s="47"/>
      <c r="Q239" s="47"/>
      <c r="R239" s="47"/>
      <c r="S239" s="47"/>
      <c r="T239" s="47"/>
      <c r="U239" s="47"/>
      <c r="V239" s="47"/>
      <c r="W239" s="47"/>
    </row>
    <row r="240" spans="1:23" x14ac:dyDescent="0.3">
      <c r="A240" s="47"/>
      <c r="B240" s="109"/>
      <c r="C240" s="47"/>
      <c r="E240" s="53"/>
      <c r="F240" s="47"/>
      <c r="G240" s="47"/>
      <c r="H240" s="47"/>
      <c r="I240" s="47"/>
      <c r="J240" s="47"/>
      <c r="K240" s="47"/>
      <c r="L240" s="47"/>
      <c r="M240" s="47"/>
      <c r="N240" s="91"/>
      <c r="O240" s="47"/>
      <c r="P240" s="47"/>
      <c r="Q240" s="47"/>
      <c r="R240" s="47"/>
      <c r="S240" s="47"/>
      <c r="T240" s="47"/>
      <c r="U240" s="47"/>
      <c r="V240" s="47"/>
      <c r="W240" s="47"/>
    </row>
    <row r="241" spans="1:23" x14ac:dyDescent="0.3">
      <c r="A241" s="47"/>
      <c r="B241" s="109"/>
      <c r="C241" s="47"/>
      <c r="E241" s="53"/>
      <c r="F241" s="47"/>
      <c r="G241" s="47"/>
      <c r="H241" s="47"/>
      <c r="I241" s="47"/>
      <c r="J241" s="47"/>
      <c r="K241" s="47"/>
      <c r="L241" s="47"/>
      <c r="M241" s="47"/>
      <c r="N241" s="91"/>
      <c r="O241" s="47"/>
      <c r="P241" s="47"/>
      <c r="Q241" s="47"/>
      <c r="R241" s="47"/>
      <c r="S241" s="47"/>
      <c r="T241" s="47"/>
      <c r="U241" s="47"/>
      <c r="V241" s="47"/>
      <c r="W241" s="47"/>
    </row>
    <row r="242" spans="1:23" x14ac:dyDescent="0.3">
      <c r="A242" s="47"/>
      <c r="B242" s="109"/>
      <c r="C242" s="47"/>
      <c r="E242" s="53"/>
      <c r="F242" s="47"/>
      <c r="G242" s="47"/>
      <c r="H242" s="47"/>
      <c r="I242" s="47"/>
      <c r="J242" s="47"/>
      <c r="K242" s="47"/>
      <c r="L242" s="47"/>
      <c r="M242" s="47"/>
      <c r="N242" s="91"/>
      <c r="O242" s="47"/>
      <c r="P242" s="47"/>
      <c r="Q242" s="47"/>
      <c r="R242" s="47"/>
      <c r="S242" s="47"/>
      <c r="T242" s="47"/>
      <c r="U242" s="47"/>
      <c r="V242" s="47"/>
      <c r="W242" s="47"/>
    </row>
    <row r="243" spans="1:23" x14ac:dyDescent="0.3">
      <c r="A243" s="47"/>
      <c r="B243" s="109"/>
      <c r="C243" s="47"/>
      <c r="E243" s="53"/>
      <c r="F243" s="47"/>
      <c r="G243" s="47"/>
      <c r="H243" s="47"/>
      <c r="I243" s="47"/>
      <c r="J243" s="47"/>
      <c r="K243" s="47"/>
      <c r="L243" s="47"/>
      <c r="M243" s="47"/>
      <c r="N243" s="91"/>
      <c r="O243" s="47"/>
      <c r="P243" s="47"/>
      <c r="Q243" s="47"/>
      <c r="R243" s="47"/>
      <c r="S243" s="47"/>
      <c r="T243" s="47"/>
      <c r="U243" s="47"/>
      <c r="V243" s="47"/>
      <c r="W243" s="47"/>
    </row>
    <row r="244" spans="1:23" x14ac:dyDescent="0.3">
      <c r="A244" s="47"/>
      <c r="B244" s="109"/>
      <c r="C244" s="47"/>
      <c r="E244" s="53"/>
      <c r="F244" s="47"/>
      <c r="G244" s="47"/>
      <c r="H244" s="47"/>
      <c r="I244" s="47"/>
      <c r="J244" s="47"/>
      <c r="K244" s="47"/>
      <c r="L244" s="47"/>
      <c r="M244" s="47"/>
      <c r="N244" s="91"/>
      <c r="O244" s="47"/>
      <c r="P244" s="47"/>
      <c r="Q244" s="47"/>
      <c r="R244" s="47"/>
      <c r="S244" s="47"/>
      <c r="T244" s="47"/>
      <c r="U244" s="47"/>
      <c r="V244" s="47"/>
      <c r="W244" s="47"/>
    </row>
    <row r="245" spans="1:23" x14ac:dyDescent="0.3">
      <c r="A245" s="47"/>
      <c r="B245" s="109"/>
      <c r="C245" s="47"/>
      <c r="E245" s="53"/>
      <c r="F245" s="47"/>
      <c r="G245" s="47"/>
      <c r="H245" s="47"/>
      <c r="I245" s="47"/>
      <c r="J245" s="47"/>
      <c r="K245" s="47"/>
      <c r="L245" s="47"/>
      <c r="M245" s="47"/>
      <c r="N245" s="91"/>
      <c r="O245" s="47"/>
      <c r="P245" s="47"/>
      <c r="Q245" s="47"/>
      <c r="R245" s="47"/>
      <c r="S245" s="47"/>
      <c r="T245" s="47"/>
      <c r="U245" s="47"/>
      <c r="V245" s="47"/>
      <c r="W245" s="47"/>
    </row>
    <row r="246" spans="1:23" x14ac:dyDescent="0.3">
      <c r="A246" s="47"/>
      <c r="B246" s="109"/>
      <c r="C246" s="47"/>
      <c r="E246" s="53"/>
      <c r="F246" s="47"/>
      <c r="G246" s="47"/>
      <c r="H246" s="47"/>
      <c r="I246" s="47"/>
      <c r="J246" s="47"/>
      <c r="K246" s="47"/>
      <c r="L246" s="47"/>
      <c r="M246" s="47"/>
      <c r="N246" s="91"/>
      <c r="O246" s="47"/>
      <c r="P246" s="47"/>
      <c r="Q246" s="47"/>
      <c r="R246" s="47"/>
      <c r="S246" s="47"/>
      <c r="T246" s="47"/>
      <c r="U246" s="47"/>
      <c r="V246" s="47"/>
      <c r="W246" s="47"/>
    </row>
    <row r="247" spans="1:23" x14ac:dyDescent="0.3">
      <c r="A247" s="47"/>
      <c r="B247" s="109"/>
      <c r="C247" s="47"/>
      <c r="E247" s="53"/>
      <c r="F247" s="47"/>
      <c r="G247" s="47"/>
      <c r="H247" s="47"/>
      <c r="I247" s="47"/>
      <c r="J247" s="47"/>
      <c r="K247" s="47"/>
      <c r="L247" s="47"/>
      <c r="M247" s="47"/>
      <c r="N247" s="91"/>
      <c r="O247" s="47"/>
      <c r="P247" s="47"/>
      <c r="Q247" s="47"/>
      <c r="R247" s="47"/>
      <c r="S247" s="47"/>
      <c r="T247" s="47"/>
      <c r="U247" s="47"/>
      <c r="V247" s="47"/>
      <c r="W247" s="47"/>
    </row>
    <row r="248" spans="1:23" x14ac:dyDescent="0.3">
      <c r="A248" s="47"/>
      <c r="B248" s="109"/>
      <c r="C248" s="47"/>
      <c r="E248" s="53"/>
      <c r="F248" s="47"/>
      <c r="G248" s="47"/>
      <c r="H248" s="47"/>
      <c r="I248" s="47"/>
      <c r="J248" s="47"/>
      <c r="K248" s="47"/>
      <c r="L248" s="47"/>
      <c r="M248" s="47"/>
      <c r="N248" s="91"/>
      <c r="O248" s="47"/>
      <c r="P248" s="47"/>
      <c r="Q248" s="47"/>
      <c r="R248" s="47"/>
      <c r="S248" s="47"/>
      <c r="T248" s="47"/>
      <c r="U248" s="47"/>
      <c r="V248" s="47"/>
      <c r="W248" s="47"/>
    </row>
    <row r="249" spans="1:23" x14ac:dyDescent="0.3">
      <c r="A249" s="47"/>
      <c r="B249" s="109"/>
      <c r="C249" s="47"/>
      <c r="E249" s="53"/>
      <c r="F249" s="47"/>
      <c r="G249" s="47"/>
      <c r="H249" s="47"/>
      <c r="I249" s="47"/>
      <c r="J249" s="47"/>
      <c r="K249" s="47"/>
      <c r="L249" s="47"/>
      <c r="M249" s="47"/>
      <c r="N249" s="91"/>
      <c r="O249" s="47"/>
      <c r="P249" s="47"/>
      <c r="Q249" s="47"/>
      <c r="R249" s="47"/>
      <c r="S249" s="47"/>
      <c r="T249" s="47"/>
      <c r="U249" s="47"/>
      <c r="V249" s="47"/>
      <c r="W249" s="47"/>
    </row>
    <row r="250" spans="1:23" x14ac:dyDescent="0.3">
      <c r="A250" s="47"/>
      <c r="B250" s="109"/>
      <c r="C250" s="47"/>
      <c r="E250" s="53"/>
      <c r="F250" s="47"/>
      <c r="G250" s="47"/>
      <c r="H250" s="47"/>
      <c r="I250" s="47"/>
      <c r="J250" s="47"/>
      <c r="K250" s="47"/>
      <c r="L250" s="47"/>
      <c r="M250" s="47"/>
      <c r="N250" s="91"/>
      <c r="O250" s="47"/>
      <c r="P250" s="47"/>
      <c r="Q250" s="47"/>
      <c r="R250" s="47"/>
      <c r="S250" s="47"/>
      <c r="T250" s="47"/>
      <c r="U250" s="47"/>
      <c r="V250" s="47"/>
      <c r="W250" s="47"/>
    </row>
    <row r="251" spans="1:23" x14ac:dyDescent="0.3">
      <c r="A251" s="47"/>
      <c r="B251" s="109"/>
      <c r="C251" s="47"/>
      <c r="E251" s="53"/>
      <c r="F251" s="47"/>
      <c r="G251" s="47"/>
      <c r="H251" s="47"/>
      <c r="I251" s="47"/>
      <c r="J251" s="47"/>
      <c r="K251" s="47"/>
      <c r="L251" s="47"/>
      <c r="M251" s="47"/>
      <c r="N251" s="91"/>
      <c r="O251" s="47"/>
      <c r="P251" s="47"/>
      <c r="Q251" s="47"/>
      <c r="R251" s="47"/>
      <c r="S251" s="47"/>
      <c r="T251" s="47"/>
      <c r="U251" s="47"/>
      <c r="V251" s="47"/>
      <c r="W251" s="47"/>
    </row>
    <row r="252" spans="1:23" x14ac:dyDescent="0.3">
      <c r="A252" s="47"/>
      <c r="B252" s="109"/>
      <c r="C252" s="47"/>
      <c r="E252" s="53"/>
      <c r="F252" s="47"/>
      <c r="G252" s="47"/>
      <c r="H252" s="47"/>
      <c r="I252" s="47"/>
      <c r="J252" s="47"/>
      <c r="K252" s="47"/>
      <c r="L252" s="47"/>
      <c r="M252" s="47"/>
      <c r="N252" s="91"/>
      <c r="O252" s="47"/>
      <c r="P252" s="47"/>
      <c r="Q252" s="47"/>
      <c r="R252" s="47"/>
      <c r="S252" s="47"/>
      <c r="T252" s="47"/>
      <c r="U252" s="47"/>
      <c r="V252" s="47"/>
      <c r="W252" s="47"/>
    </row>
    <row r="253" spans="1:23" x14ac:dyDescent="0.3">
      <c r="A253" s="47"/>
      <c r="B253" s="109"/>
      <c r="C253" s="47"/>
      <c r="E253" s="53"/>
      <c r="F253" s="47"/>
      <c r="G253" s="47"/>
      <c r="H253" s="47"/>
      <c r="I253" s="47"/>
      <c r="J253" s="47"/>
      <c r="K253" s="47"/>
      <c r="L253" s="47"/>
      <c r="M253" s="47"/>
      <c r="N253" s="91"/>
      <c r="O253" s="47"/>
      <c r="P253" s="47"/>
      <c r="Q253" s="47"/>
      <c r="R253" s="47"/>
      <c r="S253" s="47"/>
      <c r="T253" s="47"/>
      <c r="U253" s="47"/>
      <c r="V253" s="47"/>
      <c r="W253" s="47"/>
    </row>
    <row r="254" spans="1:23" x14ac:dyDescent="0.3">
      <c r="A254" s="47"/>
      <c r="B254" s="109"/>
      <c r="C254" s="47"/>
      <c r="E254" s="53"/>
      <c r="F254" s="47"/>
      <c r="G254" s="47"/>
      <c r="H254" s="47"/>
      <c r="I254" s="47"/>
      <c r="J254" s="47"/>
      <c r="K254" s="47"/>
      <c r="L254" s="47"/>
      <c r="M254" s="47"/>
      <c r="N254" s="91"/>
      <c r="O254" s="47"/>
      <c r="P254" s="47"/>
      <c r="Q254" s="47"/>
      <c r="R254" s="47"/>
      <c r="S254" s="47"/>
      <c r="T254" s="47"/>
      <c r="U254" s="47"/>
      <c r="V254" s="47"/>
      <c r="W254" s="47"/>
    </row>
    <row r="255" spans="1:23" x14ac:dyDescent="0.3">
      <c r="A255" s="47"/>
      <c r="B255" s="109"/>
      <c r="C255" s="47"/>
      <c r="E255" s="53"/>
      <c r="F255" s="47"/>
      <c r="G255" s="47"/>
      <c r="H255" s="47"/>
      <c r="I255" s="47"/>
      <c r="J255" s="47"/>
      <c r="K255" s="47"/>
      <c r="L255" s="47"/>
      <c r="M255" s="47"/>
      <c r="N255" s="91"/>
      <c r="O255" s="47"/>
      <c r="P255" s="47"/>
      <c r="Q255" s="47"/>
      <c r="R255" s="47"/>
      <c r="S255" s="47"/>
      <c r="T255" s="47"/>
      <c r="U255" s="47"/>
      <c r="V255" s="47"/>
      <c r="W255" s="47"/>
    </row>
    <row r="256" spans="1:23" x14ac:dyDescent="0.3">
      <c r="A256" s="47"/>
      <c r="B256" s="109"/>
      <c r="C256" s="47"/>
      <c r="E256" s="53"/>
      <c r="F256" s="47"/>
      <c r="G256" s="47"/>
      <c r="H256" s="47"/>
      <c r="I256" s="47"/>
      <c r="J256" s="47"/>
      <c r="K256" s="47"/>
      <c r="L256" s="47"/>
      <c r="M256" s="47"/>
      <c r="N256" s="91"/>
      <c r="O256" s="47"/>
      <c r="P256" s="47"/>
      <c r="Q256" s="47"/>
      <c r="R256" s="47"/>
      <c r="S256" s="47"/>
      <c r="T256" s="47"/>
      <c r="U256" s="47"/>
      <c r="V256" s="47"/>
      <c r="W256" s="47"/>
    </row>
    <row r="257" spans="1:23" x14ac:dyDescent="0.3">
      <c r="A257" s="47"/>
      <c r="B257" s="109"/>
      <c r="C257" s="47"/>
      <c r="E257" s="53"/>
      <c r="F257" s="47"/>
      <c r="G257" s="47"/>
      <c r="H257" s="47"/>
      <c r="I257" s="47"/>
      <c r="J257" s="47"/>
      <c r="K257" s="47"/>
      <c r="L257" s="47"/>
      <c r="M257" s="47"/>
      <c r="N257" s="91"/>
      <c r="O257" s="47"/>
      <c r="P257" s="47"/>
      <c r="Q257" s="47"/>
      <c r="R257" s="47"/>
      <c r="S257" s="47"/>
      <c r="T257" s="47"/>
      <c r="U257" s="47"/>
      <c r="V257" s="47"/>
      <c r="W257" s="47"/>
    </row>
    <row r="258" spans="1:23" x14ac:dyDescent="0.3">
      <c r="A258" s="47"/>
      <c r="B258" s="109"/>
      <c r="C258" s="47"/>
      <c r="E258" s="53"/>
      <c r="F258" s="47"/>
      <c r="G258" s="47"/>
      <c r="H258" s="47"/>
      <c r="I258" s="47"/>
      <c r="J258" s="47"/>
      <c r="K258" s="47"/>
      <c r="L258" s="47"/>
      <c r="M258" s="47"/>
      <c r="N258" s="91"/>
      <c r="O258" s="47"/>
      <c r="P258" s="47"/>
      <c r="Q258" s="47"/>
      <c r="R258" s="47"/>
      <c r="S258" s="47"/>
      <c r="T258" s="47"/>
      <c r="U258" s="47"/>
      <c r="V258" s="47"/>
      <c r="W258" s="47"/>
    </row>
    <row r="259" spans="1:23" x14ac:dyDescent="0.3">
      <c r="A259" s="47"/>
      <c r="B259" s="109"/>
      <c r="C259" s="47"/>
      <c r="E259" s="53"/>
      <c r="F259" s="47"/>
      <c r="G259" s="47"/>
      <c r="H259" s="47"/>
      <c r="I259" s="47"/>
      <c r="J259" s="47"/>
      <c r="K259" s="47"/>
      <c r="L259" s="47"/>
      <c r="M259" s="47"/>
      <c r="N259" s="91"/>
      <c r="O259" s="47"/>
      <c r="P259" s="47"/>
      <c r="Q259" s="47"/>
      <c r="R259" s="47"/>
      <c r="S259" s="47"/>
      <c r="T259" s="47"/>
      <c r="U259" s="47"/>
      <c r="V259" s="47"/>
      <c r="W259" s="47"/>
    </row>
    <row r="260" spans="1:23" x14ac:dyDescent="0.3">
      <c r="A260" s="47"/>
      <c r="B260" s="109"/>
      <c r="C260" s="47"/>
      <c r="E260" s="53"/>
      <c r="F260" s="47"/>
      <c r="G260" s="47"/>
      <c r="H260" s="47"/>
      <c r="I260" s="47"/>
      <c r="J260" s="47"/>
      <c r="K260" s="47"/>
      <c r="L260" s="47"/>
      <c r="M260" s="47"/>
      <c r="N260" s="91"/>
      <c r="O260" s="47"/>
      <c r="P260" s="47"/>
      <c r="Q260" s="47"/>
      <c r="R260" s="47"/>
      <c r="S260" s="47"/>
      <c r="T260" s="47"/>
      <c r="U260" s="47"/>
      <c r="V260" s="47"/>
      <c r="W260" s="47"/>
    </row>
    <row r="261" spans="1:23" x14ac:dyDescent="0.3">
      <c r="A261" s="47"/>
      <c r="B261" s="109"/>
      <c r="C261" s="47"/>
      <c r="E261" s="53"/>
      <c r="F261" s="47"/>
      <c r="G261" s="47"/>
      <c r="H261" s="47"/>
      <c r="I261" s="47"/>
      <c r="J261" s="47"/>
      <c r="K261" s="47"/>
      <c r="L261" s="47"/>
      <c r="M261" s="47"/>
      <c r="N261" s="91"/>
      <c r="O261" s="47"/>
      <c r="P261" s="47"/>
      <c r="Q261" s="47"/>
      <c r="R261" s="47"/>
      <c r="S261" s="47"/>
      <c r="T261" s="47"/>
      <c r="U261" s="47"/>
      <c r="V261" s="47"/>
      <c r="W261" s="47"/>
    </row>
    <row r="262" spans="1:23" x14ac:dyDescent="0.3">
      <c r="A262" s="47"/>
      <c r="B262" s="109"/>
      <c r="C262" s="47"/>
      <c r="E262" s="53"/>
      <c r="F262" s="47"/>
      <c r="G262" s="47"/>
      <c r="H262" s="47"/>
      <c r="I262" s="47"/>
      <c r="J262" s="47"/>
      <c r="K262" s="47"/>
      <c r="L262" s="47"/>
      <c r="M262" s="47"/>
      <c r="N262" s="91"/>
      <c r="O262" s="47"/>
      <c r="P262" s="47"/>
      <c r="Q262" s="47"/>
      <c r="R262" s="47"/>
      <c r="S262" s="47"/>
      <c r="T262" s="47"/>
      <c r="U262" s="47"/>
      <c r="V262" s="47"/>
      <c r="W262" s="47"/>
    </row>
    <row r="263" spans="1:23" x14ac:dyDescent="0.3">
      <c r="A263" s="47"/>
      <c r="B263" s="109"/>
      <c r="C263" s="47"/>
      <c r="E263" s="53"/>
      <c r="F263" s="47"/>
      <c r="G263" s="47"/>
      <c r="H263" s="47"/>
      <c r="I263" s="47"/>
      <c r="J263" s="47"/>
      <c r="K263" s="47"/>
      <c r="L263" s="47"/>
      <c r="M263" s="47"/>
      <c r="N263" s="91"/>
      <c r="O263" s="47"/>
      <c r="P263" s="47"/>
      <c r="Q263" s="47"/>
      <c r="R263" s="47"/>
      <c r="S263" s="47"/>
      <c r="T263" s="47"/>
      <c r="U263" s="47"/>
      <c r="V263" s="47"/>
      <c r="W263" s="47"/>
    </row>
    <row r="264" spans="1:23" x14ac:dyDescent="0.3">
      <c r="A264" s="47"/>
      <c r="B264" s="109"/>
      <c r="C264" s="47"/>
      <c r="E264" s="53"/>
      <c r="F264" s="47"/>
      <c r="G264" s="47"/>
      <c r="H264" s="47"/>
      <c r="I264" s="47"/>
      <c r="J264" s="47"/>
      <c r="K264" s="47"/>
      <c r="L264" s="47"/>
      <c r="M264" s="47"/>
      <c r="N264" s="91"/>
      <c r="O264" s="47"/>
      <c r="P264" s="47"/>
      <c r="Q264" s="47"/>
      <c r="R264" s="47"/>
      <c r="S264" s="47"/>
      <c r="T264" s="47"/>
      <c r="U264" s="47"/>
      <c r="V264" s="47"/>
      <c r="W264" s="47"/>
    </row>
    <row r="265" spans="1:23" x14ac:dyDescent="0.3">
      <c r="A265" s="47"/>
      <c r="B265" s="109"/>
      <c r="C265" s="47"/>
      <c r="E265" s="53"/>
      <c r="F265" s="47"/>
      <c r="G265" s="47"/>
      <c r="H265" s="47"/>
      <c r="I265" s="47"/>
      <c r="J265" s="47"/>
      <c r="K265" s="47"/>
      <c r="L265" s="47"/>
      <c r="M265" s="47"/>
      <c r="N265" s="91"/>
      <c r="O265" s="47"/>
      <c r="P265" s="47"/>
      <c r="Q265" s="47"/>
      <c r="R265" s="47"/>
      <c r="S265" s="47"/>
      <c r="T265" s="47"/>
      <c r="U265" s="47"/>
      <c r="V265" s="47"/>
      <c r="W265" s="47"/>
    </row>
    <row r="266" spans="1:23" x14ac:dyDescent="0.3">
      <c r="A266" s="47"/>
      <c r="B266" s="109"/>
      <c r="C266" s="47"/>
      <c r="E266" s="53"/>
      <c r="F266" s="47"/>
      <c r="G266" s="47"/>
      <c r="H266" s="47"/>
      <c r="I266" s="47"/>
      <c r="J266" s="47"/>
      <c r="K266" s="47"/>
      <c r="L266" s="47"/>
      <c r="M266" s="47"/>
      <c r="N266" s="91"/>
      <c r="O266" s="47"/>
      <c r="P266" s="47"/>
      <c r="Q266" s="47"/>
      <c r="R266" s="47"/>
      <c r="S266" s="47"/>
      <c r="T266" s="47"/>
      <c r="U266" s="47"/>
      <c r="V266" s="47"/>
      <c r="W266" s="47"/>
    </row>
    <row r="267" spans="1:23" x14ac:dyDescent="0.3">
      <c r="A267" s="47"/>
      <c r="B267" s="109"/>
      <c r="C267" s="47"/>
      <c r="E267" s="53"/>
      <c r="F267" s="47"/>
      <c r="G267" s="47"/>
      <c r="H267" s="47"/>
      <c r="I267" s="47"/>
      <c r="J267" s="47"/>
      <c r="K267" s="47"/>
      <c r="L267" s="47"/>
      <c r="M267" s="47"/>
      <c r="N267" s="91"/>
      <c r="O267" s="47"/>
      <c r="P267" s="47"/>
      <c r="Q267" s="47"/>
      <c r="R267" s="47"/>
      <c r="S267" s="47"/>
      <c r="T267" s="47"/>
      <c r="U267" s="47"/>
      <c r="V267" s="47"/>
      <c r="W267" s="47"/>
    </row>
    <row r="268" spans="1:23" x14ac:dyDescent="0.3">
      <c r="A268" s="47"/>
      <c r="B268" s="109"/>
      <c r="C268" s="47"/>
      <c r="E268" s="53"/>
      <c r="F268" s="47"/>
      <c r="G268" s="47"/>
      <c r="H268" s="47"/>
      <c r="I268" s="47"/>
      <c r="J268" s="47"/>
      <c r="K268" s="47"/>
      <c r="L268" s="47"/>
      <c r="M268" s="47"/>
      <c r="N268" s="91"/>
      <c r="O268" s="47"/>
      <c r="P268" s="47"/>
      <c r="Q268" s="47"/>
      <c r="R268" s="47"/>
      <c r="S268" s="47"/>
      <c r="T268" s="47"/>
      <c r="U268" s="47"/>
      <c r="V268" s="47"/>
      <c r="W268" s="47"/>
    </row>
    <row r="269" spans="1:23" x14ac:dyDescent="0.3">
      <c r="A269" s="47"/>
      <c r="B269" s="109"/>
      <c r="C269" s="47"/>
      <c r="E269" s="53"/>
      <c r="F269" s="47"/>
      <c r="G269" s="47"/>
      <c r="H269" s="47"/>
      <c r="I269" s="47"/>
      <c r="J269" s="47"/>
      <c r="K269" s="47"/>
      <c r="L269" s="47"/>
      <c r="M269" s="47"/>
      <c r="N269" s="91"/>
      <c r="O269" s="47"/>
      <c r="P269" s="47"/>
      <c r="Q269" s="47"/>
      <c r="R269" s="47"/>
      <c r="S269" s="47"/>
      <c r="T269" s="47"/>
      <c r="U269" s="47"/>
      <c r="V269" s="47"/>
      <c r="W269" s="47"/>
    </row>
    <row r="270" spans="1:23" x14ac:dyDescent="0.3">
      <c r="A270" s="47"/>
      <c r="B270" s="109"/>
      <c r="C270" s="47"/>
      <c r="E270" s="53"/>
      <c r="F270" s="47"/>
      <c r="G270" s="47"/>
      <c r="H270" s="47"/>
      <c r="I270" s="47"/>
      <c r="J270" s="47"/>
      <c r="K270" s="47"/>
      <c r="L270" s="47"/>
      <c r="M270" s="47"/>
      <c r="N270" s="91"/>
      <c r="O270" s="47"/>
      <c r="P270" s="47"/>
      <c r="Q270" s="47"/>
      <c r="R270" s="47"/>
      <c r="S270" s="47"/>
      <c r="T270" s="47"/>
      <c r="U270" s="47"/>
      <c r="V270" s="47"/>
      <c r="W270" s="47"/>
    </row>
    <row r="271" spans="1:23" x14ac:dyDescent="0.3">
      <c r="A271" s="47"/>
      <c r="B271" s="109"/>
      <c r="C271" s="47"/>
      <c r="E271" s="53"/>
      <c r="F271" s="47"/>
      <c r="G271" s="47"/>
      <c r="H271" s="47"/>
      <c r="I271" s="47"/>
      <c r="J271" s="47"/>
      <c r="K271" s="47"/>
      <c r="L271" s="47"/>
      <c r="M271" s="47"/>
      <c r="N271" s="91"/>
      <c r="O271" s="47"/>
      <c r="P271" s="47"/>
      <c r="Q271" s="47"/>
      <c r="R271" s="47"/>
      <c r="S271" s="47"/>
      <c r="T271" s="47"/>
      <c r="U271" s="47"/>
      <c r="V271" s="47"/>
      <c r="W271" s="47"/>
    </row>
    <row r="272" spans="1:23" x14ac:dyDescent="0.3">
      <c r="A272" s="47"/>
      <c r="B272" s="109"/>
      <c r="C272" s="47"/>
      <c r="E272" s="53"/>
      <c r="F272" s="47"/>
      <c r="G272" s="47"/>
      <c r="H272" s="47"/>
      <c r="I272" s="47"/>
      <c r="J272" s="47"/>
      <c r="K272" s="47"/>
      <c r="L272" s="47"/>
      <c r="M272" s="47"/>
      <c r="N272" s="91"/>
      <c r="O272" s="47"/>
      <c r="P272" s="47"/>
      <c r="Q272" s="47"/>
      <c r="R272" s="47"/>
      <c r="S272" s="47"/>
      <c r="T272" s="47"/>
      <c r="U272" s="47"/>
      <c r="V272" s="47"/>
      <c r="W272" s="47"/>
    </row>
    <row r="273" spans="1:23" x14ac:dyDescent="0.3">
      <c r="A273" s="47"/>
      <c r="B273" s="109"/>
      <c r="C273" s="47"/>
      <c r="E273" s="53"/>
      <c r="F273" s="47"/>
      <c r="G273" s="47"/>
      <c r="H273" s="47"/>
      <c r="I273" s="47"/>
      <c r="J273" s="47"/>
      <c r="K273" s="47"/>
      <c r="L273" s="47"/>
      <c r="M273" s="47"/>
      <c r="N273" s="91"/>
      <c r="O273" s="47"/>
      <c r="P273" s="47"/>
      <c r="Q273" s="47"/>
      <c r="R273" s="47"/>
      <c r="S273" s="47"/>
      <c r="T273" s="47"/>
      <c r="U273" s="47"/>
      <c r="V273" s="47"/>
      <c r="W273" s="47"/>
    </row>
    <row r="274" spans="1:23" x14ac:dyDescent="0.3">
      <c r="A274" s="47"/>
      <c r="B274" s="109"/>
      <c r="C274" s="47"/>
      <c r="E274" s="53"/>
      <c r="F274" s="47"/>
      <c r="G274" s="47"/>
      <c r="H274" s="47"/>
      <c r="I274" s="47"/>
      <c r="J274" s="47"/>
      <c r="K274" s="47"/>
      <c r="L274" s="47"/>
      <c r="M274" s="47"/>
      <c r="N274" s="91"/>
      <c r="O274" s="47"/>
      <c r="P274" s="47"/>
      <c r="Q274" s="47"/>
      <c r="R274" s="47"/>
      <c r="S274" s="47"/>
      <c r="T274" s="47"/>
      <c r="U274" s="47"/>
      <c r="V274" s="47"/>
      <c r="W274" s="47"/>
    </row>
    <row r="275" spans="1:23" x14ac:dyDescent="0.3">
      <c r="A275" s="47"/>
      <c r="B275" s="109"/>
      <c r="C275" s="47"/>
      <c r="E275" s="53"/>
      <c r="F275" s="47"/>
      <c r="G275" s="47"/>
      <c r="H275" s="47"/>
      <c r="I275" s="47"/>
      <c r="J275" s="47"/>
      <c r="K275" s="47"/>
      <c r="L275" s="47"/>
      <c r="M275" s="47"/>
      <c r="N275" s="91"/>
      <c r="O275" s="47"/>
      <c r="P275" s="47"/>
      <c r="Q275" s="47"/>
      <c r="R275" s="47"/>
      <c r="S275" s="47"/>
      <c r="T275" s="47"/>
      <c r="U275" s="47"/>
      <c r="V275" s="47"/>
      <c r="W275" s="47"/>
    </row>
    <row r="276" spans="1:23" x14ac:dyDescent="0.3">
      <c r="A276" s="47"/>
      <c r="B276" s="109"/>
      <c r="C276" s="47"/>
      <c r="E276" s="53"/>
      <c r="F276" s="47"/>
      <c r="G276" s="47"/>
      <c r="H276" s="47"/>
      <c r="I276" s="47"/>
      <c r="J276" s="47"/>
      <c r="K276" s="47"/>
      <c r="L276" s="47"/>
      <c r="M276" s="47"/>
      <c r="N276" s="91"/>
      <c r="O276" s="47"/>
      <c r="P276" s="47"/>
      <c r="Q276" s="47"/>
      <c r="R276" s="47"/>
      <c r="S276" s="47"/>
      <c r="T276" s="47"/>
      <c r="U276" s="47"/>
      <c r="V276" s="47"/>
      <c r="W276" s="47"/>
    </row>
    <row r="277" spans="1:23" x14ac:dyDescent="0.3">
      <c r="A277" s="47"/>
      <c r="B277" s="109"/>
      <c r="C277" s="47"/>
      <c r="E277" s="53"/>
      <c r="F277" s="47"/>
      <c r="G277" s="47"/>
      <c r="H277" s="47"/>
      <c r="I277" s="47"/>
      <c r="J277" s="47"/>
      <c r="K277" s="47"/>
      <c r="L277" s="47"/>
      <c r="M277" s="47"/>
      <c r="N277" s="91"/>
      <c r="O277" s="47"/>
      <c r="P277" s="47"/>
      <c r="Q277" s="47"/>
      <c r="R277" s="47"/>
      <c r="S277" s="47"/>
      <c r="T277" s="47"/>
      <c r="U277" s="47"/>
      <c r="V277" s="47"/>
      <c r="W277" s="47"/>
    </row>
    <row r="278" spans="1:23" x14ac:dyDescent="0.3">
      <c r="A278" s="47"/>
      <c r="B278" s="109"/>
      <c r="C278" s="47"/>
      <c r="E278" s="53"/>
      <c r="F278" s="47"/>
      <c r="G278" s="47"/>
      <c r="H278" s="47"/>
      <c r="I278" s="47"/>
      <c r="J278" s="47"/>
      <c r="K278" s="47"/>
      <c r="L278" s="47"/>
      <c r="M278" s="47"/>
      <c r="N278" s="91"/>
      <c r="O278" s="47"/>
      <c r="P278" s="47"/>
      <c r="Q278" s="47"/>
      <c r="R278" s="47"/>
      <c r="S278" s="47"/>
      <c r="T278" s="47"/>
      <c r="U278" s="47"/>
      <c r="V278" s="47"/>
      <c r="W278" s="47"/>
    </row>
    <row r="279" spans="1:23" x14ac:dyDescent="0.3">
      <c r="A279" s="47"/>
      <c r="B279" s="109"/>
      <c r="C279" s="47"/>
      <c r="E279" s="53"/>
      <c r="F279" s="47"/>
      <c r="G279" s="47"/>
      <c r="H279" s="47"/>
      <c r="I279" s="47"/>
      <c r="J279" s="47"/>
      <c r="K279" s="47"/>
      <c r="L279" s="47"/>
      <c r="M279" s="47"/>
      <c r="N279" s="91"/>
      <c r="O279" s="47"/>
      <c r="P279" s="47"/>
      <c r="Q279" s="47"/>
      <c r="R279" s="47"/>
      <c r="S279" s="47"/>
      <c r="T279" s="47"/>
      <c r="U279" s="47"/>
      <c r="V279" s="47"/>
      <c r="W279" s="47"/>
    </row>
    <row r="280" spans="1:23" x14ac:dyDescent="0.3">
      <c r="A280" s="47"/>
      <c r="B280" s="109"/>
      <c r="C280" s="47"/>
      <c r="E280" s="53"/>
      <c r="F280" s="47"/>
      <c r="G280" s="47"/>
      <c r="H280" s="47"/>
      <c r="I280" s="47"/>
      <c r="J280" s="47"/>
      <c r="K280" s="47"/>
      <c r="L280" s="47"/>
      <c r="M280" s="47"/>
      <c r="N280" s="91"/>
      <c r="O280" s="47"/>
      <c r="P280" s="47"/>
      <c r="Q280" s="47"/>
      <c r="R280" s="47"/>
      <c r="S280" s="47"/>
      <c r="T280" s="47"/>
      <c r="U280" s="47"/>
      <c r="V280" s="47"/>
      <c r="W280" s="47"/>
    </row>
    <row r="281" spans="1:23" x14ac:dyDescent="0.3">
      <c r="A281" s="47"/>
      <c r="B281" s="109"/>
      <c r="C281" s="47"/>
      <c r="E281" s="53"/>
      <c r="F281" s="47"/>
      <c r="G281" s="47"/>
      <c r="H281" s="47"/>
      <c r="I281" s="47"/>
      <c r="J281" s="47"/>
      <c r="K281" s="47"/>
      <c r="L281" s="47"/>
      <c r="M281" s="47"/>
      <c r="N281" s="91"/>
      <c r="O281" s="47"/>
      <c r="P281" s="47"/>
      <c r="Q281" s="47"/>
      <c r="R281" s="47"/>
      <c r="S281" s="47"/>
      <c r="T281" s="47"/>
      <c r="U281" s="47"/>
      <c r="V281" s="47"/>
      <c r="W281" s="47"/>
    </row>
    <row r="282" spans="1:23" x14ac:dyDescent="0.3">
      <c r="A282" s="47"/>
      <c r="B282" s="109"/>
      <c r="C282" s="47"/>
      <c r="E282" s="53"/>
      <c r="F282" s="47"/>
      <c r="G282" s="47"/>
      <c r="H282" s="47"/>
      <c r="I282" s="47"/>
      <c r="J282" s="47"/>
      <c r="K282" s="47"/>
      <c r="L282" s="47"/>
      <c r="M282" s="47"/>
      <c r="N282" s="91"/>
      <c r="O282" s="47"/>
      <c r="P282" s="47"/>
      <c r="Q282" s="47"/>
      <c r="R282" s="47"/>
      <c r="S282" s="47"/>
      <c r="T282" s="47"/>
      <c r="U282" s="47"/>
      <c r="V282" s="47"/>
      <c r="W282" s="47"/>
    </row>
    <row r="283" spans="1:23" x14ac:dyDescent="0.3">
      <c r="A283" s="47"/>
      <c r="B283" s="109"/>
      <c r="C283" s="47"/>
      <c r="E283" s="53"/>
      <c r="F283" s="47"/>
      <c r="G283" s="47"/>
      <c r="H283" s="47"/>
      <c r="I283" s="47"/>
      <c r="J283" s="47"/>
      <c r="K283" s="47"/>
      <c r="L283" s="47"/>
      <c r="M283" s="47"/>
      <c r="N283" s="91"/>
      <c r="O283" s="47"/>
      <c r="P283" s="47"/>
      <c r="Q283" s="47"/>
      <c r="R283" s="47"/>
      <c r="S283" s="47"/>
      <c r="T283" s="47"/>
      <c r="U283" s="47"/>
      <c r="V283" s="47"/>
      <c r="W283" s="47"/>
    </row>
    <row r="284" spans="1:23" x14ac:dyDescent="0.3">
      <c r="A284" s="47"/>
      <c r="B284" s="109"/>
      <c r="C284" s="47"/>
      <c r="E284" s="53"/>
      <c r="F284" s="47"/>
      <c r="G284" s="47"/>
      <c r="H284" s="47"/>
      <c r="I284" s="47"/>
      <c r="J284" s="47"/>
      <c r="K284" s="47"/>
      <c r="L284" s="47"/>
      <c r="M284" s="47"/>
      <c r="N284" s="91"/>
      <c r="O284" s="47"/>
      <c r="P284" s="47"/>
      <c r="Q284" s="47"/>
      <c r="R284" s="47"/>
      <c r="S284" s="47"/>
      <c r="T284" s="47"/>
      <c r="U284" s="47"/>
      <c r="V284" s="47"/>
      <c r="W284" s="47"/>
    </row>
    <row r="285" spans="1:23" x14ac:dyDescent="0.3">
      <c r="A285" s="47"/>
      <c r="B285" s="109"/>
      <c r="C285" s="47"/>
      <c r="E285" s="53"/>
      <c r="F285" s="47"/>
      <c r="G285" s="47"/>
      <c r="H285" s="47"/>
      <c r="I285" s="47"/>
      <c r="J285" s="47"/>
      <c r="K285" s="47"/>
      <c r="L285" s="47"/>
      <c r="M285" s="47"/>
      <c r="N285" s="91"/>
      <c r="O285" s="47"/>
      <c r="P285" s="47"/>
      <c r="Q285" s="47"/>
      <c r="R285" s="47"/>
      <c r="S285" s="47"/>
      <c r="T285" s="47"/>
      <c r="U285" s="47"/>
      <c r="V285" s="47"/>
      <c r="W285" s="47"/>
    </row>
    <row r="286" spans="1:23" x14ac:dyDescent="0.3">
      <c r="A286" s="47"/>
      <c r="B286" s="109"/>
      <c r="C286" s="47"/>
      <c r="E286" s="53"/>
      <c r="F286" s="47"/>
      <c r="G286" s="47"/>
      <c r="H286" s="47"/>
      <c r="I286" s="47"/>
      <c r="J286" s="47"/>
      <c r="K286" s="47"/>
      <c r="L286" s="47"/>
      <c r="M286" s="47"/>
      <c r="N286" s="91"/>
      <c r="O286" s="47"/>
      <c r="P286" s="47"/>
      <c r="Q286" s="47"/>
      <c r="R286" s="47"/>
      <c r="S286" s="47"/>
      <c r="T286" s="47"/>
      <c r="U286" s="47"/>
      <c r="V286" s="47"/>
      <c r="W286" s="47"/>
    </row>
    <row r="287" spans="1:23" x14ac:dyDescent="0.3">
      <c r="A287" s="47"/>
      <c r="B287" s="109"/>
      <c r="C287" s="47"/>
      <c r="E287" s="53"/>
      <c r="F287" s="47"/>
      <c r="G287" s="47"/>
      <c r="H287" s="47"/>
      <c r="I287" s="47"/>
      <c r="J287" s="47"/>
      <c r="K287" s="47"/>
      <c r="L287" s="47"/>
      <c r="M287" s="47"/>
      <c r="N287" s="91"/>
      <c r="O287" s="47"/>
      <c r="P287" s="47"/>
      <c r="Q287" s="47"/>
      <c r="R287" s="47"/>
      <c r="S287" s="47"/>
      <c r="T287" s="47"/>
      <c r="U287" s="47"/>
      <c r="V287" s="47"/>
      <c r="W287" s="47"/>
    </row>
    <row r="288" spans="1:23" x14ac:dyDescent="0.3">
      <c r="A288" s="47"/>
      <c r="B288" s="109"/>
      <c r="C288" s="47"/>
      <c r="E288" s="53"/>
      <c r="F288" s="47"/>
      <c r="G288" s="47"/>
      <c r="H288" s="47"/>
      <c r="I288" s="47"/>
      <c r="J288" s="47"/>
      <c r="K288" s="47"/>
      <c r="L288" s="47"/>
      <c r="M288" s="47"/>
      <c r="N288" s="91"/>
      <c r="O288" s="47"/>
      <c r="P288" s="47"/>
      <c r="Q288" s="47"/>
      <c r="R288" s="47"/>
      <c r="S288" s="47"/>
      <c r="T288" s="47"/>
      <c r="U288" s="47"/>
      <c r="V288" s="47"/>
      <c r="W288" s="47"/>
    </row>
    <row r="289" spans="1:23" x14ac:dyDescent="0.3">
      <c r="A289" s="47"/>
      <c r="B289" s="109"/>
      <c r="C289" s="47"/>
      <c r="E289" s="53"/>
      <c r="F289" s="47"/>
      <c r="G289" s="47"/>
      <c r="H289" s="47"/>
      <c r="I289" s="47"/>
      <c r="J289" s="47"/>
      <c r="K289" s="47"/>
      <c r="L289" s="47"/>
      <c r="M289" s="47"/>
      <c r="N289" s="91"/>
      <c r="O289" s="47"/>
      <c r="P289" s="47"/>
      <c r="Q289" s="47"/>
      <c r="R289" s="47"/>
      <c r="S289" s="47"/>
      <c r="T289" s="47"/>
      <c r="U289" s="47"/>
      <c r="V289" s="47"/>
      <c r="W289" s="47"/>
    </row>
    <row r="290" spans="1:23" x14ac:dyDescent="0.3">
      <c r="A290" s="47"/>
      <c r="B290" s="109"/>
      <c r="C290" s="47"/>
      <c r="E290" s="53"/>
      <c r="F290" s="47"/>
      <c r="G290" s="47"/>
      <c r="H290" s="47"/>
      <c r="I290" s="47"/>
      <c r="J290" s="47"/>
      <c r="K290" s="47"/>
      <c r="L290" s="47"/>
      <c r="M290" s="47"/>
      <c r="N290" s="91"/>
      <c r="O290" s="47"/>
      <c r="P290" s="47"/>
      <c r="Q290" s="47"/>
      <c r="R290" s="47"/>
      <c r="S290" s="47"/>
      <c r="T290" s="47"/>
      <c r="U290" s="47"/>
      <c r="V290" s="47"/>
      <c r="W290" s="47"/>
    </row>
    <row r="291" spans="1:23" x14ac:dyDescent="0.3">
      <c r="A291" s="47"/>
      <c r="B291" s="109"/>
      <c r="C291" s="47"/>
      <c r="E291" s="53"/>
      <c r="F291" s="47"/>
      <c r="G291" s="47"/>
      <c r="H291" s="47"/>
      <c r="I291" s="47"/>
      <c r="J291" s="47"/>
      <c r="K291" s="47"/>
      <c r="L291" s="47"/>
      <c r="M291" s="47"/>
      <c r="N291" s="91"/>
      <c r="O291" s="47"/>
      <c r="P291" s="47"/>
      <c r="Q291" s="47"/>
      <c r="R291" s="47"/>
      <c r="S291" s="47"/>
      <c r="T291" s="47"/>
      <c r="U291" s="47"/>
      <c r="V291" s="47"/>
      <c r="W291" s="47"/>
    </row>
    <row r="292" spans="1:23" x14ac:dyDescent="0.3">
      <c r="A292" s="47"/>
      <c r="B292" s="109"/>
      <c r="C292" s="47"/>
      <c r="E292" s="53"/>
      <c r="F292" s="47"/>
      <c r="G292" s="47"/>
      <c r="H292" s="47"/>
      <c r="I292" s="47"/>
      <c r="J292" s="47"/>
      <c r="K292" s="47"/>
      <c r="L292" s="47"/>
      <c r="M292" s="47"/>
      <c r="N292" s="91"/>
      <c r="O292" s="47"/>
      <c r="P292" s="47"/>
      <c r="Q292" s="47"/>
      <c r="R292" s="47"/>
      <c r="S292" s="47"/>
      <c r="T292" s="47"/>
      <c r="U292" s="47"/>
      <c r="V292" s="47"/>
      <c r="W292" s="47"/>
    </row>
    <row r="293" spans="1:23" x14ac:dyDescent="0.3">
      <c r="A293" s="47"/>
      <c r="B293" s="109"/>
      <c r="C293" s="47"/>
      <c r="E293" s="53"/>
      <c r="F293" s="47"/>
      <c r="G293" s="47"/>
      <c r="H293" s="47"/>
      <c r="I293" s="47"/>
      <c r="J293" s="47"/>
      <c r="K293" s="47"/>
      <c r="L293" s="47"/>
      <c r="M293" s="47"/>
      <c r="N293" s="91"/>
      <c r="O293" s="47"/>
      <c r="P293" s="47"/>
      <c r="Q293" s="47"/>
      <c r="R293" s="47"/>
      <c r="S293" s="47"/>
      <c r="T293" s="47"/>
      <c r="U293" s="47"/>
      <c r="V293" s="47"/>
      <c r="W293" s="47"/>
    </row>
    <row r="294" spans="1:23" x14ac:dyDescent="0.3">
      <c r="A294" s="47"/>
      <c r="B294" s="109"/>
      <c r="C294" s="47"/>
      <c r="E294" s="53"/>
      <c r="F294" s="47"/>
      <c r="G294" s="47"/>
      <c r="H294" s="47"/>
      <c r="I294" s="47"/>
      <c r="J294" s="47"/>
      <c r="K294" s="47"/>
      <c r="L294" s="47"/>
      <c r="M294" s="47"/>
      <c r="N294" s="91"/>
      <c r="O294" s="47"/>
      <c r="P294" s="47"/>
      <c r="Q294" s="47"/>
      <c r="R294" s="47"/>
      <c r="S294" s="47"/>
      <c r="T294" s="47"/>
      <c r="U294" s="47"/>
      <c r="V294" s="47"/>
      <c r="W294" s="47"/>
    </row>
    <row r="295" spans="1:23" x14ac:dyDescent="0.3">
      <c r="A295" s="47"/>
      <c r="B295" s="109"/>
      <c r="C295" s="47"/>
      <c r="E295" s="53"/>
      <c r="F295" s="47"/>
      <c r="G295" s="47"/>
      <c r="H295" s="47"/>
      <c r="I295" s="47"/>
      <c r="J295" s="47"/>
      <c r="K295" s="47"/>
      <c r="L295" s="47"/>
      <c r="M295" s="47"/>
      <c r="N295" s="91"/>
      <c r="O295" s="47"/>
      <c r="P295" s="47"/>
      <c r="Q295" s="47"/>
      <c r="R295" s="47"/>
      <c r="S295" s="47"/>
      <c r="T295" s="47"/>
      <c r="U295" s="47"/>
      <c r="V295" s="47"/>
      <c r="W295" s="47"/>
    </row>
    <row r="296" spans="1:23" x14ac:dyDescent="0.3">
      <c r="A296" s="47"/>
      <c r="B296" s="109"/>
      <c r="C296" s="47"/>
      <c r="E296" s="53"/>
      <c r="F296" s="47"/>
      <c r="G296" s="47"/>
      <c r="H296" s="47"/>
      <c r="I296" s="47"/>
      <c r="J296" s="47"/>
      <c r="K296" s="47"/>
      <c r="L296" s="47"/>
      <c r="M296" s="47"/>
      <c r="N296" s="91"/>
      <c r="O296" s="47"/>
      <c r="P296" s="47"/>
      <c r="Q296" s="47"/>
      <c r="R296" s="47"/>
      <c r="S296" s="47"/>
      <c r="T296" s="47"/>
      <c r="U296" s="47"/>
      <c r="V296" s="47"/>
      <c r="W296" s="47"/>
    </row>
    <row r="297" spans="1:23" x14ac:dyDescent="0.3">
      <c r="A297" s="47"/>
      <c r="B297" s="109"/>
      <c r="C297" s="47"/>
      <c r="E297" s="53"/>
      <c r="F297" s="47"/>
      <c r="G297" s="47"/>
      <c r="H297" s="47"/>
      <c r="I297" s="47"/>
      <c r="J297" s="47"/>
      <c r="K297" s="47"/>
      <c r="L297" s="47"/>
      <c r="M297" s="47"/>
      <c r="N297" s="91"/>
      <c r="O297" s="47"/>
      <c r="P297" s="47"/>
      <c r="Q297" s="47"/>
      <c r="R297" s="47"/>
      <c r="S297" s="47"/>
      <c r="T297" s="47"/>
      <c r="U297" s="47"/>
      <c r="V297" s="47"/>
      <c r="W297" s="47"/>
    </row>
    <row r="298" spans="1:23" x14ac:dyDescent="0.3">
      <c r="A298" s="47"/>
      <c r="B298" s="109"/>
      <c r="C298" s="47"/>
      <c r="E298" s="53"/>
      <c r="F298" s="47"/>
      <c r="G298" s="47"/>
      <c r="H298" s="47"/>
      <c r="I298" s="47"/>
      <c r="J298" s="47"/>
      <c r="K298" s="47"/>
      <c r="L298" s="47"/>
      <c r="M298" s="47"/>
      <c r="N298" s="91"/>
      <c r="O298" s="47"/>
      <c r="P298" s="47"/>
      <c r="Q298" s="47"/>
      <c r="R298" s="47"/>
      <c r="S298" s="47"/>
      <c r="T298" s="47"/>
      <c r="U298" s="47"/>
      <c r="V298" s="47"/>
      <c r="W298" s="47"/>
    </row>
    <row r="299" spans="1:23" x14ac:dyDescent="0.3">
      <c r="A299" s="47"/>
      <c r="B299" s="109"/>
      <c r="C299" s="47"/>
      <c r="E299" s="53"/>
      <c r="F299" s="47"/>
      <c r="G299" s="47"/>
      <c r="H299" s="47"/>
      <c r="I299" s="47"/>
      <c r="J299" s="47"/>
      <c r="K299" s="47"/>
      <c r="L299" s="47"/>
      <c r="M299" s="47"/>
      <c r="N299" s="91"/>
      <c r="O299" s="47"/>
      <c r="P299" s="47"/>
      <c r="Q299" s="47"/>
      <c r="R299" s="47"/>
      <c r="S299" s="47"/>
      <c r="T299" s="47"/>
      <c r="U299" s="47"/>
      <c r="V299" s="47"/>
      <c r="W299" s="47"/>
    </row>
    <row r="300" spans="1:23" x14ac:dyDescent="0.3">
      <c r="A300" s="47"/>
      <c r="B300" s="109"/>
      <c r="C300" s="47"/>
      <c r="E300" s="53"/>
      <c r="F300" s="47"/>
      <c r="G300" s="47"/>
      <c r="H300" s="47"/>
      <c r="I300" s="47"/>
      <c r="J300" s="47"/>
      <c r="K300" s="47"/>
      <c r="L300" s="47"/>
      <c r="M300" s="47"/>
      <c r="N300" s="91"/>
      <c r="O300" s="47"/>
      <c r="P300" s="47"/>
      <c r="Q300" s="47"/>
      <c r="R300" s="47"/>
      <c r="S300" s="47"/>
      <c r="T300" s="47"/>
      <c r="U300" s="47"/>
      <c r="V300" s="47"/>
      <c r="W300" s="47"/>
    </row>
    <row r="301" spans="1:23" x14ac:dyDescent="0.3">
      <c r="A301" s="47"/>
      <c r="B301" s="109"/>
      <c r="C301" s="47"/>
      <c r="E301" s="53"/>
      <c r="F301" s="47"/>
      <c r="G301" s="47"/>
      <c r="H301" s="47"/>
      <c r="I301" s="47"/>
      <c r="J301" s="47"/>
      <c r="K301" s="47"/>
      <c r="L301" s="47"/>
      <c r="M301" s="47"/>
      <c r="N301" s="91"/>
      <c r="O301" s="47"/>
      <c r="P301" s="47"/>
      <c r="Q301" s="47"/>
      <c r="R301" s="47"/>
      <c r="S301" s="47"/>
      <c r="T301" s="47"/>
      <c r="U301" s="47"/>
      <c r="V301" s="47"/>
      <c r="W301" s="47"/>
    </row>
    <row r="302" spans="1:23" x14ac:dyDescent="0.3">
      <c r="A302" s="47"/>
      <c r="B302" s="109"/>
      <c r="C302" s="47"/>
      <c r="E302" s="53"/>
      <c r="F302" s="47"/>
      <c r="G302" s="47"/>
      <c r="H302" s="47"/>
      <c r="I302" s="47"/>
      <c r="J302" s="47"/>
      <c r="K302" s="47"/>
      <c r="L302" s="47"/>
      <c r="M302" s="47"/>
      <c r="N302" s="91"/>
      <c r="O302" s="47"/>
      <c r="P302" s="47"/>
      <c r="Q302" s="47"/>
      <c r="R302" s="47"/>
      <c r="S302" s="47"/>
      <c r="T302" s="47"/>
      <c r="U302" s="47"/>
      <c r="V302" s="47"/>
      <c r="W302" s="47"/>
    </row>
    <row r="303" spans="1:23" x14ac:dyDescent="0.3">
      <c r="A303" s="47"/>
      <c r="B303" s="109"/>
      <c r="C303" s="47"/>
      <c r="E303" s="53"/>
      <c r="F303" s="47"/>
      <c r="G303" s="47"/>
      <c r="H303" s="47"/>
      <c r="I303" s="47"/>
      <c r="J303" s="47"/>
      <c r="K303" s="47"/>
      <c r="L303" s="47"/>
      <c r="M303" s="47"/>
      <c r="N303" s="91"/>
      <c r="O303" s="47"/>
      <c r="P303" s="47"/>
      <c r="Q303" s="47"/>
      <c r="R303" s="47"/>
      <c r="S303" s="47"/>
      <c r="T303" s="47"/>
      <c r="U303" s="47"/>
      <c r="V303" s="47"/>
      <c r="W303" s="47"/>
    </row>
    <row r="304" spans="1:23" x14ac:dyDescent="0.3">
      <c r="A304" s="47"/>
      <c r="B304" s="109"/>
      <c r="C304" s="47"/>
      <c r="E304" s="53"/>
      <c r="F304" s="47"/>
      <c r="G304" s="47"/>
      <c r="H304" s="47"/>
      <c r="I304" s="47"/>
      <c r="J304" s="47"/>
      <c r="K304" s="47"/>
      <c r="L304" s="47"/>
      <c r="M304" s="47"/>
      <c r="N304" s="91"/>
      <c r="O304" s="47"/>
      <c r="P304" s="47"/>
      <c r="Q304" s="47"/>
      <c r="R304" s="47"/>
      <c r="S304" s="47"/>
      <c r="T304" s="47"/>
      <c r="U304" s="47"/>
      <c r="V304" s="47"/>
      <c r="W304" s="47"/>
    </row>
    <row r="305" spans="1:23" x14ac:dyDescent="0.3">
      <c r="A305" s="47"/>
      <c r="B305" s="109"/>
      <c r="C305" s="47"/>
      <c r="E305" s="53"/>
      <c r="F305" s="47"/>
      <c r="G305" s="47"/>
      <c r="H305" s="47"/>
      <c r="I305" s="47"/>
      <c r="J305" s="47"/>
      <c r="K305" s="47"/>
      <c r="L305" s="47"/>
      <c r="M305" s="47"/>
      <c r="N305" s="91"/>
      <c r="O305" s="47"/>
      <c r="P305" s="47"/>
      <c r="Q305" s="47"/>
      <c r="R305" s="47"/>
      <c r="S305" s="47"/>
      <c r="T305" s="47"/>
      <c r="U305" s="47"/>
      <c r="V305" s="47"/>
      <c r="W305" s="47"/>
    </row>
    <row r="306" spans="1:23" x14ac:dyDescent="0.3">
      <c r="A306" s="47"/>
      <c r="B306" s="109"/>
      <c r="C306" s="47"/>
      <c r="E306" s="53"/>
      <c r="F306" s="47"/>
      <c r="G306" s="47"/>
      <c r="H306" s="47"/>
      <c r="I306" s="47"/>
      <c r="J306" s="47"/>
      <c r="K306" s="47"/>
      <c r="L306" s="47"/>
      <c r="M306" s="47"/>
      <c r="N306" s="91"/>
      <c r="O306" s="47"/>
      <c r="P306" s="47"/>
      <c r="Q306" s="47"/>
      <c r="R306" s="47"/>
      <c r="S306" s="47"/>
      <c r="T306" s="47"/>
      <c r="U306" s="47"/>
      <c r="V306" s="47"/>
      <c r="W306" s="47"/>
    </row>
    <row r="307" spans="1:23" x14ac:dyDescent="0.3">
      <c r="A307" s="47"/>
      <c r="B307" s="109"/>
      <c r="C307" s="47"/>
      <c r="E307" s="53"/>
      <c r="F307" s="47"/>
      <c r="G307" s="47"/>
      <c r="H307" s="47"/>
      <c r="I307" s="47"/>
      <c r="J307" s="47"/>
      <c r="K307" s="47"/>
      <c r="L307" s="47"/>
      <c r="M307" s="47"/>
      <c r="N307" s="91"/>
      <c r="O307" s="47"/>
      <c r="P307" s="47"/>
      <c r="Q307" s="47"/>
      <c r="R307" s="47"/>
      <c r="S307" s="47"/>
      <c r="T307" s="47"/>
      <c r="U307" s="47"/>
      <c r="V307" s="47"/>
      <c r="W307" s="47"/>
    </row>
    <row r="308" spans="1:23" x14ac:dyDescent="0.3">
      <c r="A308" s="47"/>
      <c r="B308" s="109"/>
      <c r="C308" s="47"/>
      <c r="E308" s="53"/>
      <c r="F308" s="47"/>
      <c r="G308" s="47"/>
      <c r="H308" s="47"/>
      <c r="I308" s="47"/>
      <c r="J308" s="47"/>
      <c r="K308" s="47"/>
      <c r="L308" s="47"/>
      <c r="M308" s="47"/>
      <c r="N308" s="91"/>
      <c r="O308" s="47"/>
      <c r="P308" s="47"/>
      <c r="Q308" s="47"/>
      <c r="R308" s="47"/>
      <c r="S308" s="47"/>
      <c r="T308" s="47"/>
      <c r="U308" s="47"/>
      <c r="V308" s="47"/>
      <c r="W308" s="47"/>
    </row>
    <row r="309" spans="1:23" x14ac:dyDescent="0.3">
      <c r="A309" s="47"/>
      <c r="B309" s="109"/>
      <c r="C309" s="47"/>
      <c r="E309" s="53"/>
      <c r="F309" s="47"/>
      <c r="G309" s="47"/>
      <c r="H309" s="47"/>
      <c r="I309" s="47"/>
      <c r="J309" s="47"/>
      <c r="K309" s="47"/>
      <c r="L309" s="47"/>
      <c r="M309" s="47"/>
      <c r="N309" s="91"/>
      <c r="O309" s="47"/>
      <c r="P309" s="47"/>
      <c r="Q309" s="47"/>
      <c r="R309" s="47"/>
      <c r="S309" s="47"/>
      <c r="T309" s="47"/>
      <c r="U309" s="47"/>
      <c r="V309" s="47"/>
      <c r="W309" s="47"/>
    </row>
    <row r="310" spans="1:23" x14ac:dyDescent="0.3">
      <c r="A310" s="47"/>
      <c r="B310" s="109"/>
      <c r="C310" s="47"/>
      <c r="E310" s="53"/>
      <c r="F310" s="47"/>
      <c r="G310" s="47"/>
      <c r="H310" s="47"/>
      <c r="I310" s="47"/>
      <c r="J310" s="47"/>
      <c r="K310" s="47"/>
      <c r="L310" s="47"/>
      <c r="M310" s="47"/>
      <c r="N310" s="91"/>
      <c r="O310" s="47"/>
      <c r="P310" s="47"/>
      <c r="Q310" s="47"/>
      <c r="R310" s="47"/>
      <c r="S310" s="47"/>
      <c r="T310" s="47"/>
      <c r="U310" s="47"/>
      <c r="V310" s="47"/>
      <c r="W310" s="47"/>
    </row>
    <row r="311" spans="1:23" x14ac:dyDescent="0.3">
      <c r="A311" s="47"/>
      <c r="B311" s="109"/>
      <c r="C311" s="47"/>
      <c r="E311" s="53"/>
      <c r="F311" s="47"/>
      <c r="G311" s="47"/>
      <c r="H311" s="47"/>
      <c r="I311" s="47"/>
      <c r="J311" s="47"/>
      <c r="K311" s="47"/>
      <c r="L311" s="47"/>
      <c r="M311" s="47"/>
      <c r="N311" s="91"/>
      <c r="O311" s="47"/>
      <c r="P311" s="47"/>
      <c r="Q311" s="47"/>
      <c r="R311" s="47"/>
      <c r="S311" s="47"/>
      <c r="T311" s="47"/>
      <c r="U311" s="47"/>
      <c r="V311" s="47"/>
      <c r="W311" s="47"/>
    </row>
    <row r="312" spans="1:23" x14ac:dyDescent="0.3">
      <c r="A312" s="47"/>
      <c r="B312" s="109"/>
      <c r="C312" s="47"/>
      <c r="E312" s="53"/>
      <c r="F312" s="47"/>
      <c r="G312" s="47"/>
      <c r="H312" s="47"/>
      <c r="I312" s="47"/>
      <c r="J312" s="47"/>
      <c r="K312" s="47"/>
      <c r="L312" s="47"/>
      <c r="M312" s="47"/>
      <c r="N312" s="91"/>
      <c r="O312" s="47"/>
      <c r="P312" s="47"/>
      <c r="Q312" s="47"/>
      <c r="R312" s="47"/>
      <c r="S312" s="47"/>
      <c r="T312" s="47"/>
      <c r="U312" s="47"/>
      <c r="V312" s="47"/>
      <c r="W312" s="47"/>
    </row>
    <row r="313" spans="1:23" x14ac:dyDescent="0.3">
      <c r="A313" s="47"/>
      <c r="B313" s="109"/>
      <c r="C313" s="47"/>
      <c r="E313" s="53"/>
      <c r="F313" s="47"/>
      <c r="G313" s="47"/>
      <c r="H313" s="47"/>
      <c r="I313" s="47"/>
      <c r="J313" s="47"/>
      <c r="K313" s="47"/>
      <c r="L313" s="47"/>
      <c r="M313" s="47"/>
      <c r="N313" s="91"/>
      <c r="O313" s="47"/>
      <c r="P313" s="47"/>
      <c r="Q313" s="47"/>
      <c r="R313" s="47"/>
      <c r="S313" s="47"/>
      <c r="T313" s="47"/>
      <c r="U313" s="47"/>
      <c r="V313" s="47"/>
      <c r="W313" s="47"/>
    </row>
    <row r="314" spans="1:23" x14ac:dyDescent="0.3">
      <c r="A314" s="47"/>
      <c r="B314" s="109"/>
      <c r="C314" s="47"/>
      <c r="E314" s="53"/>
      <c r="F314" s="47"/>
      <c r="G314" s="47"/>
      <c r="H314" s="47"/>
      <c r="I314" s="47"/>
      <c r="J314" s="47"/>
      <c r="K314" s="47"/>
      <c r="L314" s="47"/>
      <c r="M314" s="47"/>
      <c r="N314" s="91"/>
      <c r="O314" s="47"/>
      <c r="P314" s="47"/>
      <c r="Q314" s="47"/>
      <c r="R314" s="47"/>
      <c r="S314" s="47"/>
      <c r="T314" s="47"/>
      <c r="U314" s="47"/>
      <c r="V314" s="47"/>
      <c r="W314" s="47"/>
    </row>
    <row r="315" spans="1:23" x14ac:dyDescent="0.3">
      <c r="A315" s="47"/>
      <c r="B315" s="109"/>
      <c r="C315" s="47"/>
      <c r="E315" s="53"/>
      <c r="F315" s="47"/>
      <c r="G315" s="47"/>
      <c r="H315" s="47"/>
      <c r="I315" s="47"/>
      <c r="J315" s="47"/>
      <c r="K315" s="47"/>
      <c r="L315" s="47"/>
      <c r="M315" s="47"/>
      <c r="N315" s="91"/>
      <c r="O315" s="47"/>
      <c r="P315" s="47"/>
      <c r="Q315" s="47"/>
      <c r="R315" s="47"/>
      <c r="S315" s="47"/>
      <c r="T315" s="47"/>
      <c r="U315" s="47"/>
      <c r="V315" s="47"/>
      <c r="W315" s="47"/>
    </row>
    <row r="316" spans="1:23" x14ac:dyDescent="0.3">
      <c r="A316" s="47"/>
      <c r="B316" s="109"/>
      <c r="C316" s="47"/>
      <c r="E316" s="53"/>
      <c r="F316" s="47"/>
      <c r="G316" s="47"/>
      <c r="H316" s="47"/>
      <c r="I316" s="47"/>
      <c r="J316" s="47"/>
      <c r="K316" s="47"/>
      <c r="L316" s="47"/>
      <c r="M316" s="47"/>
      <c r="N316" s="91"/>
      <c r="O316" s="47"/>
      <c r="P316" s="47"/>
      <c r="Q316" s="47"/>
      <c r="R316" s="47"/>
      <c r="S316" s="47"/>
      <c r="T316" s="47"/>
      <c r="U316" s="47"/>
      <c r="V316" s="47"/>
      <c r="W316" s="47"/>
    </row>
    <row r="317" spans="1:23" x14ac:dyDescent="0.3">
      <c r="A317" s="47"/>
      <c r="B317" s="109"/>
      <c r="C317" s="47"/>
      <c r="E317" s="53"/>
      <c r="F317" s="47"/>
      <c r="G317" s="47"/>
      <c r="H317" s="47"/>
      <c r="I317" s="47"/>
      <c r="J317" s="47"/>
      <c r="K317" s="47"/>
      <c r="L317" s="47"/>
      <c r="M317" s="47"/>
      <c r="N317" s="91"/>
      <c r="O317" s="47"/>
      <c r="P317" s="47"/>
      <c r="Q317" s="47"/>
      <c r="R317" s="47"/>
      <c r="S317" s="47"/>
      <c r="T317" s="47"/>
      <c r="U317" s="47"/>
      <c r="V317" s="47"/>
      <c r="W317" s="47"/>
    </row>
    <row r="318" spans="1:23" x14ac:dyDescent="0.3">
      <c r="A318" s="47"/>
      <c r="B318" s="109"/>
      <c r="C318" s="47"/>
      <c r="E318" s="53"/>
      <c r="F318" s="47"/>
      <c r="G318" s="47"/>
      <c r="H318" s="47"/>
      <c r="I318" s="47"/>
      <c r="J318" s="47"/>
      <c r="K318" s="47"/>
      <c r="L318" s="47"/>
      <c r="M318" s="47"/>
      <c r="N318" s="91"/>
      <c r="O318" s="47"/>
      <c r="P318" s="47"/>
      <c r="Q318" s="47"/>
      <c r="R318" s="47"/>
      <c r="S318" s="47"/>
      <c r="T318" s="47"/>
      <c r="U318" s="47"/>
      <c r="V318" s="47"/>
      <c r="W318" s="47"/>
    </row>
    <row r="319" spans="1:23" x14ac:dyDescent="0.3">
      <c r="A319" s="47"/>
      <c r="B319" s="109"/>
      <c r="C319" s="47"/>
      <c r="E319" s="53"/>
      <c r="F319" s="47"/>
      <c r="G319" s="47"/>
      <c r="H319" s="47"/>
      <c r="I319" s="47"/>
      <c r="J319" s="47"/>
      <c r="K319" s="47"/>
      <c r="L319" s="47"/>
      <c r="M319" s="47"/>
      <c r="N319" s="91"/>
      <c r="O319" s="47"/>
      <c r="P319" s="47"/>
      <c r="Q319" s="47"/>
      <c r="R319" s="47"/>
      <c r="S319" s="47"/>
      <c r="T319" s="47"/>
      <c r="U319" s="47"/>
      <c r="V319" s="47"/>
      <c r="W319" s="47"/>
    </row>
    <row r="320" spans="1:23" x14ac:dyDescent="0.3">
      <c r="A320" s="47"/>
      <c r="B320" s="109"/>
      <c r="C320" s="47"/>
      <c r="E320" s="53"/>
      <c r="F320" s="47"/>
      <c r="G320" s="47"/>
      <c r="H320" s="47"/>
      <c r="I320" s="47"/>
      <c r="J320" s="47"/>
      <c r="K320" s="47"/>
      <c r="L320" s="47"/>
      <c r="M320" s="47"/>
      <c r="N320" s="91"/>
      <c r="O320" s="47"/>
      <c r="P320" s="47"/>
      <c r="Q320" s="47"/>
      <c r="R320" s="47"/>
      <c r="S320" s="47"/>
      <c r="T320" s="47"/>
      <c r="U320" s="47"/>
      <c r="V320" s="47"/>
      <c r="W320" s="47"/>
    </row>
    <row r="321" spans="1:23" x14ac:dyDescent="0.3">
      <c r="A321" s="47"/>
      <c r="B321" s="109"/>
      <c r="C321" s="47"/>
      <c r="E321" s="53"/>
      <c r="F321" s="47"/>
      <c r="G321" s="47"/>
      <c r="H321" s="47"/>
      <c r="I321" s="47"/>
      <c r="J321" s="47"/>
      <c r="K321" s="47"/>
      <c r="L321" s="47"/>
      <c r="M321" s="47"/>
      <c r="N321" s="91"/>
      <c r="O321" s="47"/>
      <c r="P321" s="47"/>
      <c r="Q321" s="47"/>
      <c r="R321" s="47"/>
      <c r="S321" s="47"/>
      <c r="T321" s="47"/>
      <c r="U321" s="47"/>
      <c r="V321" s="47"/>
      <c r="W321" s="47"/>
    </row>
    <row r="322" spans="1:23" x14ac:dyDescent="0.3">
      <c r="A322" s="47"/>
      <c r="B322" s="109"/>
      <c r="C322" s="47"/>
      <c r="E322" s="53"/>
      <c r="F322" s="47"/>
      <c r="G322" s="47"/>
      <c r="H322" s="47"/>
      <c r="I322" s="47"/>
      <c r="J322" s="47"/>
      <c r="K322" s="47"/>
      <c r="L322" s="47"/>
      <c r="M322" s="47"/>
      <c r="N322" s="91"/>
      <c r="O322" s="47"/>
      <c r="P322" s="47"/>
      <c r="Q322" s="47"/>
      <c r="R322" s="47"/>
      <c r="S322" s="47"/>
      <c r="T322" s="47"/>
      <c r="U322" s="47"/>
      <c r="V322" s="47"/>
      <c r="W322" s="47"/>
    </row>
    <row r="323" spans="1:23" x14ac:dyDescent="0.3">
      <c r="A323" s="47"/>
      <c r="B323" s="109"/>
      <c r="C323" s="47"/>
      <c r="E323" s="53"/>
      <c r="F323" s="47"/>
      <c r="G323" s="47"/>
      <c r="H323" s="47"/>
      <c r="I323" s="47"/>
      <c r="J323" s="47"/>
      <c r="K323" s="47"/>
      <c r="L323" s="47"/>
      <c r="M323" s="47"/>
      <c r="N323" s="91"/>
      <c r="O323" s="47"/>
      <c r="P323" s="47"/>
      <c r="Q323" s="47"/>
      <c r="R323" s="47"/>
      <c r="S323" s="47"/>
      <c r="T323" s="47"/>
      <c r="U323" s="47"/>
      <c r="V323" s="47"/>
      <c r="W323" s="47"/>
    </row>
    <row r="324" spans="1:23" x14ac:dyDescent="0.3">
      <c r="A324" s="47"/>
      <c r="B324" s="109"/>
      <c r="C324" s="47"/>
      <c r="E324" s="53"/>
      <c r="F324" s="47"/>
      <c r="G324" s="47"/>
      <c r="H324" s="47"/>
      <c r="I324" s="47"/>
      <c r="J324" s="47"/>
      <c r="K324" s="47"/>
      <c r="L324" s="47"/>
      <c r="M324" s="47"/>
      <c r="N324" s="91"/>
      <c r="O324" s="47"/>
      <c r="P324" s="47"/>
      <c r="Q324" s="47"/>
      <c r="R324" s="47"/>
      <c r="S324" s="47"/>
      <c r="T324" s="47"/>
      <c r="U324" s="47"/>
      <c r="V324" s="47"/>
      <c r="W324" s="47"/>
    </row>
    <row r="325" spans="1:23" x14ac:dyDescent="0.3">
      <c r="A325" s="47"/>
      <c r="B325" s="109"/>
      <c r="C325" s="47"/>
      <c r="E325" s="53"/>
      <c r="F325" s="47"/>
      <c r="G325" s="47"/>
      <c r="H325" s="47"/>
      <c r="I325" s="47"/>
      <c r="J325" s="47"/>
      <c r="K325" s="47"/>
      <c r="L325" s="47"/>
      <c r="M325" s="47"/>
      <c r="N325" s="91"/>
      <c r="O325" s="47"/>
      <c r="P325" s="47"/>
      <c r="Q325" s="47"/>
      <c r="R325" s="47"/>
      <c r="S325" s="47"/>
      <c r="T325" s="47"/>
      <c r="U325" s="47"/>
      <c r="V325" s="47"/>
      <c r="W325" s="47"/>
    </row>
    <row r="326" spans="1:23" x14ac:dyDescent="0.3">
      <c r="A326" s="47"/>
      <c r="B326" s="109"/>
      <c r="C326" s="47"/>
      <c r="E326" s="53"/>
      <c r="F326" s="47"/>
      <c r="G326" s="47"/>
      <c r="H326" s="47"/>
      <c r="I326" s="47"/>
      <c r="J326" s="47"/>
      <c r="K326" s="47"/>
      <c r="L326" s="47"/>
      <c r="M326" s="47"/>
      <c r="N326" s="91"/>
      <c r="O326" s="47"/>
      <c r="P326" s="47"/>
      <c r="Q326" s="47"/>
      <c r="R326" s="47"/>
      <c r="S326" s="47"/>
      <c r="T326" s="47"/>
      <c r="U326" s="47"/>
      <c r="V326" s="47"/>
      <c r="W326" s="47"/>
    </row>
    <row r="327" spans="1:23" x14ac:dyDescent="0.3">
      <c r="A327" s="47"/>
      <c r="B327" s="109"/>
      <c r="C327" s="47"/>
      <c r="E327" s="53"/>
      <c r="F327" s="47"/>
      <c r="G327" s="47"/>
      <c r="H327" s="47"/>
      <c r="I327" s="47"/>
      <c r="J327" s="47"/>
      <c r="K327" s="47"/>
      <c r="L327" s="47"/>
      <c r="M327" s="47"/>
      <c r="N327" s="91"/>
      <c r="O327" s="47"/>
      <c r="P327" s="47"/>
      <c r="Q327" s="47"/>
      <c r="R327" s="47"/>
      <c r="S327" s="47"/>
      <c r="T327" s="47"/>
      <c r="U327" s="47"/>
      <c r="V327" s="47"/>
      <c r="W327" s="47"/>
    </row>
    <row r="328" spans="1:23" x14ac:dyDescent="0.3">
      <c r="A328" s="47"/>
      <c r="B328" s="109"/>
      <c r="C328" s="47"/>
      <c r="E328" s="53"/>
      <c r="F328" s="47"/>
      <c r="G328" s="47"/>
      <c r="H328" s="47"/>
      <c r="I328" s="47"/>
      <c r="J328" s="47"/>
      <c r="K328" s="47"/>
      <c r="L328" s="47"/>
      <c r="M328" s="47"/>
      <c r="N328" s="91"/>
      <c r="O328" s="47"/>
      <c r="P328" s="47"/>
      <c r="Q328" s="47"/>
      <c r="R328" s="47"/>
      <c r="S328" s="47"/>
      <c r="T328" s="47"/>
      <c r="U328" s="47"/>
      <c r="V328" s="47"/>
      <c r="W328" s="47"/>
    </row>
    <row r="329" spans="1:23" x14ac:dyDescent="0.3">
      <c r="A329" s="47"/>
      <c r="B329" s="109"/>
      <c r="C329" s="47"/>
      <c r="E329" s="53"/>
      <c r="F329" s="47"/>
      <c r="G329" s="47"/>
      <c r="H329" s="47"/>
      <c r="I329" s="47"/>
      <c r="J329" s="47"/>
      <c r="K329" s="47"/>
      <c r="L329" s="47"/>
      <c r="M329" s="47"/>
      <c r="N329" s="91"/>
      <c r="O329" s="47"/>
      <c r="P329" s="47"/>
      <c r="Q329" s="47"/>
      <c r="R329" s="47"/>
      <c r="S329" s="47"/>
      <c r="T329" s="47"/>
      <c r="U329" s="47"/>
      <c r="V329" s="47"/>
      <c r="W329" s="47"/>
    </row>
    <row r="330" spans="1:23" x14ac:dyDescent="0.3">
      <c r="A330" s="47"/>
      <c r="B330" s="109"/>
      <c r="C330" s="47"/>
      <c r="E330" s="53"/>
      <c r="F330" s="47"/>
      <c r="G330" s="47"/>
      <c r="H330" s="47"/>
      <c r="I330" s="47"/>
      <c r="J330" s="47"/>
      <c r="K330" s="47"/>
      <c r="L330" s="47"/>
      <c r="M330" s="47"/>
      <c r="N330" s="91"/>
      <c r="O330" s="47"/>
      <c r="P330" s="47"/>
      <c r="Q330" s="47"/>
      <c r="R330" s="47"/>
      <c r="S330" s="47"/>
      <c r="T330" s="47"/>
      <c r="U330" s="47"/>
      <c r="V330" s="47"/>
      <c r="W330" s="47"/>
    </row>
    <row r="331" spans="1:23" x14ac:dyDescent="0.3">
      <c r="A331" s="47"/>
      <c r="B331" s="109"/>
      <c r="C331" s="47"/>
      <c r="E331" s="53"/>
      <c r="F331" s="47"/>
      <c r="G331" s="47"/>
      <c r="H331" s="47"/>
      <c r="I331" s="47"/>
      <c r="J331" s="47"/>
      <c r="K331" s="47"/>
      <c r="L331" s="47"/>
      <c r="M331" s="47"/>
      <c r="N331" s="91"/>
      <c r="O331" s="47"/>
      <c r="P331" s="47"/>
      <c r="Q331" s="47"/>
      <c r="R331" s="47"/>
      <c r="S331" s="47"/>
      <c r="T331" s="47"/>
      <c r="U331" s="47"/>
      <c r="V331" s="47"/>
      <c r="W331" s="47"/>
    </row>
    <row r="332" spans="1:23" x14ac:dyDescent="0.3">
      <c r="A332" s="47"/>
      <c r="B332" s="109"/>
      <c r="C332" s="47"/>
      <c r="E332" s="53"/>
      <c r="F332" s="47"/>
      <c r="G332" s="47"/>
      <c r="H332" s="47"/>
      <c r="I332" s="47"/>
      <c r="J332" s="47"/>
      <c r="K332" s="47"/>
      <c r="L332" s="47"/>
      <c r="M332" s="47"/>
      <c r="N332" s="91"/>
      <c r="O332" s="47"/>
      <c r="P332" s="47"/>
      <c r="Q332" s="47"/>
      <c r="R332" s="47"/>
      <c r="S332" s="47"/>
      <c r="T332" s="47"/>
      <c r="U332" s="47"/>
      <c r="V332" s="47"/>
      <c r="W332" s="47"/>
    </row>
    <row r="333" spans="1:23" x14ac:dyDescent="0.3">
      <c r="A333" s="47"/>
      <c r="B333" s="109"/>
      <c r="C333" s="47"/>
      <c r="E333" s="53"/>
      <c r="F333" s="47"/>
      <c r="G333" s="47"/>
      <c r="H333" s="47"/>
      <c r="I333" s="47"/>
      <c r="J333" s="47"/>
      <c r="K333" s="47"/>
      <c r="L333" s="47"/>
      <c r="M333" s="47"/>
      <c r="N333" s="91"/>
      <c r="O333" s="47"/>
      <c r="P333" s="47"/>
      <c r="Q333" s="47"/>
      <c r="R333" s="47"/>
      <c r="S333" s="47"/>
      <c r="T333" s="47"/>
      <c r="U333" s="47"/>
      <c r="V333" s="47"/>
      <c r="W333" s="47"/>
    </row>
    <row r="334" spans="1:23" x14ac:dyDescent="0.3">
      <c r="A334" s="47"/>
      <c r="B334" s="109"/>
      <c r="C334" s="47"/>
      <c r="E334" s="53"/>
      <c r="F334" s="47"/>
      <c r="G334" s="47"/>
      <c r="H334" s="47"/>
      <c r="I334" s="47"/>
      <c r="J334" s="47"/>
      <c r="K334" s="47"/>
      <c r="L334" s="47"/>
      <c r="M334" s="47"/>
      <c r="N334" s="91"/>
      <c r="O334" s="47"/>
      <c r="P334" s="47"/>
      <c r="Q334" s="47"/>
      <c r="R334" s="47"/>
      <c r="S334" s="47"/>
      <c r="T334" s="47"/>
      <c r="U334" s="47"/>
      <c r="V334" s="47"/>
      <c r="W334" s="47"/>
    </row>
    <row r="335" spans="1:23" x14ac:dyDescent="0.3">
      <c r="A335" s="47"/>
      <c r="B335" s="109"/>
      <c r="C335" s="47"/>
      <c r="E335" s="53"/>
      <c r="F335" s="47"/>
      <c r="G335" s="47"/>
      <c r="H335" s="47"/>
      <c r="I335" s="47"/>
      <c r="J335" s="47"/>
      <c r="K335" s="47"/>
      <c r="L335" s="47"/>
      <c r="M335" s="47"/>
      <c r="N335" s="91"/>
      <c r="O335" s="47"/>
      <c r="P335" s="47"/>
      <c r="Q335" s="47"/>
      <c r="R335" s="47"/>
      <c r="S335" s="47"/>
      <c r="T335" s="47"/>
      <c r="U335" s="47"/>
      <c r="V335" s="47"/>
      <c r="W335" s="47"/>
    </row>
    <row r="336" spans="1:23" x14ac:dyDescent="0.3">
      <c r="A336" s="47"/>
      <c r="B336" s="109"/>
      <c r="C336" s="47"/>
      <c r="E336" s="53"/>
      <c r="F336" s="47"/>
      <c r="G336" s="47"/>
      <c r="H336" s="47"/>
      <c r="I336" s="47"/>
      <c r="J336" s="47"/>
      <c r="K336" s="47"/>
      <c r="L336" s="47"/>
      <c r="M336" s="47"/>
      <c r="N336" s="91"/>
      <c r="O336" s="47"/>
      <c r="P336" s="47"/>
      <c r="Q336" s="47"/>
      <c r="R336" s="47"/>
      <c r="S336" s="47"/>
      <c r="T336" s="47"/>
      <c r="U336" s="47"/>
      <c r="V336" s="47"/>
      <c r="W336" s="47"/>
    </row>
    <row r="337" spans="1:23" x14ac:dyDescent="0.3">
      <c r="A337" s="47"/>
      <c r="B337" s="109"/>
      <c r="C337" s="47"/>
      <c r="E337" s="53"/>
      <c r="F337" s="47"/>
      <c r="G337" s="47"/>
      <c r="H337" s="47"/>
      <c r="I337" s="47"/>
      <c r="J337" s="47"/>
      <c r="K337" s="47"/>
      <c r="L337" s="47"/>
      <c r="M337" s="47"/>
      <c r="N337" s="91"/>
      <c r="O337" s="47"/>
      <c r="P337" s="47"/>
      <c r="Q337" s="47"/>
      <c r="R337" s="47"/>
      <c r="S337" s="47"/>
      <c r="T337" s="47"/>
      <c r="U337" s="47"/>
      <c r="V337" s="47"/>
      <c r="W337" s="47"/>
    </row>
    <row r="338" spans="1:23" x14ac:dyDescent="0.3">
      <c r="A338" s="47"/>
      <c r="B338" s="109"/>
      <c r="C338" s="47"/>
      <c r="E338" s="53"/>
      <c r="F338" s="47"/>
      <c r="G338" s="47"/>
      <c r="H338" s="47"/>
      <c r="I338" s="47"/>
      <c r="J338" s="47"/>
      <c r="K338" s="47"/>
      <c r="L338" s="47"/>
      <c r="M338" s="47"/>
      <c r="N338" s="91"/>
      <c r="O338" s="47"/>
      <c r="P338" s="47"/>
      <c r="Q338" s="47"/>
      <c r="R338" s="47"/>
      <c r="S338" s="47"/>
      <c r="T338" s="47"/>
      <c r="U338" s="47"/>
      <c r="V338" s="47"/>
      <c r="W338" s="47"/>
    </row>
    <row r="339" spans="1:23" x14ac:dyDescent="0.3">
      <c r="A339" s="47"/>
      <c r="B339" s="109"/>
      <c r="C339" s="47"/>
      <c r="E339" s="53"/>
      <c r="F339" s="47"/>
      <c r="G339" s="47"/>
      <c r="H339" s="47"/>
      <c r="I339" s="47"/>
      <c r="J339" s="47"/>
      <c r="K339" s="47"/>
      <c r="L339" s="47"/>
      <c r="M339" s="47"/>
      <c r="N339" s="91"/>
      <c r="O339" s="47"/>
      <c r="P339" s="47"/>
      <c r="Q339" s="47"/>
      <c r="R339" s="47"/>
      <c r="S339" s="47"/>
      <c r="T339" s="47"/>
      <c r="U339" s="47"/>
      <c r="V339" s="47"/>
      <c r="W339" s="47"/>
    </row>
    <row r="340" spans="1:23" x14ac:dyDescent="0.3">
      <c r="A340" s="47"/>
      <c r="B340" s="109"/>
      <c r="C340" s="47"/>
      <c r="E340" s="53"/>
      <c r="F340" s="47"/>
      <c r="G340" s="47"/>
      <c r="H340" s="47"/>
      <c r="I340" s="47"/>
      <c r="J340" s="47"/>
      <c r="K340" s="47"/>
      <c r="L340" s="47"/>
      <c r="M340" s="47"/>
      <c r="N340" s="91"/>
      <c r="O340" s="47"/>
      <c r="P340" s="47"/>
      <c r="Q340" s="47"/>
      <c r="R340" s="47"/>
      <c r="S340" s="47"/>
      <c r="T340" s="47"/>
      <c r="U340" s="47"/>
      <c r="V340" s="47"/>
      <c r="W340" s="47"/>
    </row>
    <row r="341" spans="1:23" x14ac:dyDescent="0.3">
      <c r="A341" s="47"/>
      <c r="B341" s="109"/>
      <c r="C341" s="47"/>
      <c r="E341" s="53"/>
      <c r="F341" s="47"/>
      <c r="G341" s="47"/>
      <c r="H341" s="47"/>
      <c r="I341" s="47"/>
      <c r="J341" s="47"/>
      <c r="K341" s="47"/>
      <c r="L341" s="47"/>
      <c r="M341" s="47"/>
      <c r="N341" s="91"/>
      <c r="O341" s="47"/>
      <c r="P341" s="47"/>
      <c r="Q341" s="47"/>
      <c r="R341" s="47"/>
      <c r="S341" s="47"/>
      <c r="T341" s="47"/>
      <c r="U341" s="47"/>
      <c r="V341" s="47"/>
      <c r="W341" s="47"/>
    </row>
    <row r="342" spans="1:23" x14ac:dyDescent="0.3">
      <c r="A342" s="47"/>
      <c r="B342" s="109"/>
      <c r="C342" s="47"/>
      <c r="E342" s="53"/>
      <c r="F342" s="47"/>
      <c r="G342" s="47"/>
      <c r="H342" s="47"/>
      <c r="I342" s="47"/>
      <c r="J342" s="47"/>
      <c r="K342" s="47"/>
      <c r="L342" s="47"/>
      <c r="M342" s="47"/>
      <c r="N342" s="91"/>
      <c r="O342" s="47"/>
      <c r="P342" s="47"/>
      <c r="Q342" s="47"/>
      <c r="R342" s="47"/>
      <c r="S342" s="47"/>
      <c r="T342" s="47"/>
      <c r="U342" s="47"/>
      <c r="V342" s="47"/>
      <c r="W342" s="47"/>
    </row>
    <row r="343" spans="1:23" x14ac:dyDescent="0.3">
      <c r="A343" s="47"/>
      <c r="B343" s="109"/>
      <c r="C343" s="47"/>
      <c r="E343" s="53"/>
      <c r="F343" s="47"/>
      <c r="G343" s="47"/>
      <c r="H343" s="47"/>
      <c r="I343" s="47"/>
      <c r="J343" s="47"/>
      <c r="K343" s="47"/>
      <c r="L343" s="47"/>
      <c r="M343" s="47"/>
      <c r="N343" s="91"/>
      <c r="O343" s="47"/>
      <c r="P343" s="47"/>
      <c r="Q343" s="47"/>
      <c r="R343" s="47"/>
      <c r="S343" s="47"/>
      <c r="T343" s="47"/>
      <c r="U343" s="47"/>
      <c r="V343" s="47"/>
      <c r="W343" s="47"/>
    </row>
    <row r="344" spans="1:23" x14ac:dyDescent="0.3">
      <c r="A344" s="47"/>
      <c r="B344" s="109"/>
      <c r="C344" s="47"/>
      <c r="E344" s="53"/>
      <c r="F344" s="47"/>
      <c r="G344" s="47"/>
      <c r="H344" s="47"/>
      <c r="I344" s="47"/>
      <c r="J344" s="47"/>
      <c r="K344" s="47"/>
      <c r="L344" s="47"/>
      <c r="M344" s="47"/>
      <c r="N344" s="91"/>
      <c r="O344" s="47"/>
      <c r="P344" s="47"/>
      <c r="Q344" s="47"/>
      <c r="R344" s="47"/>
      <c r="S344" s="47"/>
      <c r="T344" s="47"/>
      <c r="U344" s="47"/>
      <c r="V344" s="47"/>
      <c r="W344" s="47"/>
    </row>
    <row r="345" spans="1:23" x14ac:dyDescent="0.3">
      <c r="A345" s="47"/>
      <c r="B345" s="109"/>
      <c r="C345" s="47"/>
      <c r="E345" s="53"/>
      <c r="F345" s="47"/>
      <c r="G345" s="47"/>
      <c r="H345" s="47"/>
      <c r="I345" s="47"/>
      <c r="J345" s="47"/>
      <c r="K345" s="47"/>
      <c r="L345" s="47"/>
      <c r="M345" s="47"/>
      <c r="N345" s="91"/>
      <c r="O345" s="47"/>
      <c r="P345" s="47"/>
      <c r="Q345" s="47"/>
      <c r="R345" s="47"/>
      <c r="S345" s="47"/>
      <c r="T345" s="47"/>
      <c r="U345" s="47"/>
      <c r="V345" s="47"/>
      <c r="W345" s="47"/>
    </row>
    <row r="346" spans="1:23" x14ac:dyDescent="0.3">
      <c r="A346" s="47"/>
      <c r="B346" s="109"/>
      <c r="C346" s="47"/>
      <c r="E346" s="53"/>
      <c r="F346" s="47"/>
      <c r="G346" s="47"/>
      <c r="H346" s="47"/>
      <c r="I346" s="47"/>
      <c r="J346" s="47"/>
      <c r="K346" s="47"/>
      <c r="L346" s="47"/>
      <c r="M346" s="47"/>
      <c r="N346" s="91"/>
      <c r="O346" s="47"/>
      <c r="P346" s="47"/>
      <c r="Q346" s="47"/>
      <c r="R346" s="47"/>
      <c r="S346" s="47"/>
      <c r="T346" s="47"/>
      <c r="U346" s="47"/>
      <c r="V346" s="47"/>
      <c r="W346" s="47"/>
    </row>
    <row r="347" spans="1:23" x14ac:dyDescent="0.3">
      <c r="A347" s="47"/>
      <c r="B347" s="109"/>
      <c r="C347" s="47"/>
      <c r="E347" s="53"/>
      <c r="F347" s="47"/>
      <c r="G347" s="47"/>
      <c r="H347" s="47"/>
      <c r="I347" s="47"/>
      <c r="J347" s="47"/>
      <c r="K347" s="47"/>
      <c r="L347" s="47"/>
      <c r="M347" s="47"/>
      <c r="N347" s="91"/>
      <c r="O347" s="47"/>
      <c r="P347" s="47"/>
      <c r="Q347" s="47"/>
      <c r="R347" s="47"/>
      <c r="S347" s="47"/>
      <c r="T347" s="47"/>
      <c r="U347" s="47"/>
      <c r="V347" s="47"/>
      <c r="W347" s="47"/>
    </row>
    <row r="348" spans="1:23" x14ac:dyDescent="0.3">
      <c r="A348" s="47"/>
      <c r="B348" s="109"/>
      <c r="C348" s="47"/>
      <c r="E348" s="53"/>
      <c r="F348" s="47"/>
      <c r="G348" s="47"/>
      <c r="H348" s="47"/>
      <c r="I348" s="47"/>
      <c r="J348" s="47"/>
      <c r="K348" s="47"/>
      <c r="L348" s="47"/>
      <c r="M348" s="47"/>
      <c r="N348" s="91"/>
      <c r="O348" s="47"/>
      <c r="P348" s="47"/>
      <c r="Q348" s="47"/>
      <c r="R348" s="47"/>
      <c r="S348" s="47"/>
      <c r="T348" s="47"/>
      <c r="U348" s="47"/>
      <c r="V348" s="47"/>
      <c r="W348" s="47"/>
    </row>
    <row r="349" spans="1:23" x14ac:dyDescent="0.3">
      <c r="A349" s="47"/>
      <c r="B349" s="109"/>
      <c r="C349" s="47"/>
      <c r="E349" s="53"/>
      <c r="F349" s="47"/>
      <c r="G349" s="47"/>
      <c r="H349" s="47"/>
      <c r="I349" s="47"/>
      <c r="J349" s="47"/>
      <c r="K349" s="47"/>
      <c r="L349" s="47"/>
      <c r="M349" s="47"/>
      <c r="N349" s="91"/>
      <c r="O349" s="47"/>
      <c r="P349" s="47"/>
      <c r="Q349" s="47"/>
      <c r="R349" s="47"/>
      <c r="S349" s="47"/>
      <c r="T349" s="47"/>
      <c r="U349" s="47"/>
      <c r="V349" s="47"/>
      <c r="W349" s="47"/>
    </row>
    <row r="350" spans="1:23" x14ac:dyDescent="0.3">
      <c r="A350" s="47"/>
      <c r="B350" s="109"/>
      <c r="C350" s="47"/>
      <c r="E350" s="53"/>
      <c r="F350" s="47"/>
      <c r="G350" s="47"/>
      <c r="H350" s="47"/>
      <c r="I350" s="47"/>
      <c r="J350" s="47"/>
      <c r="K350" s="47"/>
      <c r="L350" s="47"/>
      <c r="M350" s="47"/>
      <c r="N350" s="91"/>
      <c r="O350" s="47"/>
      <c r="P350" s="47"/>
      <c r="Q350" s="47"/>
      <c r="R350" s="47"/>
      <c r="S350" s="47"/>
      <c r="T350" s="47"/>
      <c r="U350" s="47"/>
      <c r="V350" s="47"/>
      <c r="W350" s="47"/>
    </row>
    <row r="351" spans="1:23" x14ac:dyDescent="0.3">
      <c r="A351" s="47"/>
      <c r="B351" s="109"/>
      <c r="C351" s="47"/>
      <c r="E351" s="53"/>
      <c r="F351" s="47"/>
      <c r="G351" s="47"/>
      <c r="H351" s="47"/>
      <c r="I351" s="47"/>
      <c r="J351" s="47"/>
      <c r="K351" s="47"/>
      <c r="L351" s="47"/>
      <c r="M351" s="47"/>
      <c r="N351" s="91"/>
      <c r="O351" s="47"/>
      <c r="P351" s="47"/>
      <c r="Q351" s="47"/>
      <c r="R351" s="47"/>
      <c r="S351" s="47"/>
      <c r="T351" s="47"/>
      <c r="U351" s="47"/>
      <c r="V351" s="47"/>
      <c r="W351" s="47"/>
    </row>
    <row r="352" spans="1:23" x14ac:dyDescent="0.3">
      <c r="A352" s="47"/>
      <c r="B352" s="109"/>
      <c r="C352" s="47"/>
      <c r="E352" s="53"/>
      <c r="F352" s="47"/>
      <c r="G352" s="47"/>
      <c r="H352" s="47"/>
      <c r="I352" s="47"/>
      <c r="J352" s="47"/>
      <c r="K352" s="47"/>
      <c r="L352" s="47"/>
      <c r="M352" s="47"/>
      <c r="N352" s="91"/>
      <c r="O352" s="47"/>
      <c r="P352" s="47"/>
      <c r="Q352" s="47"/>
      <c r="R352" s="47"/>
      <c r="S352" s="47"/>
      <c r="T352" s="47"/>
      <c r="U352" s="47"/>
      <c r="V352" s="47"/>
      <c r="W352" s="47"/>
    </row>
    <row r="353" spans="1:23" x14ac:dyDescent="0.3">
      <c r="A353" s="47"/>
      <c r="B353" s="109"/>
      <c r="C353" s="47"/>
      <c r="E353" s="53"/>
      <c r="F353" s="47"/>
      <c r="G353" s="47"/>
      <c r="H353" s="47"/>
      <c r="I353" s="47"/>
      <c r="J353" s="47"/>
      <c r="K353" s="47"/>
      <c r="L353" s="47"/>
      <c r="M353" s="47"/>
      <c r="N353" s="91"/>
      <c r="O353" s="47"/>
      <c r="P353" s="47"/>
      <c r="Q353" s="47"/>
      <c r="R353" s="47"/>
      <c r="S353" s="47"/>
      <c r="T353" s="47"/>
      <c r="U353" s="47"/>
      <c r="V353" s="47"/>
      <c r="W353" s="47"/>
    </row>
    <row r="354" spans="1:23" x14ac:dyDescent="0.3">
      <c r="A354" s="47"/>
      <c r="B354" s="109"/>
      <c r="C354" s="47"/>
      <c r="E354" s="53"/>
      <c r="F354" s="47"/>
      <c r="G354" s="47"/>
      <c r="H354" s="47"/>
      <c r="I354" s="47"/>
      <c r="J354" s="47"/>
      <c r="K354" s="47"/>
      <c r="L354" s="47"/>
      <c r="M354" s="47"/>
      <c r="N354" s="91"/>
      <c r="O354" s="47"/>
      <c r="P354" s="47"/>
      <c r="Q354" s="47"/>
      <c r="R354" s="47"/>
      <c r="S354" s="47"/>
      <c r="T354" s="47"/>
      <c r="U354" s="47"/>
      <c r="V354" s="47"/>
      <c r="W354" s="47"/>
    </row>
    <row r="355" spans="1:23" x14ac:dyDescent="0.3">
      <c r="A355" s="47"/>
      <c r="B355" s="109"/>
      <c r="C355" s="47"/>
      <c r="E355" s="53"/>
      <c r="F355" s="47"/>
      <c r="G355" s="47"/>
      <c r="H355" s="47"/>
      <c r="I355" s="47"/>
      <c r="J355" s="47"/>
      <c r="K355" s="47"/>
      <c r="L355" s="47"/>
      <c r="M355" s="47"/>
      <c r="N355" s="91"/>
      <c r="O355" s="47"/>
      <c r="P355" s="47"/>
      <c r="Q355" s="47"/>
      <c r="R355" s="47"/>
      <c r="S355" s="47"/>
      <c r="T355" s="47"/>
      <c r="U355" s="47"/>
      <c r="V355" s="47"/>
      <c r="W355" s="47"/>
    </row>
    <row r="356" spans="1:23" x14ac:dyDescent="0.3">
      <c r="A356" s="47"/>
      <c r="B356" s="109"/>
      <c r="C356" s="47"/>
      <c r="E356" s="53"/>
      <c r="F356" s="47"/>
      <c r="G356" s="47"/>
      <c r="H356" s="47"/>
      <c r="I356" s="47"/>
      <c r="J356" s="47"/>
      <c r="K356" s="47"/>
      <c r="L356" s="47"/>
      <c r="M356" s="47"/>
      <c r="N356" s="91"/>
      <c r="O356" s="47"/>
      <c r="P356" s="47"/>
      <c r="Q356" s="47"/>
      <c r="R356" s="47"/>
      <c r="S356" s="47"/>
      <c r="T356" s="47"/>
      <c r="U356" s="47"/>
      <c r="V356" s="47"/>
      <c r="W356" s="47"/>
    </row>
    <row r="357" spans="1:23" x14ac:dyDescent="0.3">
      <c r="A357" s="47"/>
      <c r="B357" s="109"/>
      <c r="C357" s="47"/>
      <c r="E357" s="53"/>
      <c r="F357" s="47"/>
      <c r="G357" s="47"/>
      <c r="H357" s="47"/>
      <c r="I357" s="47"/>
      <c r="J357" s="47"/>
      <c r="K357" s="47"/>
      <c r="L357" s="47"/>
      <c r="M357" s="47"/>
      <c r="N357" s="91"/>
      <c r="O357" s="47"/>
      <c r="P357" s="47"/>
      <c r="Q357" s="47"/>
      <c r="R357" s="47"/>
      <c r="S357" s="47"/>
      <c r="T357" s="47"/>
      <c r="U357" s="47"/>
      <c r="V357" s="47"/>
      <c r="W357" s="47"/>
    </row>
    <row r="358" spans="1:23" x14ac:dyDescent="0.3">
      <c r="A358" s="47"/>
      <c r="B358" s="109"/>
      <c r="C358" s="47"/>
      <c r="E358" s="53"/>
      <c r="F358" s="47"/>
      <c r="G358" s="47"/>
      <c r="H358" s="47"/>
      <c r="I358" s="47"/>
      <c r="J358" s="47"/>
      <c r="K358" s="47"/>
      <c r="L358" s="47"/>
      <c r="M358" s="47"/>
      <c r="N358" s="91"/>
      <c r="O358" s="47"/>
      <c r="P358" s="47"/>
      <c r="Q358" s="47"/>
      <c r="R358" s="47"/>
      <c r="S358" s="47"/>
      <c r="T358" s="47"/>
      <c r="U358" s="47"/>
      <c r="V358" s="47"/>
      <c r="W358" s="47"/>
    </row>
    <row r="359" spans="1:23" x14ac:dyDescent="0.3">
      <c r="A359" s="47"/>
      <c r="B359" s="109"/>
      <c r="C359" s="47"/>
      <c r="E359" s="53"/>
      <c r="F359" s="47"/>
      <c r="G359" s="47"/>
      <c r="H359" s="47"/>
      <c r="I359" s="47"/>
      <c r="J359" s="47"/>
      <c r="K359" s="47"/>
      <c r="L359" s="47"/>
      <c r="M359" s="47"/>
      <c r="N359" s="91"/>
      <c r="O359" s="47"/>
      <c r="P359" s="47"/>
      <c r="Q359" s="47"/>
      <c r="R359" s="47"/>
      <c r="S359" s="47"/>
      <c r="T359" s="47"/>
      <c r="U359" s="47"/>
      <c r="V359" s="47"/>
      <c r="W359" s="47"/>
    </row>
    <row r="360" spans="1:23" x14ac:dyDescent="0.3">
      <c r="A360" s="47"/>
      <c r="B360" s="109"/>
      <c r="C360" s="47"/>
      <c r="E360" s="53"/>
      <c r="F360" s="47"/>
      <c r="G360" s="47"/>
      <c r="H360" s="47"/>
      <c r="I360" s="47"/>
      <c r="J360" s="47"/>
      <c r="K360" s="47"/>
      <c r="L360" s="47"/>
      <c r="M360" s="47"/>
      <c r="N360" s="91"/>
      <c r="O360" s="47"/>
      <c r="P360" s="47"/>
      <c r="Q360" s="47"/>
      <c r="R360" s="47"/>
      <c r="S360" s="47"/>
      <c r="T360" s="47"/>
      <c r="U360" s="47"/>
      <c r="V360" s="47"/>
      <c r="W360" s="47"/>
    </row>
    <row r="361" spans="1:23" x14ac:dyDescent="0.3">
      <c r="A361" s="47"/>
      <c r="B361" s="109"/>
      <c r="C361" s="47"/>
      <c r="E361" s="53"/>
      <c r="F361" s="47"/>
      <c r="G361" s="47"/>
      <c r="H361" s="47"/>
      <c r="I361" s="47"/>
      <c r="J361" s="47"/>
      <c r="K361" s="47"/>
      <c r="L361" s="47"/>
      <c r="M361" s="47"/>
      <c r="N361" s="91"/>
      <c r="O361" s="47"/>
      <c r="P361" s="47"/>
      <c r="Q361" s="47"/>
      <c r="R361" s="47"/>
      <c r="S361" s="47"/>
      <c r="T361" s="47"/>
      <c r="U361" s="47"/>
      <c r="V361" s="47"/>
      <c r="W361" s="47"/>
    </row>
    <row r="362" spans="1:23" x14ac:dyDescent="0.3">
      <c r="A362" s="47"/>
      <c r="B362" s="109"/>
      <c r="C362" s="47"/>
      <c r="E362" s="53"/>
      <c r="F362" s="47"/>
      <c r="G362" s="47"/>
      <c r="H362" s="47"/>
      <c r="I362" s="47"/>
      <c r="J362" s="47"/>
      <c r="K362" s="47"/>
      <c r="L362" s="47"/>
      <c r="M362" s="47"/>
      <c r="N362" s="91"/>
      <c r="O362" s="47"/>
      <c r="P362" s="47"/>
      <c r="Q362" s="47"/>
      <c r="R362" s="47"/>
      <c r="S362" s="47"/>
      <c r="T362" s="47"/>
      <c r="U362" s="47"/>
      <c r="V362" s="47"/>
      <c r="W362" s="47"/>
    </row>
    <row r="363" spans="1:23" x14ac:dyDescent="0.3">
      <c r="A363" s="47"/>
      <c r="B363" s="109"/>
      <c r="C363" s="47"/>
      <c r="E363" s="53"/>
      <c r="F363" s="47"/>
      <c r="G363" s="47"/>
      <c r="H363" s="47"/>
      <c r="I363" s="47"/>
      <c r="J363" s="47"/>
      <c r="K363" s="47"/>
      <c r="L363" s="47"/>
      <c r="M363" s="47"/>
      <c r="N363" s="91"/>
      <c r="O363" s="47"/>
      <c r="P363" s="47"/>
      <c r="Q363" s="47"/>
      <c r="R363" s="47"/>
      <c r="S363" s="47"/>
      <c r="T363" s="47"/>
      <c r="U363" s="47"/>
      <c r="V363" s="47"/>
      <c r="W363" s="47"/>
    </row>
    <row r="364" spans="1:23" x14ac:dyDescent="0.3">
      <c r="A364" s="47"/>
      <c r="B364" s="109"/>
      <c r="C364" s="47"/>
      <c r="E364" s="53"/>
      <c r="F364" s="47"/>
      <c r="G364" s="47"/>
      <c r="H364" s="47"/>
      <c r="I364" s="47"/>
      <c r="J364" s="47"/>
      <c r="K364" s="47"/>
      <c r="L364" s="47"/>
      <c r="M364" s="47"/>
      <c r="N364" s="91"/>
      <c r="O364" s="47"/>
      <c r="P364" s="47"/>
      <c r="Q364" s="47"/>
      <c r="R364" s="47"/>
      <c r="S364" s="47"/>
      <c r="T364" s="47"/>
      <c r="U364" s="47"/>
      <c r="V364" s="47"/>
      <c r="W364" s="47"/>
    </row>
    <row r="365" spans="1:23" x14ac:dyDescent="0.3">
      <c r="A365" s="47"/>
      <c r="B365" s="109"/>
      <c r="C365" s="47"/>
      <c r="E365" s="53"/>
      <c r="F365" s="47"/>
      <c r="G365" s="47"/>
      <c r="H365" s="47"/>
      <c r="I365" s="47"/>
      <c r="J365" s="47"/>
      <c r="K365" s="47"/>
      <c r="L365" s="47"/>
      <c r="M365" s="47"/>
      <c r="N365" s="91"/>
      <c r="O365" s="47"/>
      <c r="P365" s="47"/>
      <c r="Q365" s="47"/>
      <c r="R365" s="47"/>
      <c r="S365" s="47"/>
      <c r="T365" s="47"/>
      <c r="U365" s="47"/>
      <c r="V365" s="47"/>
      <c r="W365" s="47"/>
    </row>
    <row r="366" spans="1:23" x14ac:dyDescent="0.3">
      <c r="A366" s="47"/>
      <c r="B366" s="109"/>
      <c r="C366" s="47"/>
      <c r="E366" s="53"/>
      <c r="F366" s="47"/>
      <c r="G366" s="47"/>
      <c r="H366" s="47"/>
      <c r="I366" s="47"/>
      <c r="J366" s="47"/>
      <c r="K366" s="47"/>
      <c r="L366" s="47"/>
      <c r="M366" s="47"/>
      <c r="N366" s="91"/>
      <c r="O366" s="47"/>
      <c r="P366" s="47"/>
      <c r="Q366" s="47"/>
      <c r="R366" s="47"/>
      <c r="S366" s="47"/>
      <c r="T366" s="47"/>
      <c r="U366" s="47"/>
      <c r="V366" s="47"/>
      <c r="W366" s="47"/>
    </row>
    <row r="367" spans="1:23" x14ac:dyDescent="0.3">
      <c r="A367" s="47"/>
      <c r="B367" s="109"/>
      <c r="C367" s="47"/>
      <c r="E367" s="53"/>
      <c r="F367" s="47"/>
      <c r="G367" s="47"/>
      <c r="H367" s="47"/>
      <c r="I367" s="47"/>
      <c r="J367" s="47"/>
      <c r="K367" s="47"/>
      <c r="L367" s="47"/>
      <c r="M367" s="47"/>
      <c r="N367" s="91"/>
      <c r="O367" s="47"/>
      <c r="P367" s="47"/>
      <c r="Q367" s="47"/>
      <c r="R367" s="47"/>
      <c r="S367" s="47"/>
      <c r="T367" s="47"/>
      <c r="U367" s="47"/>
      <c r="V367" s="47"/>
      <c r="W367" s="47"/>
    </row>
    <row r="368" spans="1:23" x14ac:dyDescent="0.3">
      <c r="A368" s="47"/>
      <c r="B368" s="109"/>
      <c r="C368" s="47"/>
      <c r="E368" s="53"/>
      <c r="F368" s="47"/>
      <c r="G368" s="47"/>
      <c r="H368" s="47"/>
      <c r="I368" s="47"/>
      <c r="J368" s="47"/>
      <c r="K368" s="47"/>
      <c r="L368" s="47"/>
      <c r="M368" s="47"/>
      <c r="N368" s="91"/>
      <c r="O368" s="47"/>
      <c r="P368" s="47"/>
      <c r="Q368" s="47"/>
      <c r="R368" s="47"/>
      <c r="S368" s="47"/>
      <c r="T368" s="47"/>
      <c r="U368" s="47"/>
      <c r="V368" s="47"/>
      <c r="W368" s="47"/>
    </row>
    <row r="369" spans="1:23" x14ac:dyDescent="0.3">
      <c r="A369" s="47"/>
      <c r="B369" s="109"/>
      <c r="C369" s="47"/>
      <c r="E369" s="53"/>
      <c r="F369" s="47"/>
      <c r="G369" s="47"/>
      <c r="H369" s="47"/>
      <c r="I369" s="47"/>
      <c r="J369" s="47"/>
      <c r="K369" s="47"/>
      <c r="L369" s="47"/>
      <c r="M369" s="47"/>
      <c r="N369" s="91"/>
      <c r="O369" s="47"/>
      <c r="P369" s="47"/>
      <c r="Q369" s="47"/>
      <c r="R369" s="47"/>
      <c r="S369" s="47"/>
      <c r="T369" s="47"/>
      <c r="U369" s="47"/>
      <c r="V369" s="47"/>
      <c r="W369" s="47"/>
    </row>
    <row r="370" spans="1:23" x14ac:dyDescent="0.3">
      <c r="A370" s="47"/>
      <c r="B370" s="109"/>
      <c r="C370" s="47"/>
      <c r="E370" s="53"/>
      <c r="F370" s="47"/>
      <c r="G370" s="47"/>
      <c r="H370" s="47"/>
      <c r="I370" s="47"/>
      <c r="J370" s="47"/>
      <c r="K370" s="47"/>
      <c r="L370" s="47"/>
      <c r="M370" s="47"/>
      <c r="N370" s="91"/>
      <c r="O370" s="47"/>
      <c r="P370" s="47"/>
      <c r="Q370" s="47"/>
      <c r="R370" s="47"/>
      <c r="S370" s="47"/>
      <c r="T370" s="47"/>
      <c r="U370" s="47"/>
      <c r="V370" s="47"/>
      <c r="W370" s="47"/>
    </row>
    <row r="371" spans="1:23" x14ac:dyDescent="0.3">
      <c r="A371" s="47"/>
      <c r="B371" s="109"/>
      <c r="C371" s="47"/>
      <c r="E371" s="53"/>
      <c r="F371" s="47"/>
      <c r="G371" s="47"/>
      <c r="H371" s="47"/>
      <c r="I371" s="47"/>
      <c r="J371" s="47"/>
      <c r="K371" s="47"/>
      <c r="L371" s="47"/>
      <c r="M371" s="47"/>
      <c r="N371" s="91"/>
      <c r="O371" s="47"/>
      <c r="P371" s="47"/>
      <c r="Q371" s="47"/>
      <c r="R371" s="47"/>
      <c r="S371" s="47"/>
      <c r="T371" s="47"/>
      <c r="U371" s="47"/>
      <c r="V371" s="47"/>
      <c r="W371" s="47"/>
    </row>
    <row r="372" spans="1:23" x14ac:dyDescent="0.3">
      <c r="A372" s="47"/>
      <c r="B372" s="109"/>
      <c r="C372" s="47"/>
      <c r="E372" s="53"/>
      <c r="F372" s="47"/>
      <c r="G372" s="47"/>
      <c r="H372" s="47"/>
      <c r="I372" s="47"/>
      <c r="J372" s="47"/>
      <c r="K372" s="47"/>
      <c r="L372" s="47"/>
      <c r="M372" s="47"/>
      <c r="N372" s="91"/>
      <c r="O372" s="47"/>
      <c r="P372" s="47"/>
      <c r="Q372" s="47"/>
      <c r="R372" s="47"/>
      <c r="S372" s="47"/>
      <c r="T372" s="47"/>
      <c r="U372" s="47"/>
      <c r="V372" s="47"/>
      <c r="W372" s="47"/>
    </row>
    <row r="373" spans="1:23" x14ac:dyDescent="0.3">
      <c r="A373" s="47"/>
      <c r="B373" s="109"/>
      <c r="C373" s="47"/>
      <c r="E373" s="53"/>
      <c r="F373" s="47"/>
      <c r="G373" s="47"/>
      <c r="H373" s="47"/>
      <c r="I373" s="47"/>
      <c r="J373" s="47"/>
      <c r="K373" s="47"/>
      <c r="L373" s="47"/>
      <c r="M373" s="47"/>
      <c r="N373" s="91"/>
      <c r="O373" s="47"/>
      <c r="P373" s="47"/>
      <c r="Q373" s="47"/>
      <c r="R373" s="47"/>
      <c r="S373" s="47"/>
      <c r="T373" s="47"/>
      <c r="U373" s="47"/>
      <c r="V373" s="47"/>
      <c r="W373" s="47"/>
    </row>
    <row r="374" spans="1:23" x14ac:dyDescent="0.3">
      <c r="A374" s="47"/>
      <c r="B374" s="109"/>
      <c r="C374" s="47"/>
      <c r="E374" s="53"/>
      <c r="F374" s="47"/>
      <c r="G374" s="47"/>
      <c r="H374" s="47"/>
      <c r="I374" s="47"/>
      <c r="J374" s="47"/>
      <c r="K374" s="47"/>
      <c r="L374" s="47"/>
      <c r="M374" s="47"/>
      <c r="N374" s="91"/>
      <c r="O374" s="47"/>
      <c r="P374" s="47"/>
      <c r="Q374" s="47"/>
      <c r="R374" s="47"/>
      <c r="S374" s="47"/>
      <c r="T374" s="47"/>
      <c r="U374" s="47"/>
      <c r="V374" s="47"/>
      <c r="W374" s="47"/>
    </row>
    <row r="375" spans="1:23" x14ac:dyDescent="0.3">
      <c r="A375" s="47"/>
      <c r="B375" s="109"/>
      <c r="C375" s="47"/>
      <c r="E375" s="53"/>
      <c r="F375" s="47"/>
      <c r="G375" s="47"/>
      <c r="H375" s="47"/>
      <c r="I375" s="47"/>
      <c r="J375" s="47"/>
      <c r="K375" s="47"/>
      <c r="L375" s="47"/>
      <c r="M375" s="47"/>
      <c r="N375" s="91"/>
      <c r="O375" s="47"/>
      <c r="P375" s="47"/>
      <c r="Q375" s="47"/>
      <c r="R375" s="47"/>
      <c r="S375" s="47"/>
      <c r="T375" s="47"/>
      <c r="U375" s="47"/>
      <c r="V375" s="47"/>
      <c r="W375" s="47"/>
    </row>
    <row r="376" spans="1:23" x14ac:dyDescent="0.3">
      <c r="A376" s="47"/>
      <c r="B376" s="109"/>
      <c r="C376" s="47"/>
      <c r="E376" s="53"/>
      <c r="F376" s="47"/>
      <c r="G376" s="47"/>
      <c r="H376" s="47"/>
      <c r="I376" s="47"/>
      <c r="J376" s="47"/>
      <c r="K376" s="47"/>
      <c r="L376" s="47"/>
      <c r="M376" s="47"/>
      <c r="N376" s="91"/>
      <c r="O376" s="47"/>
      <c r="P376" s="47"/>
      <c r="Q376" s="47"/>
      <c r="R376" s="47"/>
      <c r="S376" s="47"/>
      <c r="T376" s="47"/>
      <c r="U376" s="47"/>
      <c r="V376" s="47"/>
      <c r="W376" s="47"/>
    </row>
    <row r="377" spans="1:23" x14ac:dyDescent="0.3">
      <c r="A377" s="47"/>
      <c r="B377" s="109"/>
      <c r="C377" s="47"/>
      <c r="E377" s="53"/>
      <c r="F377" s="47"/>
      <c r="G377" s="47"/>
      <c r="H377" s="47"/>
      <c r="I377" s="47"/>
      <c r="J377" s="47"/>
      <c r="K377" s="47"/>
      <c r="L377" s="47"/>
      <c r="M377" s="47"/>
      <c r="N377" s="91"/>
      <c r="O377" s="47"/>
      <c r="P377" s="47"/>
      <c r="Q377" s="47"/>
      <c r="R377" s="47"/>
      <c r="S377" s="47"/>
      <c r="T377" s="47"/>
      <c r="U377" s="47"/>
      <c r="V377" s="47"/>
      <c r="W377" s="47"/>
    </row>
    <row r="378" spans="1:23" x14ac:dyDescent="0.3">
      <c r="A378" s="47"/>
      <c r="B378" s="109"/>
      <c r="C378" s="47"/>
      <c r="E378" s="53"/>
      <c r="F378" s="47"/>
      <c r="G378" s="47"/>
      <c r="H378" s="47"/>
      <c r="I378" s="47"/>
      <c r="J378" s="47"/>
      <c r="K378" s="47"/>
      <c r="L378" s="47"/>
      <c r="M378" s="47"/>
      <c r="N378" s="91"/>
      <c r="O378" s="47"/>
      <c r="P378" s="47"/>
      <c r="Q378" s="47"/>
      <c r="R378" s="47"/>
      <c r="S378" s="47"/>
      <c r="T378" s="47"/>
      <c r="U378" s="47"/>
      <c r="V378" s="47"/>
      <c r="W378" s="47"/>
    </row>
    <row r="379" spans="1:23" x14ac:dyDescent="0.3">
      <c r="A379" s="47"/>
      <c r="B379" s="109"/>
      <c r="C379" s="47"/>
      <c r="E379" s="53"/>
      <c r="F379" s="47"/>
      <c r="G379" s="47"/>
      <c r="H379" s="47"/>
      <c r="I379" s="47"/>
      <c r="J379" s="47"/>
      <c r="K379" s="47"/>
      <c r="L379" s="47"/>
      <c r="M379" s="47"/>
      <c r="N379" s="91"/>
      <c r="O379" s="47"/>
      <c r="P379" s="47"/>
      <c r="Q379" s="47"/>
      <c r="R379" s="47"/>
      <c r="S379" s="47"/>
      <c r="T379" s="47"/>
      <c r="U379" s="47"/>
      <c r="V379" s="47"/>
      <c r="W379" s="47"/>
    </row>
    <row r="380" spans="1:23" x14ac:dyDescent="0.3">
      <c r="A380" s="47"/>
      <c r="B380" s="109"/>
      <c r="C380" s="47"/>
      <c r="E380" s="53"/>
      <c r="F380" s="47"/>
      <c r="G380" s="47"/>
      <c r="H380" s="47"/>
      <c r="I380" s="47"/>
      <c r="J380" s="47"/>
      <c r="K380" s="47"/>
      <c r="L380" s="47"/>
      <c r="M380" s="47"/>
      <c r="N380" s="91"/>
      <c r="O380" s="47"/>
      <c r="P380" s="47"/>
      <c r="Q380" s="47"/>
      <c r="R380" s="47"/>
      <c r="S380" s="47"/>
      <c r="T380" s="47"/>
      <c r="U380" s="47"/>
      <c r="V380" s="47"/>
      <c r="W380" s="47"/>
    </row>
    <row r="381" spans="1:23" x14ac:dyDescent="0.3">
      <c r="A381" s="47"/>
      <c r="B381" s="109"/>
      <c r="C381" s="47"/>
      <c r="E381" s="53"/>
      <c r="F381" s="47"/>
      <c r="G381" s="47"/>
      <c r="H381" s="47"/>
      <c r="I381" s="47"/>
      <c r="J381" s="47"/>
      <c r="K381" s="47"/>
      <c r="L381" s="47"/>
      <c r="M381" s="47"/>
      <c r="N381" s="91"/>
      <c r="O381" s="47"/>
      <c r="P381" s="47"/>
      <c r="Q381" s="47"/>
      <c r="R381" s="47"/>
      <c r="S381" s="47"/>
      <c r="T381" s="47"/>
      <c r="U381" s="47"/>
      <c r="V381" s="47"/>
      <c r="W381" s="47"/>
    </row>
    <row r="382" spans="1:23" x14ac:dyDescent="0.3">
      <c r="A382" s="47"/>
      <c r="B382" s="109"/>
      <c r="C382" s="47"/>
      <c r="E382" s="53"/>
      <c r="F382" s="47"/>
      <c r="G382" s="47"/>
      <c r="H382" s="47"/>
      <c r="I382" s="47"/>
      <c r="J382" s="47"/>
      <c r="K382" s="47"/>
      <c r="L382" s="47"/>
      <c r="M382" s="47"/>
      <c r="N382" s="91"/>
      <c r="O382" s="47"/>
      <c r="P382" s="47"/>
      <c r="Q382" s="47"/>
      <c r="R382" s="47"/>
      <c r="S382" s="47"/>
      <c r="T382" s="47"/>
      <c r="U382" s="47"/>
      <c r="V382" s="47"/>
      <c r="W382" s="47"/>
    </row>
    <row r="383" spans="1:23" x14ac:dyDescent="0.3">
      <c r="A383" s="47"/>
      <c r="B383" s="109"/>
      <c r="C383" s="47"/>
      <c r="E383" s="53"/>
      <c r="F383" s="47"/>
      <c r="G383" s="47"/>
      <c r="H383" s="47"/>
      <c r="I383" s="47"/>
      <c r="J383" s="47"/>
      <c r="K383" s="47"/>
      <c r="L383" s="47"/>
      <c r="M383" s="47"/>
      <c r="N383" s="91"/>
      <c r="O383" s="47"/>
      <c r="P383" s="47"/>
      <c r="Q383" s="47"/>
      <c r="R383" s="47"/>
      <c r="S383" s="47"/>
      <c r="T383" s="47"/>
      <c r="U383" s="47"/>
      <c r="V383" s="47"/>
      <c r="W383" s="47"/>
    </row>
    <row r="384" spans="1:23" x14ac:dyDescent="0.3">
      <c r="A384" s="47"/>
      <c r="B384" s="109"/>
      <c r="C384" s="47"/>
      <c r="E384" s="53"/>
      <c r="F384" s="47"/>
      <c r="G384" s="47"/>
      <c r="H384" s="47"/>
      <c r="I384" s="47"/>
      <c r="J384" s="47"/>
      <c r="K384" s="47"/>
      <c r="L384" s="47"/>
      <c r="M384" s="47"/>
      <c r="N384" s="91"/>
      <c r="O384" s="47"/>
      <c r="P384" s="47"/>
      <c r="Q384" s="47"/>
      <c r="R384" s="47"/>
      <c r="S384" s="47"/>
      <c r="T384" s="47"/>
      <c r="U384" s="47"/>
      <c r="V384" s="47"/>
      <c r="W384" s="47"/>
    </row>
    <row r="385" spans="1:23" x14ac:dyDescent="0.3">
      <c r="A385" s="47"/>
      <c r="B385" s="109"/>
      <c r="C385" s="47"/>
      <c r="E385" s="53"/>
      <c r="F385" s="47"/>
      <c r="G385" s="47"/>
      <c r="H385" s="47"/>
      <c r="I385" s="47"/>
      <c r="J385" s="47"/>
      <c r="K385" s="47"/>
      <c r="L385" s="47"/>
      <c r="M385" s="47"/>
      <c r="N385" s="91"/>
      <c r="O385" s="47"/>
      <c r="P385" s="47"/>
      <c r="Q385" s="47"/>
      <c r="R385" s="47"/>
      <c r="S385" s="47"/>
      <c r="T385" s="47"/>
      <c r="U385" s="47"/>
      <c r="V385" s="47"/>
      <c r="W385" s="47"/>
    </row>
    <row r="386" spans="1:23" x14ac:dyDescent="0.3">
      <c r="A386" s="47"/>
      <c r="B386" s="109"/>
      <c r="C386" s="47"/>
      <c r="E386" s="53"/>
      <c r="F386" s="47"/>
      <c r="G386" s="47"/>
      <c r="H386" s="47"/>
      <c r="I386" s="47"/>
      <c r="J386" s="47"/>
      <c r="K386" s="47"/>
      <c r="L386" s="47"/>
      <c r="M386" s="47"/>
      <c r="N386" s="91"/>
      <c r="O386" s="47"/>
      <c r="P386" s="47"/>
      <c r="Q386" s="47"/>
      <c r="R386" s="47"/>
      <c r="S386" s="47"/>
      <c r="T386" s="47"/>
      <c r="U386" s="47"/>
      <c r="V386" s="47"/>
      <c r="W386" s="47"/>
    </row>
    <row r="387" spans="1:23" x14ac:dyDescent="0.3">
      <c r="A387" s="47"/>
      <c r="B387" s="109"/>
      <c r="C387" s="47"/>
      <c r="E387" s="53"/>
      <c r="F387" s="47"/>
      <c r="G387" s="47"/>
      <c r="H387" s="47"/>
      <c r="I387" s="47"/>
      <c r="J387" s="47"/>
      <c r="K387" s="47"/>
      <c r="L387" s="47"/>
      <c r="M387" s="47"/>
      <c r="N387" s="91"/>
      <c r="O387" s="47"/>
      <c r="P387" s="47"/>
      <c r="Q387" s="47"/>
      <c r="R387" s="47"/>
      <c r="S387" s="47"/>
      <c r="T387" s="47"/>
      <c r="U387" s="47"/>
      <c r="V387" s="47"/>
      <c r="W387" s="47"/>
    </row>
    <row r="388" spans="1:23" x14ac:dyDescent="0.3">
      <c r="A388" s="47"/>
      <c r="B388" s="109"/>
      <c r="C388" s="47"/>
      <c r="E388" s="53"/>
      <c r="F388" s="47"/>
      <c r="G388" s="47"/>
      <c r="H388" s="47"/>
      <c r="I388" s="47"/>
      <c r="J388" s="47"/>
      <c r="K388" s="47"/>
      <c r="L388" s="47"/>
      <c r="M388" s="47"/>
      <c r="N388" s="91"/>
      <c r="O388" s="47"/>
      <c r="P388" s="47"/>
      <c r="Q388" s="47"/>
      <c r="R388" s="47"/>
      <c r="S388" s="47"/>
      <c r="T388" s="47"/>
      <c r="U388" s="47"/>
      <c r="V388" s="47"/>
      <c r="W388" s="47"/>
    </row>
    <row r="389" spans="1:23" x14ac:dyDescent="0.3">
      <c r="A389" s="47"/>
      <c r="B389" s="109"/>
      <c r="C389" s="47"/>
      <c r="E389" s="53"/>
      <c r="F389" s="47"/>
      <c r="G389" s="47"/>
      <c r="H389" s="47"/>
      <c r="I389" s="47"/>
      <c r="J389" s="47"/>
      <c r="K389" s="47"/>
      <c r="L389" s="47"/>
      <c r="M389" s="47"/>
      <c r="N389" s="91"/>
      <c r="O389" s="47"/>
      <c r="P389" s="47"/>
      <c r="Q389" s="47"/>
      <c r="R389" s="47"/>
      <c r="S389" s="47"/>
      <c r="T389" s="47"/>
      <c r="U389" s="47"/>
      <c r="V389" s="47"/>
      <c r="W389" s="47"/>
    </row>
    <row r="390" spans="1:23" x14ac:dyDescent="0.3">
      <c r="A390" s="47"/>
      <c r="B390" s="109"/>
      <c r="C390" s="47"/>
      <c r="E390" s="53"/>
      <c r="F390" s="47"/>
      <c r="G390" s="47"/>
      <c r="H390" s="47"/>
      <c r="I390" s="47"/>
      <c r="J390" s="47"/>
      <c r="K390" s="47"/>
      <c r="L390" s="47"/>
      <c r="M390" s="47"/>
      <c r="N390" s="91"/>
      <c r="O390" s="47"/>
      <c r="P390" s="47"/>
      <c r="Q390" s="47"/>
      <c r="R390" s="47"/>
      <c r="S390" s="47"/>
      <c r="T390" s="47"/>
      <c r="U390" s="47"/>
      <c r="V390" s="47"/>
      <c r="W390" s="47"/>
    </row>
    <row r="391" spans="1:23" x14ac:dyDescent="0.3">
      <c r="A391" s="47"/>
      <c r="B391" s="109"/>
      <c r="C391" s="47"/>
      <c r="E391" s="53"/>
      <c r="F391" s="47"/>
      <c r="G391" s="47"/>
      <c r="H391" s="47"/>
      <c r="I391" s="47"/>
      <c r="J391" s="47"/>
      <c r="K391" s="47"/>
      <c r="L391" s="47"/>
      <c r="M391" s="47"/>
      <c r="N391" s="91"/>
      <c r="O391" s="47"/>
      <c r="P391" s="47"/>
      <c r="Q391" s="47"/>
      <c r="R391" s="47"/>
      <c r="S391" s="47"/>
      <c r="T391" s="47"/>
      <c r="U391" s="47"/>
      <c r="V391" s="47"/>
      <c r="W391" s="47"/>
    </row>
    <row r="392" spans="1:23" x14ac:dyDescent="0.3">
      <c r="A392" s="47"/>
      <c r="B392" s="109"/>
      <c r="C392" s="47"/>
      <c r="E392" s="53"/>
      <c r="F392" s="47"/>
      <c r="G392" s="47"/>
      <c r="H392" s="47"/>
      <c r="I392" s="47"/>
      <c r="J392" s="47"/>
      <c r="K392" s="47"/>
      <c r="L392" s="47"/>
      <c r="M392" s="47"/>
      <c r="N392" s="91"/>
      <c r="O392" s="47"/>
      <c r="P392" s="47"/>
      <c r="Q392" s="47"/>
      <c r="R392" s="47"/>
      <c r="S392" s="47"/>
      <c r="T392" s="47"/>
      <c r="U392" s="47"/>
      <c r="V392" s="47"/>
      <c r="W392" s="47"/>
    </row>
    <row r="393" spans="1:23" x14ac:dyDescent="0.3">
      <c r="A393" s="47"/>
      <c r="B393" s="109"/>
      <c r="C393" s="47"/>
      <c r="E393" s="53"/>
      <c r="F393" s="47"/>
      <c r="G393" s="47"/>
      <c r="H393" s="47"/>
      <c r="I393" s="47"/>
      <c r="J393" s="47"/>
      <c r="K393" s="47"/>
      <c r="L393" s="47"/>
      <c r="M393" s="47"/>
      <c r="N393" s="91"/>
      <c r="O393" s="47"/>
      <c r="P393" s="47"/>
      <c r="Q393" s="47"/>
      <c r="R393" s="47"/>
      <c r="S393" s="47"/>
      <c r="T393" s="47"/>
      <c r="U393" s="47"/>
      <c r="V393" s="47"/>
      <c r="W393" s="47"/>
    </row>
    <row r="394" spans="1:23" x14ac:dyDescent="0.3">
      <c r="A394" s="47"/>
      <c r="B394" s="109"/>
      <c r="C394" s="47"/>
      <c r="E394" s="53"/>
      <c r="F394" s="47"/>
      <c r="G394" s="47"/>
      <c r="H394" s="47"/>
      <c r="I394" s="47"/>
      <c r="J394" s="47"/>
      <c r="K394" s="47"/>
      <c r="L394" s="47"/>
      <c r="M394" s="47"/>
      <c r="N394" s="91"/>
      <c r="O394" s="47"/>
      <c r="P394" s="47"/>
      <c r="Q394" s="47"/>
      <c r="R394" s="47"/>
      <c r="S394" s="47"/>
      <c r="T394" s="47"/>
      <c r="U394" s="47"/>
      <c r="V394" s="47"/>
      <c r="W394" s="47"/>
    </row>
    <row r="395" spans="1:23" x14ac:dyDescent="0.3">
      <c r="A395" s="47"/>
      <c r="B395" s="109"/>
      <c r="C395" s="47"/>
      <c r="E395" s="53"/>
      <c r="F395" s="47"/>
      <c r="G395" s="47"/>
      <c r="H395" s="47"/>
      <c r="I395" s="47"/>
      <c r="J395" s="47"/>
      <c r="K395" s="47"/>
      <c r="L395" s="47"/>
      <c r="M395" s="47"/>
      <c r="N395" s="91"/>
      <c r="O395" s="47"/>
      <c r="P395" s="47"/>
      <c r="Q395" s="47"/>
      <c r="R395" s="47"/>
      <c r="S395" s="47"/>
      <c r="T395" s="47"/>
      <c r="U395" s="47"/>
      <c r="V395" s="47"/>
      <c r="W395" s="47"/>
    </row>
    <row r="396" spans="1:23" x14ac:dyDescent="0.3">
      <c r="A396" s="47"/>
      <c r="B396" s="109"/>
      <c r="C396" s="47"/>
      <c r="E396" s="53"/>
      <c r="F396" s="47"/>
      <c r="G396" s="47"/>
      <c r="H396" s="47"/>
      <c r="I396" s="47"/>
      <c r="J396" s="47"/>
      <c r="K396" s="47"/>
      <c r="L396" s="47"/>
      <c r="M396" s="47"/>
      <c r="N396" s="91"/>
      <c r="O396" s="47"/>
      <c r="P396" s="47"/>
      <c r="Q396" s="47"/>
      <c r="R396" s="47"/>
      <c r="S396" s="47"/>
      <c r="T396" s="47"/>
      <c r="U396" s="47"/>
      <c r="V396" s="47"/>
      <c r="W396" s="47"/>
    </row>
    <row r="397" spans="1:23" x14ac:dyDescent="0.3">
      <c r="A397" s="47"/>
      <c r="B397" s="109"/>
      <c r="C397" s="47"/>
      <c r="E397" s="53"/>
      <c r="F397" s="47"/>
      <c r="G397" s="47"/>
      <c r="H397" s="47"/>
      <c r="I397" s="47"/>
      <c r="J397" s="47"/>
      <c r="K397" s="47"/>
      <c r="L397" s="47"/>
      <c r="M397" s="47"/>
      <c r="N397" s="91"/>
      <c r="O397" s="47"/>
      <c r="P397" s="47"/>
      <c r="Q397" s="47"/>
      <c r="R397" s="47"/>
      <c r="S397" s="47"/>
      <c r="T397" s="47"/>
      <c r="U397" s="47"/>
      <c r="V397" s="47"/>
      <c r="W397" s="47"/>
    </row>
    <row r="398" spans="1:23" x14ac:dyDescent="0.3">
      <c r="A398" s="47"/>
      <c r="B398" s="109"/>
      <c r="C398" s="47"/>
      <c r="E398" s="53"/>
      <c r="F398" s="47"/>
      <c r="G398" s="47"/>
      <c r="H398" s="47"/>
      <c r="I398" s="47"/>
      <c r="J398" s="47"/>
      <c r="K398" s="47"/>
      <c r="L398" s="47"/>
      <c r="M398" s="47"/>
      <c r="N398" s="91"/>
      <c r="O398" s="47"/>
      <c r="P398" s="47"/>
      <c r="Q398" s="47"/>
      <c r="R398" s="47"/>
      <c r="S398" s="47"/>
      <c r="T398" s="47"/>
      <c r="U398" s="47"/>
      <c r="V398" s="47"/>
      <c r="W398" s="47"/>
    </row>
    <row r="399" spans="1:23" x14ac:dyDescent="0.3">
      <c r="A399" s="47"/>
      <c r="B399" s="109"/>
      <c r="C399" s="47"/>
      <c r="E399" s="53"/>
      <c r="F399" s="47"/>
      <c r="G399" s="47"/>
      <c r="H399" s="47"/>
      <c r="I399" s="47"/>
      <c r="J399" s="47"/>
      <c r="K399" s="47"/>
      <c r="L399" s="47"/>
      <c r="M399" s="47"/>
      <c r="N399" s="91"/>
      <c r="O399" s="47"/>
      <c r="P399" s="47"/>
      <c r="Q399" s="47"/>
      <c r="R399" s="47"/>
      <c r="S399" s="47"/>
      <c r="T399" s="47"/>
      <c r="U399" s="47"/>
      <c r="V399" s="47"/>
      <c r="W399" s="47"/>
    </row>
    <row r="400" spans="1:23" x14ac:dyDescent="0.3">
      <c r="A400" s="47"/>
      <c r="B400" s="109"/>
      <c r="C400" s="47"/>
      <c r="E400" s="53"/>
      <c r="F400" s="47"/>
      <c r="G400" s="47"/>
      <c r="H400" s="47"/>
      <c r="I400" s="47"/>
      <c r="J400" s="47"/>
      <c r="K400" s="47"/>
      <c r="L400" s="47"/>
      <c r="M400" s="47"/>
      <c r="N400" s="91"/>
      <c r="O400" s="47"/>
      <c r="P400" s="47"/>
      <c r="Q400" s="47"/>
      <c r="R400" s="47"/>
      <c r="S400" s="47"/>
      <c r="T400" s="47"/>
      <c r="U400" s="47"/>
      <c r="V400" s="47"/>
      <c r="W400" s="47"/>
    </row>
    <row r="401" spans="1:23" x14ac:dyDescent="0.3">
      <c r="A401" s="47"/>
      <c r="B401" s="109"/>
      <c r="C401" s="47"/>
      <c r="E401" s="53"/>
      <c r="F401" s="47"/>
      <c r="G401" s="47"/>
      <c r="H401" s="47"/>
      <c r="I401" s="47"/>
      <c r="J401" s="47"/>
      <c r="K401" s="47"/>
      <c r="L401" s="47"/>
      <c r="M401" s="47"/>
      <c r="N401" s="91"/>
      <c r="O401" s="47"/>
      <c r="P401" s="47"/>
      <c r="Q401" s="47"/>
      <c r="R401" s="47"/>
      <c r="S401" s="47"/>
      <c r="T401" s="47"/>
      <c r="U401" s="47"/>
      <c r="V401" s="47"/>
      <c r="W401" s="47"/>
    </row>
    <row r="402" spans="1:23" x14ac:dyDescent="0.3">
      <c r="A402" s="47"/>
      <c r="B402" s="109"/>
      <c r="C402" s="47"/>
      <c r="E402" s="53"/>
      <c r="F402" s="47"/>
      <c r="G402" s="47"/>
      <c r="H402" s="47"/>
      <c r="I402" s="47"/>
      <c r="J402" s="47"/>
      <c r="K402" s="47"/>
      <c r="L402" s="47"/>
      <c r="M402" s="47"/>
      <c r="N402" s="91"/>
      <c r="O402" s="47"/>
      <c r="P402" s="47"/>
      <c r="Q402" s="47"/>
      <c r="R402" s="47"/>
      <c r="S402" s="47"/>
      <c r="T402" s="47"/>
      <c r="U402" s="47"/>
      <c r="V402" s="47"/>
      <c r="W402" s="47"/>
    </row>
    <row r="403" spans="1:23" x14ac:dyDescent="0.3">
      <c r="A403" s="47"/>
      <c r="B403" s="109"/>
      <c r="C403" s="47"/>
      <c r="E403" s="53"/>
      <c r="F403" s="47"/>
      <c r="G403" s="47"/>
      <c r="H403" s="47"/>
      <c r="I403" s="47"/>
      <c r="J403" s="47"/>
      <c r="K403" s="47"/>
      <c r="L403" s="47"/>
      <c r="M403" s="47"/>
      <c r="N403" s="91"/>
      <c r="O403" s="47"/>
      <c r="P403" s="47"/>
      <c r="Q403" s="47"/>
      <c r="R403" s="47"/>
      <c r="S403" s="47"/>
      <c r="T403" s="47"/>
      <c r="U403" s="47"/>
      <c r="V403" s="47"/>
      <c r="W403" s="47"/>
    </row>
    <row r="404" spans="1:23" x14ac:dyDescent="0.3">
      <c r="A404" s="47"/>
      <c r="B404" s="109"/>
      <c r="C404" s="47"/>
      <c r="E404" s="53"/>
      <c r="F404" s="47"/>
      <c r="G404" s="47"/>
      <c r="H404" s="47"/>
      <c r="I404" s="47"/>
      <c r="J404" s="47"/>
      <c r="K404" s="47"/>
      <c r="L404" s="47"/>
      <c r="M404" s="47"/>
      <c r="N404" s="91"/>
      <c r="O404" s="47"/>
      <c r="P404" s="47"/>
      <c r="Q404" s="47"/>
      <c r="R404" s="47"/>
      <c r="S404" s="47"/>
      <c r="T404" s="47"/>
      <c r="U404" s="47"/>
      <c r="V404" s="47"/>
      <c r="W404" s="47"/>
    </row>
    <row r="405" spans="1:23" x14ac:dyDescent="0.3">
      <c r="A405" s="47"/>
      <c r="B405" s="109"/>
      <c r="C405" s="47"/>
      <c r="E405" s="53"/>
      <c r="F405" s="47"/>
      <c r="G405" s="47"/>
      <c r="H405" s="47"/>
      <c r="I405" s="47"/>
      <c r="J405" s="47"/>
      <c r="K405" s="47"/>
      <c r="L405" s="47"/>
      <c r="M405" s="47"/>
      <c r="N405" s="91"/>
      <c r="O405" s="47"/>
      <c r="P405" s="47"/>
      <c r="Q405" s="47"/>
      <c r="R405" s="47"/>
      <c r="S405" s="47"/>
      <c r="T405" s="47"/>
      <c r="U405" s="47"/>
      <c r="V405" s="47"/>
      <c r="W405" s="47"/>
    </row>
    <row r="406" spans="1:23" x14ac:dyDescent="0.3">
      <c r="A406" s="47"/>
      <c r="B406" s="109"/>
      <c r="C406" s="47"/>
      <c r="E406" s="53"/>
      <c r="F406" s="47"/>
      <c r="G406" s="47"/>
      <c r="H406" s="47"/>
      <c r="I406" s="47"/>
      <c r="J406" s="47"/>
      <c r="K406" s="47"/>
      <c r="L406" s="47"/>
      <c r="M406" s="47"/>
      <c r="N406" s="91"/>
      <c r="O406" s="47"/>
      <c r="P406" s="47"/>
      <c r="Q406" s="47"/>
      <c r="R406" s="47"/>
      <c r="S406" s="47"/>
      <c r="T406" s="47"/>
      <c r="U406" s="47"/>
      <c r="V406" s="47"/>
      <c r="W406" s="47"/>
    </row>
    <row r="407" spans="1:23" x14ac:dyDescent="0.3">
      <c r="A407" s="47"/>
      <c r="B407" s="109"/>
      <c r="C407" s="47"/>
      <c r="E407" s="53"/>
      <c r="F407" s="47"/>
      <c r="G407" s="47"/>
      <c r="H407" s="47"/>
      <c r="I407" s="47"/>
      <c r="J407" s="47"/>
      <c r="K407" s="47"/>
      <c r="L407" s="47"/>
      <c r="M407" s="47"/>
      <c r="N407" s="91"/>
      <c r="O407" s="47"/>
      <c r="P407" s="47"/>
      <c r="Q407" s="47"/>
      <c r="R407" s="47"/>
      <c r="S407" s="47"/>
      <c r="T407" s="47"/>
      <c r="U407" s="47"/>
      <c r="V407" s="47"/>
      <c r="W407" s="47"/>
    </row>
    <row r="408" spans="1:23" x14ac:dyDescent="0.3">
      <c r="A408" s="47"/>
      <c r="B408" s="109"/>
      <c r="C408" s="47"/>
      <c r="E408" s="53"/>
      <c r="F408" s="47"/>
      <c r="G408" s="47"/>
      <c r="H408" s="47"/>
      <c r="I408" s="47"/>
      <c r="J408" s="47"/>
      <c r="K408" s="47"/>
      <c r="L408" s="47"/>
      <c r="M408" s="47"/>
      <c r="N408" s="91"/>
      <c r="O408" s="47"/>
      <c r="P408" s="47"/>
      <c r="Q408" s="47"/>
      <c r="R408" s="47"/>
      <c r="S408" s="47"/>
      <c r="T408" s="47"/>
      <c r="U408" s="47"/>
      <c r="V408" s="47"/>
      <c r="W408" s="47"/>
    </row>
    <row r="409" spans="1:23" x14ac:dyDescent="0.3">
      <c r="A409" s="47"/>
      <c r="B409" s="109"/>
      <c r="C409" s="47"/>
      <c r="E409" s="53"/>
      <c r="F409" s="47"/>
      <c r="G409" s="47"/>
      <c r="H409" s="47"/>
      <c r="I409" s="47"/>
      <c r="J409" s="47"/>
      <c r="K409" s="47"/>
      <c r="L409" s="47"/>
      <c r="M409" s="47"/>
      <c r="N409" s="91"/>
      <c r="O409" s="47"/>
      <c r="P409" s="47"/>
      <c r="Q409" s="47"/>
      <c r="R409" s="47"/>
      <c r="S409" s="47"/>
      <c r="T409" s="47"/>
      <c r="U409" s="47"/>
      <c r="V409" s="47"/>
      <c r="W409" s="47"/>
    </row>
    <row r="410" spans="1:23" x14ac:dyDescent="0.3">
      <c r="A410" s="47"/>
      <c r="B410" s="109"/>
      <c r="C410" s="47"/>
      <c r="E410" s="53"/>
      <c r="F410" s="47"/>
      <c r="G410" s="47"/>
      <c r="H410" s="47"/>
      <c r="I410" s="47"/>
      <c r="J410" s="47"/>
      <c r="K410" s="47"/>
      <c r="L410" s="47"/>
      <c r="M410" s="47"/>
      <c r="N410" s="91"/>
      <c r="O410" s="47"/>
      <c r="P410" s="47"/>
      <c r="Q410" s="47"/>
      <c r="R410" s="47"/>
      <c r="S410" s="47"/>
      <c r="T410" s="47"/>
      <c r="U410" s="47"/>
      <c r="V410" s="47"/>
      <c r="W410" s="47"/>
    </row>
    <row r="411" spans="1:23" x14ac:dyDescent="0.3">
      <c r="A411" s="47"/>
      <c r="B411" s="109"/>
      <c r="C411" s="47"/>
      <c r="E411" s="53"/>
      <c r="F411" s="47"/>
      <c r="G411" s="47"/>
      <c r="H411" s="47"/>
      <c r="I411" s="47"/>
      <c r="J411" s="47"/>
      <c r="K411" s="47"/>
      <c r="L411" s="47"/>
      <c r="M411" s="47"/>
      <c r="N411" s="91"/>
      <c r="O411" s="47"/>
      <c r="P411" s="47"/>
      <c r="Q411" s="47"/>
      <c r="R411" s="47"/>
      <c r="S411" s="47"/>
      <c r="T411" s="47"/>
      <c r="U411" s="47"/>
      <c r="V411" s="47"/>
      <c r="W411" s="47"/>
    </row>
    <row r="412" spans="1:23" x14ac:dyDescent="0.3">
      <c r="A412" s="47"/>
      <c r="B412" s="109"/>
      <c r="C412" s="47"/>
      <c r="E412" s="53"/>
      <c r="F412" s="47"/>
      <c r="G412" s="47"/>
      <c r="H412" s="47"/>
      <c r="I412" s="47"/>
      <c r="J412" s="47"/>
      <c r="K412" s="47"/>
      <c r="L412" s="47"/>
      <c r="M412" s="47"/>
      <c r="N412" s="91"/>
      <c r="O412" s="47"/>
      <c r="P412" s="47"/>
      <c r="Q412" s="47"/>
      <c r="R412" s="47"/>
      <c r="S412" s="47"/>
      <c r="T412" s="47"/>
      <c r="U412" s="47"/>
      <c r="V412" s="47"/>
      <c r="W412" s="47"/>
    </row>
    <row r="413" spans="1:23" x14ac:dyDescent="0.3">
      <c r="A413" s="47"/>
      <c r="B413" s="109"/>
      <c r="C413" s="47"/>
      <c r="E413" s="53"/>
      <c r="F413" s="47"/>
      <c r="G413" s="47"/>
      <c r="H413" s="47"/>
      <c r="I413" s="47"/>
      <c r="J413" s="47"/>
      <c r="K413" s="47"/>
      <c r="L413" s="47"/>
      <c r="M413" s="47"/>
      <c r="N413" s="91"/>
      <c r="O413" s="47"/>
      <c r="P413" s="47"/>
      <c r="Q413" s="47"/>
      <c r="R413" s="47"/>
      <c r="S413" s="47"/>
      <c r="T413" s="47"/>
      <c r="U413" s="47"/>
      <c r="V413" s="47"/>
      <c r="W413" s="47"/>
    </row>
    <row r="414" spans="1:23" x14ac:dyDescent="0.3">
      <c r="A414" s="47"/>
      <c r="B414" s="109"/>
      <c r="C414" s="47"/>
      <c r="E414" s="53"/>
      <c r="F414" s="47"/>
      <c r="G414" s="47"/>
      <c r="H414" s="47"/>
      <c r="I414" s="47"/>
      <c r="J414" s="47"/>
      <c r="K414" s="47"/>
      <c r="L414" s="47"/>
      <c r="M414" s="47"/>
      <c r="N414" s="91"/>
      <c r="O414" s="47"/>
      <c r="P414" s="47"/>
      <c r="Q414" s="47"/>
      <c r="R414" s="47"/>
      <c r="S414" s="47"/>
      <c r="T414" s="47"/>
      <c r="U414" s="47"/>
      <c r="V414" s="47"/>
      <c r="W414" s="47"/>
    </row>
    <row r="415" spans="1:23" x14ac:dyDescent="0.3">
      <c r="A415" s="47"/>
      <c r="B415" s="109"/>
      <c r="C415" s="47"/>
      <c r="E415" s="53"/>
      <c r="F415" s="47"/>
      <c r="G415" s="47"/>
      <c r="H415" s="47"/>
      <c r="I415" s="47"/>
      <c r="J415" s="47"/>
      <c r="K415" s="47"/>
      <c r="L415" s="47"/>
      <c r="M415" s="47"/>
      <c r="N415" s="91"/>
      <c r="O415" s="47"/>
      <c r="P415" s="47"/>
      <c r="Q415" s="47"/>
      <c r="R415" s="47"/>
      <c r="S415" s="47"/>
      <c r="T415" s="47"/>
      <c r="U415" s="47"/>
      <c r="V415" s="47"/>
      <c r="W415" s="47"/>
    </row>
    <row r="416" spans="1:23" x14ac:dyDescent="0.3">
      <c r="A416" s="47"/>
      <c r="B416" s="109"/>
      <c r="C416" s="47"/>
      <c r="E416" s="53"/>
      <c r="F416" s="47"/>
      <c r="G416" s="47"/>
      <c r="H416" s="47"/>
      <c r="I416" s="47"/>
      <c r="J416" s="47"/>
      <c r="K416" s="47"/>
      <c r="L416" s="47"/>
      <c r="M416" s="47"/>
      <c r="N416" s="91"/>
      <c r="O416" s="47"/>
      <c r="P416" s="47"/>
      <c r="Q416" s="47"/>
      <c r="R416" s="47"/>
      <c r="S416" s="47"/>
      <c r="T416" s="47"/>
      <c r="U416" s="47"/>
      <c r="V416" s="47"/>
      <c r="W416" s="47"/>
    </row>
    <row r="417" spans="1:23" x14ac:dyDescent="0.3">
      <c r="A417" s="47"/>
      <c r="B417" s="109"/>
      <c r="C417" s="47"/>
      <c r="E417" s="53"/>
      <c r="F417" s="47"/>
      <c r="G417" s="47"/>
      <c r="H417" s="47"/>
      <c r="I417" s="47"/>
      <c r="J417" s="47"/>
      <c r="K417" s="47"/>
      <c r="L417" s="47"/>
      <c r="M417" s="47"/>
      <c r="N417" s="91"/>
      <c r="O417" s="47"/>
      <c r="P417" s="47"/>
      <c r="Q417" s="47"/>
      <c r="R417" s="47"/>
      <c r="S417" s="47"/>
      <c r="T417" s="47"/>
      <c r="U417" s="47"/>
      <c r="V417" s="47"/>
      <c r="W417" s="47"/>
    </row>
    <row r="418" spans="1:23" x14ac:dyDescent="0.3">
      <c r="A418" s="47"/>
      <c r="B418" s="109"/>
      <c r="C418" s="47"/>
      <c r="E418" s="53"/>
      <c r="F418" s="47"/>
      <c r="G418" s="47"/>
      <c r="H418" s="47"/>
      <c r="I418" s="47"/>
      <c r="J418" s="47"/>
      <c r="K418" s="47"/>
      <c r="L418" s="47"/>
      <c r="M418" s="47"/>
      <c r="N418" s="91"/>
      <c r="O418" s="47"/>
      <c r="P418" s="47"/>
      <c r="Q418" s="47"/>
      <c r="R418" s="47"/>
      <c r="S418" s="47"/>
      <c r="T418" s="47"/>
      <c r="U418" s="47"/>
      <c r="V418" s="47"/>
      <c r="W418" s="47"/>
    </row>
    <row r="419" spans="1:23" x14ac:dyDescent="0.3">
      <c r="A419" s="47"/>
      <c r="B419" s="109"/>
      <c r="C419" s="47"/>
      <c r="E419" s="53"/>
      <c r="F419" s="47"/>
      <c r="G419" s="47"/>
      <c r="H419" s="47"/>
      <c r="I419" s="47"/>
      <c r="J419" s="47"/>
      <c r="K419" s="47"/>
      <c r="L419" s="47"/>
      <c r="M419" s="47"/>
      <c r="N419" s="91"/>
      <c r="O419" s="47"/>
      <c r="P419" s="47"/>
      <c r="Q419" s="47"/>
      <c r="R419" s="47"/>
      <c r="S419" s="47"/>
      <c r="T419" s="47"/>
      <c r="U419" s="47"/>
      <c r="V419" s="47"/>
      <c r="W419" s="47"/>
    </row>
    <row r="420" spans="1:23" x14ac:dyDescent="0.3">
      <c r="A420" s="47"/>
      <c r="B420" s="109"/>
      <c r="C420" s="47"/>
      <c r="E420" s="53"/>
      <c r="F420" s="47"/>
      <c r="G420" s="47"/>
      <c r="H420" s="47"/>
      <c r="I420" s="47"/>
      <c r="J420" s="47"/>
      <c r="K420" s="47"/>
      <c r="L420" s="47"/>
      <c r="M420" s="47"/>
      <c r="N420" s="91"/>
      <c r="O420" s="47"/>
      <c r="P420" s="47"/>
      <c r="Q420" s="47"/>
      <c r="R420" s="47"/>
      <c r="S420" s="47"/>
      <c r="T420" s="47"/>
      <c r="U420" s="47"/>
      <c r="V420" s="47"/>
      <c r="W420" s="47"/>
    </row>
    <row r="421" spans="1:23" x14ac:dyDescent="0.3">
      <c r="A421" s="47"/>
      <c r="B421" s="109"/>
      <c r="C421" s="47"/>
      <c r="E421" s="53"/>
      <c r="F421" s="47"/>
      <c r="G421" s="47"/>
      <c r="H421" s="47"/>
      <c r="I421" s="47"/>
      <c r="J421" s="47"/>
      <c r="K421" s="47"/>
      <c r="L421" s="47"/>
      <c r="M421" s="47"/>
      <c r="N421" s="91"/>
      <c r="O421" s="47"/>
      <c r="P421" s="47"/>
      <c r="Q421" s="47"/>
      <c r="R421" s="47"/>
      <c r="S421" s="47"/>
      <c r="T421" s="47"/>
      <c r="U421" s="47"/>
      <c r="V421" s="47"/>
      <c r="W421" s="47"/>
    </row>
    <row r="422" spans="1:23" x14ac:dyDescent="0.3">
      <c r="A422" s="47"/>
      <c r="B422" s="109"/>
      <c r="C422" s="47"/>
      <c r="E422" s="53"/>
      <c r="F422" s="47"/>
      <c r="G422" s="47"/>
      <c r="H422" s="47"/>
      <c r="I422" s="47"/>
      <c r="J422" s="47"/>
      <c r="K422" s="47"/>
      <c r="L422" s="47"/>
      <c r="M422" s="47"/>
      <c r="N422" s="91"/>
      <c r="O422" s="47"/>
      <c r="P422" s="47"/>
      <c r="Q422" s="47"/>
      <c r="R422" s="47"/>
      <c r="S422" s="47"/>
      <c r="T422" s="47"/>
      <c r="U422" s="47"/>
      <c r="V422" s="47"/>
      <c r="W422" s="47"/>
    </row>
    <row r="423" spans="1:23" x14ac:dyDescent="0.3">
      <c r="A423" s="47"/>
      <c r="B423" s="109"/>
      <c r="C423" s="47"/>
      <c r="E423" s="53"/>
      <c r="F423" s="47"/>
      <c r="G423" s="47"/>
      <c r="H423" s="47"/>
      <c r="I423" s="47"/>
      <c r="J423" s="47"/>
      <c r="K423" s="47"/>
      <c r="L423" s="47"/>
      <c r="M423" s="47"/>
      <c r="N423" s="91"/>
      <c r="O423" s="47"/>
      <c r="P423" s="47"/>
      <c r="Q423" s="47"/>
      <c r="R423" s="47"/>
      <c r="S423" s="47"/>
      <c r="T423" s="47"/>
      <c r="U423" s="47"/>
      <c r="V423" s="47"/>
      <c r="W423" s="47"/>
    </row>
    <row r="424" spans="1:23" x14ac:dyDescent="0.3">
      <c r="A424" s="47"/>
      <c r="B424" s="109"/>
      <c r="C424" s="47"/>
      <c r="E424" s="53"/>
      <c r="F424" s="47"/>
      <c r="G424" s="47"/>
      <c r="H424" s="47"/>
      <c r="I424" s="47"/>
      <c r="J424" s="47"/>
      <c r="K424" s="47"/>
      <c r="L424" s="47"/>
      <c r="M424" s="47"/>
      <c r="N424" s="91"/>
      <c r="O424" s="47"/>
      <c r="P424" s="47"/>
      <c r="Q424" s="47"/>
      <c r="R424" s="47"/>
      <c r="S424" s="47"/>
      <c r="T424" s="47"/>
      <c r="U424" s="47"/>
      <c r="V424" s="47"/>
      <c r="W424" s="47"/>
    </row>
    <row r="425" spans="1:23" x14ac:dyDescent="0.3">
      <c r="A425" s="47"/>
      <c r="B425" s="109"/>
      <c r="C425" s="47"/>
      <c r="E425" s="53"/>
      <c r="F425" s="47"/>
      <c r="G425" s="47"/>
      <c r="H425" s="47"/>
      <c r="I425" s="47"/>
      <c r="J425" s="47"/>
      <c r="K425" s="47"/>
      <c r="L425" s="47"/>
      <c r="M425" s="47"/>
      <c r="N425" s="91"/>
      <c r="O425" s="47"/>
      <c r="P425" s="47"/>
      <c r="Q425" s="47"/>
      <c r="R425" s="47"/>
      <c r="S425" s="47"/>
      <c r="T425" s="47"/>
      <c r="U425" s="47"/>
      <c r="V425" s="47"/>
      <c r="W425" s="47"/>
    </row>
    <row r="426" spans="1:23" x14ac:dyDescent="0.3">
      <c r="A426" s="47"/>
      <c r="B426" s="109"/>
      <c r="C426" s="47"/>
      <c r="E426" s="53"/>
      <c r="F426" s="47"/>
      <c r="G426" s="47"/>
      <c r="H426" s="47"/>
      <c r="I426" s="47"/>
      <c r="J426" s="47"/>
      <c r="K426" s="47"/>
      <c r="L426" s="47"/>
      <c r="M426" s="47"/>
      <c r="N426" s="91"/>
      <c r="O426" s="47"/>
      <c r="P426" s="47"/>
      <c r="Q426" s="47"/>
      <c r="R426" s="47"/>
      <c r="S426" s="47"/>
      <c r="T426" s="47"/>
      <c r="U426" s="47"/>
      <c r="V426" s="47"/>
      <c r="W426" s="47"/>
    </row>
    <row r="427" spans="1:23" x14ac:dyDescent="0.3">
      <c r="A427" s="47"/>
      <c r="B427" s="109"/>
      <c r="C427" s="47"/>
      <c r="E427" s="53"/>
      <c r="F427" s="47"/>
      <c r="G427" s="47"/>
      <c r="H427" s="47"/>
      <c r="I427" s="47"/>
      <c r="J427" s="47"/>
      <c r="K427" s="47"/>
      <c r="L427" s="47"/>
      <c r="M427" s="47"/>
      <c r="N427" s="91"/>
      <c r="O427" s="47"/>
      <c r="P427" s="47"/>
      <c r="Q427" s="47"/>
      <c r="R427" s="47"/>
      <c r="S427" s="47"/>
      <c r="T427" s="47"/>
      <c r="U427" s="47"/>
      <c r="V427" s="47"/>
      <c r="W427" s="47"/>
    </row>
    <row r="428" spans="1:23" x14ac:dyDescent="0.3">
      <c r="A428" s="47"/>
      <c r="B428" s="109"/>
      <c r="C428" s="47"/>
      <c r="E428" s="53"/>
      <c r="F428" s="47"/>
      <c r="G428" s="47"/>
      <c r="H428" s="47"/>
      <c r="I428" s="47"/>
      <c r="J428" s="47"/>
      <c r="K428" s="47"/>
      <c r="L428" s="47"/>
      <c r="M428" s="47"/>
      <c r="N428" s="91"/>
      <c r="O428" s="47"/>
      <c r="P428" s="47"/>
      <c r="Q428" s="47"/>
      <c r="R428" s="47"/>
      <c r="S428" s="47"/>
      <c r="T428" s="47"/>
      <c r="U428" s="47"/>
      <c r="V428" s="47"/>
      <c r="W428" s="47"/>
    </row>
    <row r="429" spans="1:23" x14ac:dyDescent="0.3">
      <c r="A429" s="47"/>
      <c r="B429" s="109"/>
      <c r="C429" s="47"/>
      <c r="E429" s="53"/>
      <c r="F429" s="47"/>
      <c r="G429" s="47"/>
      <c r="H429" s="47"/>
      <c r="I429" s="47"/>
      <c r="J429" s="47"/>
      <c r="K429" s="47"/>
      <c r="L429" s="47"/>
      <c r="M429" s="47"/>
      <c r="N429" s="91"/>
      <c r="O429" s="47"/>
      <c r="P429" s="47"/>
      <c r="Q429" s="47"/>
      <c r="R429" s="47"/>
      <c r="S429" s="47"/>
      <c r="T429" s="47"/>
      <c r="U429" s="47"/>
      <c r="V429" s="47"/>
      <c r="W429" s="47"/>
    </row>
    <row r="430" spans="1:23" x14ac:dyDescent="0.3">
      <c r="A430" s="47"/>
      <c r="B430" s="109"/>
      <c r="C430" s="47"/>
      <c r="E430" s="53"/>
      <c r="F430" s="47"/>
      <c r="G430" s="47"/>
      <c r="H430" s="47"/>
      <c r="I430" s="47"/>
      <c r="J430" s="47"/>
      <c r="K430" s="47"/>
      <c r="L430" s="47"/>
      <c r="M430" s="47"/>
      <c r="N430" s="91"/>
      <c r="O430" s="47"/>
      <c r="P430" s="47"/>
      <c r="Q430" s="47"/>
      <c r="R430" s="47"/>
      <c r="S430" s="47"/>
      <c r="T430" s="47"/>
      <c r="U430" s="47"/>
      <c r="V430" s="47"/>
      <c r="W430" s="47"/>
    </row>
    <row r="431" spans="1:23" x14ac:dyDescent="0.3">
      <c r="A431" s="47"/>
      <c r="B431" s="109"/>
      <c r="C431" s="47"/>
      <c r="E431" s="53"/>
      <c r="F431" s="47"/>
      <c r="G431" s="47"/>
      <c r="H431" s="47"/>
      <c r="I431" s="47"/>
      <c r="J431" s="47"/>
      <c r="K431" s="47"/>
      <c r="L431" s="47"/>
      <c r="M431" s="47"/>
      <c r="N431" s="91"/>
      <c r="O431" s="47"/>
      <c r="P431" s="47"/>
      <c r="Q431" s="47"/>
      <c r="R431" s="47"/>
      <c r="S431" s="47"/>
      <c r="T431" s="47"/>
      <c r="U431" s="47"/>
      <c r="V431" s="47"/>
      <c r="W431" s="47"/>
    </row>
    <row r="432" spans="1:23" x14ac:dyDescent="0.3">
      <c r="A432" s="47"/>
      <c r="B432" s="109"/>
      <c r="C432" s="47"/>
      <c r="E432" s="53"/>
      <c r="F432" s="47"/>
      <c r="G432" s="47"/>
      <c r="H432" s="47"/>
      <c r="I432" s="47"/>
      <c r="J432" s="47"/>
      <c r="K432" s="47"/>
      <c r="L432" s="47"/>
      <c r="M432" s="47"/>
      <c r="N432" s="91"/>
      <c r="O432" s="47"/>
      <c r="P432" s="47"/>
      <c r="Q432" s="47"/>
      <c r="R432" s="47"/>
      <c r="S432" s="47"/>
      <c r="T432" s="47"/>
      <c r="U432" s="47"/>
      <c r="V432" s="47"/>
      <c r="W432" s="47"/>
    </row>
    <row r="433" spans="1:23" x14ac:dyDescent="0.3">
      <c r="A433" s="47"/>
      <c r="B433" s="109"/>
      <c r="C433" s="47"/>
      <c r="E433" s="53"/>
      <c r="F433" s="47"/>
      <c r="G433" s="47"/>
      <c r="H433" s="47"/>
      <c r="I433" s="47"/>
      <c r="J433" s="47"/>
      <c r="K433" s="47"/>
      <c r="L433" s="47"/>
      <c r="M433" s="47"/>
      <c r="N433" s="91"/>
      <c r="O433" s="47"/>
      <c r="P433" s="47"/>
      <c r="Q433" s="47"/>
      <c r="R433" s="47"/>
      <c r="S433" s="47"/>
      <c r="T433" s="47"/>
      <c r="U433" s="47"/>
      <c r="V433" s="47"/>
      <c r="W433" s="47"/>
    </row>
    <row r="434" spans="1:23" x14ac:dyDescent="0.3">
      <c r="A434" s="47"/>
      <c r="B434" s="109"/>
      <c r="C434" s="47"/>
      <c r="E434" s="53"/>
      <c r="F434" s="47"/>
      <c r="G434" s="47"/>
      <c r="H434" s="47"/>
      <c r="I434" s="47"/>
      <c r="J434" s="47"/>
      <c r="K434" s="47"/>
      <c r="L434" s="47"/>
      <c r="M434" s="47"/>
      <c r="N434" s="91"/>
      <c r="O434" s="47"/>
      <c r="P434" s="47"/>
      <c r="Q434" s="47"/>
      <c r="R434" s="47"/>
      <c r="S434" s="47"/>
      <c r="T434" s="47"/>
      <c r="U434" s="47"/>
      <c r="V434" s="47"/>
      <c r="W434" s="47"/>
    </row>
    <row r="435" spans="1:23" x14ac:dyDescent="0.3">
      <c r="A435" s="47"/>
      <c r="B435" s="109"/>
      <c r="C435" s="47"/>
      <c r="E435" s="53"/>
      <c r="F435" s="47"/>
      <c r="G435" s="47"/>
      <c r="H435" s="47"/>
      <c r="I435" s="47"/>
      <c r="J435" s="47"/>
      <c r="K435" s="47"/>
      <c r="L435" s="47"/>
      <c r="M435" s="47"/>
      <c r="N435" s="91"/>
      <c r="O435" s="47"/>
      <c r="P435" s="47"/>
      <c r="Q435" s="47"/>
      <c r="R435" s="47"/>
      <c r="S435" s="47"/>
      <c r="T435" s="47"/>
      <c r="U435" s="47"/>
      <c r="V435" s="47"/>
      <c r="W435" s="47"/>
    </row>
    <row r="436" spans="1:23" x14ac:dyDescent="0.3">
      <c r="A436" s="47"/>
      <c r="B436" s="109"/>
      <c r="C436" s="47"/>
      <c r="E436" s="53"/>
      <c r="F436" s="47"/>
      <c r="G436" s="47"/>
      <c r="H436" s="47"/>
      <c r="I436" s="47"/>
      <c r="J436" s="47"/>
      <c r="K436" s="47"/>
      <c r="L436" s="47"/>
      <c r="M436" s="47"/>
      <c r="N436" s="91"/>
      <c r="O436" s="47"/>
      <c r="P436" s="47"/>
      <c r="Q436" s="47"/>
      <c r="R436" s="47"/>
      <c r="S436" s="47"/>
      <c r="T436" s="47"/>
      <c r="U436" s="47"/>
      <c r="V436" s="47"/>
      <c r="W436" s="47"/>
    </row>
    <row r="437" spans="1:23" x14ac:dyDescent="0.3">
      <c r="A437" s="47"/>
      <c r="B437" s="109"/>
      <c r="C437" s="47"/>
      <c r="E437" s="53"/>
      <c r="F437" s="47"/>
      <c r="G437" s="47"/>
      <c r="H437" s="47"/>
      <c r="I437" s="47"/>
      <c r="J437" s="47"/>
      <c r="K437" s="47"/>
      <c r="L437" s="47"/>
      <c r="M437" s="47"/>
      <c r="N437" s="91"/>
      <c r="O437" s="47"/>
      <c r="P437" s="47"/>
      <c r="Q437" s="47"/>
      <c r="R437" s="47"/>
      <c r="S437" s="47"/>
      <c r="T437" s="47"/>
      <c r="U437" s="47"/>
      <c r="V437" s="47"/>
      <c r="W437" s="47"/>
    </row>
    <row r="438" spans="1:23" x14ac:dyDescent="0.3">
      <c r="A438" s="47"/>
      <c r="B438" s="109"/>
      <c r="C438" s="47"/>
      <c r="E438" s="53"/>
      <c r="F438" s="47"/>
      <c r="G438" s="47"/>
      <c r="H438" s="47"/>
      <c r="I438" s="47"/>
      <c r="J438" s="47"/>
      <c r="K438" s="47"/>
      <c r="L438" s="47"/>
      <c r="M438" s="47"/>
      <c r="N438" s="91"/>
      <c r="O438" s="47"/>
      <c r="P438" s="47"/>
      <c r="Q438" s="47"/>
      <c r="R438" s="47"/>
      <c r="S438" s="47"/>
      <c r="T438" s="47"/>
      <c r="U438" s="47"/>
      <c r="V438" s="47"/>
      <c r="W438" s="47"/>
    </row>
    <row r="439" spans="1:23" x14ac:dyDescent="0.3">
      <c r="A439" s="47"/>
      <c r="B439" s="109"/>
      <c r="C439" s="47"/>
      <c r="E439" s="53"/>
      <c r="F439" s="47"/>
      <c r="G439" s="47"/>
      <c r="H439" s="47"/>
      <c r="I439" s="47"/>
      <c r="J439" s="47"/>
      <c r="K439" s="47"/>
      <c r="L439" s="47"/>
      <c r="M439" s="47"/>
      <c r="N439" s="91"/>
      <c r="O439" s="47"/>
      <c r="P439" s="47"/>
      <c r="Q439" s="47"/>
      <c r="R439" s="47"/>
      <c r="S439" s="47"/>
      <c r="T439" s="47"/>
      <c r="U439" s="47"/>
      <c r="V439" s="47"/>
      <c r="W439" s="47"/>
    </row>
    <row r="440" spans="1:23" x14ac:dyDescent="0.3">
      <c r="A440" s="47"/>
      <c r="B440" s="109"/>
      <c r="C440" s="47"/>
      <c r="E440" s="53"/>
      <c r="F440" s="47"/>
      <c r="G440" s="47"/>
      <c r="H440" s="47"/>
      <c r="I440" s="47"/>
      <c r="J440" s="47"/>
      <c r="K440" s="47"/>
      <c r="L440" s="47"/>
      <c r="M440" s="47"/>
      <c r="N440" s="91"/>
      <c r="O440" s="47"/>
      <c r="P440" s="47"/>
      <c r="Q440" s="47"/>
      <c r="R440" s="47"/>
      <c r="S440" s="47"/>
      <c r="T440" s="47"/>
      <c r="U440" s="47"/>
      <c r="V440" s="47"/>
      <c r="W440" s="47"/>
    </row>
    <row r="441" spans="1:23" x14ac:dyDescent="0.3">
      <c r="A441" s="47"/>
      <c r="B441" s="109"/>
      <c r="C441" s="47"/>
      <c r="E441" s="53"/>
      <c r="F441" s="47"/>
      <c r="G441" s="47"/>
      <c r="H441" s="47"/>
      <c r="I441" s="47"/>
      <c r="J441" s="47"/>
      <c r="K441" s="47"/>
      <c r="L441" s="47"/>
      <c r="M441" s="47"/>
      <c r="N441" s="91"/>
      <c r="O441" s="47"/>
      <c r="P441" s="47"/>
      <c r="Q441" s="47"/>
      <c r="R441" s="47"/>
      <c r="S441" s="47"/>
      <c r="T441" s="47"/>
      <c r="U441" s="47"/>
      <c r="V441" s="47"/>
      <c r="W441" s="47"/>
    </row>
    <row r="442" spans="1:23" x14ac:dyDescent="0.3">
      <c r="A442" s="47"/>
      <c r="B442" s="109"/>
      <c r="C442" s="47"/>
      <c r="E442" s="53"/>
      <c r="F442" s="47"/>
      <c r="G442" s="47"/>
      <c r="H442" s="47"/>
      <c r="I442" s="47"/>
      <c r="J442" s="47"/>
      <c r="K442" s="47"/>
      <c r="L442" s="47"/>
      <c r="M442" s="47"/>
      <c r="N442" s="91"/>
      <c r="O442" s="47"/>
      <c r="P442" s="47"/>
      <c r="Q442" s="47"/>
      <c r="R442" s="47"/>
      <c r="S442" s="47"/>
      <c r="T442" s="47"/>
      <c r="U442" s="47"/>
      <c r="V442" s="47"/>
      <c r="W442" s="47"/>
    </row>
    <row r="443" spans="1:23" x14ac:dyDescent="0.3">
      <c r="A443" s="47"/>
      <c r="B443" s="109"/>
      <c r="C443" s="47"/>
      <c r="E443" s="53"/>
      <c r="F443" s="47"/>
      <c r="G443" s="47"/>
      <c r="H443" s="47"/>
      <c r="I443" s="47"/>
      <c r="J443" s="47"/>
      <c r="K443" s="47"/>
      <c r="L443" s="47"/>
      <c r="M443" s="47"/>
      <c r="N443" s="91"/>
      <c r="O443" s="47"/>
      <c r="P443" s="47"/>
      <c r="Q443" s="47"/>
      <c r="R443" s="47"/>
      <c r="S443" s="47"/>
      <c r="T443" s="47"/>
      <c r="U443" s="47"/>
      <c r="V443" s="47"/>
      <c r="W443" s="47"/>
    </row>
    <row r="444" spans="1:23" x14ac:dyDescent="0.3">
      <c r="A444" s="47"/>
      <c r="B444" s="109"/>
      <c r="C444" s="47"/>
      <c r="E444" s="53"/>
      <c r="F444" s="47"/>
      <c r="G444" s="47"/>
      <c r="H444" s="47"/>
      <c r="I444" s="47"/>
      <c r="J444" s="47"/>
      <c r="K444" s="47"/>
      <c r="L444" s="47"/>
      <c r="M444" s="47"/>
      <c r="N444" s="91"/>
      <c r="O444" s="47"/>
      <c r="P444" s="47"/>
      <c r="Q444" s="47"/>
      <c r="R444" s="47"/>
      <c r="S444" s="47"/>
      <c r="T444" s="47"/>
      <c r="U444" s="47"/>
      <c r="V444" s="47"/>
      <c r="W444" s="47"/>
    </row>
    <row r="445" spans="1:23" x14ac:dyDescent="0.3">
      <c r="A445" s="47"/>
      <c r="B445" s="109"/>
      <c r="C445" s="47"/>
      <c r="E445" s="53"/>
      <c r="F445" s="47"/>
      <c r="G445" s="47"/>
      <c r="H445" s="47"/>
      <c r="I445" s="47"/>
      <c r="J445" s="47"/>
      <c r="K445" s="47"/>
      <c r="L445" s="47"/>
      <c r="M445" s="47"/>
      <c r="N445" s="91"/>
      <c r="O445" s="47"/>
      <c r="P445" s="47"/>
      <c r="Q445" s="47"/>
      <c r="R445" s="47"/>
      <c r="S445" s="47"/>
      <c r="T445" s="47"/>
      <c r="U445" s="47"/>
      <c r="V445" s="47"/>
      <c r="W445" s="47"/>
    </row>
    <row r="446" spans="1:23" x14ac:dyDescent="0.3">
      <c r="A446" s="47"/>
      <c r="B446" s="109"/>
      <c r="C446" s="47"/>
      <c r="E446" s="53"/>
      <c r="F446" s="47"/>
      <c r="G446" s="47"/>
      <c r="H446" s="47"/>
      <c r="I446" s="47"/>
      <c r="J446" s="47"/>
      <c r="K446" s="47"/>
      <c r="L446" s="47"/>
      <c r="M446" s="47"/>
      <c r="N446" s="91"/>
      <c r="O446" s="47"/>
      <c r="P446" s="47"/>
      <c r="Q446" s="47"/>
      <c r="R446" s="47"/>
      <c r="S446" s="47"/>
      <c r="T446" s="47"/>
      <c r="U446" s="47"/>
      <c r="V446" s="47"/>
      <c r="W446" s="47"/>
    </row>
    <row r="447" spans="1:23" x14ac:dyDescent="0.3">
      <c r="A447" s="47"/>
      <c r="B447" s="109"/>
      <c r="C447" s="47"/>
      <c r="E447" s="53"/>
      <c r="F447" s="47"/>
      <c r="G447" s="47"/>
      <c r="H447" s="47"/>
      <c r="I447" s="47"/>
      <c r="J447" s="47"/>
      <c r="K447" s="47"/>
      <c r="L447" s="47"/>
      <c r="M447" s="47"/>
      <c r="N447" s="91"/>
      <c r="O447" s="47"/>
      <c r="P447" s="47"/>
      <c r="Q447" s="47"/>
      <c r="R447" s="47"/>
      <c r="S447" s="47"/>
      <c r="T447" s="47"/>
      <c r="U447" s="47"/>
      <c r="V447" s="47"/>
      <c r="W447" s="47"/>
    </row>
    <row r="448" spans="1:23" x14ac:dyDescent="0.3">
      <c r="A448" s="47"/>
      <c r="B448" s="109"/>
      <c r="C448" s="47"/>
      <c r="E448" s="53"/>
      <c r="F448" s="47"/>
      <c r="G448" s="47"/>
      <c r="H448" s="47"/>
      <c r="I448" s="47"/>
      <c r="J448" s="47"/>
      <c r="K448" s="47"/>
      <c r="L448" s="47"/>
      <c r="M448" s="47"/>
      <c r="N448" s="91"/>
      <c r="O448" s="47"/>
      <c r="P448" s="47"/>
      <c r="Q448" s="47"/>
      <c r="R448" s="47"/>
      <c r="S448" s="47"/>
      <c r="T448" s="47"/>
      <c r="U448" s="47"/>
      <c r="V448" s="47"/>
      <c r="W448" s="47"/>
    </row>
    <row r="449" spans="1:23" x14ac:dyDescent="0.3">
      <c r="A449" s="47"/>
      <c r="B449" s="109"/>
      <c r="C449" s="47"/>
      <c r="E449" s="53"/>
      <c r="F449" s="47"/>
      <c r="G449" s="47"/>
      <c r="H449" s="47"/>
      <c r="I449" s="47"/>
      <c r="J449" s="47"/>
      <c r="K449" s="47"/>
      <c r="L449" s="47"/>
      <c r="M449" s="47"/>
      <c r="N449" s="91"/>
      <c r="O449" s="47"/>
      <c r="P449" s="47"/>
      <c r="Q449" s="47"/>
      <c r="R449" s="47"/>
      <c r="S449" s="47"/>
      <c r="T449" s="47"/>
      <c r="U449" s="47"/>
      <c r="V449" s="47"/>
      <c r="W449" s="47"/>
    </row>
    <row r="450" spans="1:23" x14ac:dyDescent="0.3">
      <c r="A450" s="47"/>
      <c r="B450" s="109"/>
      <c r="C450" s="47"/>
      <c r="E450" s="53"/>
      <c r="F450" s="47"/>
      <c r="G450" s="47"/>
      <c r="H450" s="47"/>
      <c r="I450" s="47"/>
      <c r="J450" s="47"/>
      <c r="K450" s="47"/>
      <c r="L450" s="47"/>
      <c r="M450" s="47"/>
      <c r="N450" s="91"/>
      <c r="O450" s="47"/>
      <c r="P450" s="47"/>
      <c r="Q450" s="47"/>
      <c r="R450" s="47"/>
      <c r="S450" s="47"/>
      <c r="T450" s="47"/>
      <c r="U450" s="47"/>
      <c r="V450" s="47"/>
      <c r="W450" s="47"/>
    </row>
    <row r="451" spans="1:23" x14ac:dyDescent="0.3">
      <c r="A451" s="47"/>
      <c r="B451" s="109"/>
      <c r="C451" s="47"/>
      <c r="E451" s="53"/>
      <c r="F451" s="47"/>
      <c r="G451" s="47"/>
      <c r="H451" s="47"/>
      <c r="I451" s="47"/>
      <c r="J451" s="47"/>
      <c r="K451" s="47"/>
      <c r="L451" s="47"/>
      <c r="M451" s="47"/>
      <c r="N451" s="91"/>
      <c r="O451" s="47"/>
      <c r="P451" s="47"/>
      <c r="Q451" s="47"/>
      <c r="R451" s="47"/>
      <c r="S451" s="47"/>
      <c r="T451" s="47"/>
      <c r="U451" s="47"/>
      <c r="V451" s="47"/>
      <c r="W451" s="47"/>
    </row>
    <row r="452" spans="1:23" x14ac:dyDescent="0.3">
      <c r="A452" s="47"/>
      <c r="B452" s="109"/>
      <c r="C452" s="47"/>
      <c r="E452" s="53"/>
      <c r="F452" s="47"/>
      <c r="G452" s="47"/>
      <c r="H452" s="47"/>
      <c r="I452" s="47"/>
      <c r="J452" s="47"/>
      <c r="K452" s="47"/>
      <c r="L452" s="47"/>
      <c r="M452" s="47"/>
      <c r="N452" s="91"/>
      <c r="O452" s="47"/>
      <c r="P452" s="47"/>
      <c r="Q452" s="47"/>
      <c r="R452" s="47"/>
      <c r="S452" s="47"/>
      <c r="T452" s="47"/>
      <c r="U452" s="47"/>
      <c r="V452" s="47"/>
      <c r="W452" s="47"/>
    </row>
    <row r="453" spans="1:23" x14ac:dyDescent="0.3">
      <c r="A453" s="47"/>
      <c r="B453" s="109"/>
      <c r="C453" s="47"/>
      <c r="E453" s="53"/>
      <c r="F453" s="47"/>
      <c r="G453" s="47"/>
      <c r="H453" s="47"/>
      <c r="I453" s="47"/>
      <c r="J453" s="47"/>
      <c r="K453" s="47"/>
      <c r="L453" s="47"/>
      <c r="M453" s="47"/>
      <c r="N453" s="91"/>
      <c r="O453" s="47"/>
      <c r="P453" s="47"/>
      <c r="Q453" s="47"/>
      <c r="R453" s="47"/>
      <c r="S453" s="47"/>
      <c r="T453" s="47"/>
      <c r="U453" s="47"/>
      <c r="V453" s="47"/>
      <c r="W453" s="47"/>
    </row>
    <row r="454" spans="1:23" x14ac:dyDescent="0.3">
      <c r="A454" s="47"/>
      <c r="B454" s="109"/>
      <c r="C454" s="47"/>
      <c r="E454" s="53"/>
      <c r="F454" s="47"/>
      <c r="G454" s="47"/>
      <c r="H454" s="47"/>
      <c r="I454" s="47"/>
      <c r="J454" s="47"/>
      <c r="K454" s="47"/>
      <c r="L454" s="47"/>
      <c r="M454" s="47"/>
      <c r="N454" s="91"/>
      <c r="O454" s="47"/>
      <c r="P454" s="47"/>
      <c r="Q454" s="47"/>
      <c r="R454" s="47"/>
      <c r="S454" s="47"/>
      <c r="T454" s="47"/>
      <c r="U454" s="47"/>
      <c r="V454" s="47"/>
      <c r="W454" s="47"/>
    </row>
    <row r="455" spans="1:23" x14ac:dyDescent="0.3">
      <c r="A455" s="47"/>
      <c r="B455" s="109"/>
      <c r="C455" s="47"/>
      <c r="E455" s="53"/>
      <c r="F455" s="47"/>
      <c r="G455" s="47"/>
      <c r="H455" s="47"/>
      <c r="I455" s="47"/>
      <c r="J455" s="47"/>
      <c r="K455" s="47"/>
      <c r="L455" s="47"/>
      <c r="M455" s="47"/>
      <c r="N455" s="91"/>
      <c r="O455" s="47"/>
      <c r="P455" s="47"/>
      <c r="Q455" s="47"/>
      <c r="R455" s="47"/>
      <c r="S455" s="47"/>
      <c r="T455" s="47"/>
      <c r="U455" s="47"/>
      <c r="V455" s="47"/>
      <c r="W455" s="47"/>
    </row>
    <row r="456" spans="1:23" x14ac:dyDescent="0.3">
      <c r="A456" s="47"/>
      <c r="B456" s="109"/>
      <c r="C456" s="47"/>
      <c r="E456" s="53"/>
      <c r="F456" s="47"/>
      <c r="G456" s="47"/>
      <c r="H456" s="47"/>
      <c r="I456" s="47"/>
      <c r="J456" s="47"/>
      <c r="K456" s="47"/>
      <c r="L456" s="47"/>
      <c r="M456" s="47"/>
      <c r="N456" s="91"/>
      <c r="O456" s="47"/>
      <c r="P456" s="47"/>
      <c r="Q456" s="47"/>
      <c r="R456" s="47"/>
      <c r="S456" s="47"/>
      <c r="T456" s="47"/>
      <c r="U456" s="47"/>
      <c r="V456" s="47"/>
      <c r="W456" s="47"/>
    </row>
    <row r="457" spans="1:23" x14ac:dyDescent="0.3">
      <c r="A457" s="47"/>
      <c r="B457" s="109"/>
      <c r="C457" s="47"/>
      <c r="E457" s="53"/>
      <c r="F457" s="47"/>
      <c r="G457" s="47"/>
      <c r="H457" s="47"/>
      <c r="I457" s="47"/>
      <c r="J457" s="47"/>
      <c r="K457" s="47"/>
      <c r="L457" s="47"/>
      <c r="M457" s="47"/>
      <c r="N457" s="91"/>
      <c r="O457" s="47"/>
      <c r="P457" s="47"/>
      <c r="Q457" s="47"/>
      <c r="R457" s="47"/>
      <c r="S457" s="47"/>
      <c r="T457" s="47"/>
      <c r="U457" s="47"/>
      <c r="V457" s="47"/>
      <c r="W457" s="47"/>
    </row>
    <row r="458" spans="1:23" x14ac:dyDescent="0.3">
      <c r="A458" s="47"/>
      <c r="B458" s="109"/>
      <c r="C458" s="47"/>
      <c r="E458" s="53"/>
      <c r="F458" s="47"/>
      <c r="G458" s="47"/>
      <c r="H458" s="47"/>
      <c r="I458" s="47"/>
      <c r="J458" s="47"/>
      <c r="K458" s="47"/>
      <c r="L458" s="47"/>
      <c r="M458" s="47"/>
      <c r="N458" s="91"/>
      <c r="O458" s="47"/>
      <c r="P458" s="47"/>
      <c r="Q458" s="47"/>
      <c r="R458" s="47"/>
      <c r="S458" s="47"/>
      <c r="T458" s="47"/>
      <c r="U458" s="47"/>
      <c r="V458" s="47"/>
      <c r="W458" s="47"/>
    </row>
    <row r="459" spans="1:23" x14ac:dyDescent="0.3">
      <c r="A459" s="47"/>
      <c r="B459" s="109"/>
      <c r="C459" s="47"/>
      <c r="E459" s="53"/>
      <c r="F459" s="47"/>
      <c r="G459" s="47"/>
      <c r="H459" s="47"/>
      <c r="I459" s="47"/>
      <c r="J459" s="47"/>
      <c r="K459" s="47"/>
      <c r="L459" s="47"/>
      <c r="M459" s="47"/>
      <c r="N459" s="91"/>
      <c r="O459" s="47"/>
      <c r="P459" s="47"/>
      <c r="Q459" s="47"/>
      <c r="R459" s="47"/>
      <c r="S459" s="47"/>
      <c r="T459" s="47"/>
      <c r="U459" s="47"/>
      <c r="V459" s="47"/>
      <c r="W459" s="47"/>
    </row>
    <row r="460" spans="1:23" x14ac:dyDescent="0.3">
      <c r="A460" s="47"/>
      <c r="B460" s="109"/>
      <c r="C460" s="47"/>
      <c r="E460" s="53"/>
      <c r="F460" s="47"/>
      <c r="G460" s="47"/>
      <c r="H460" s="47"/>
      <c r="I460" s="47"/>
      <c r="J460" s="47"/>
      <c r="K460" s="47"/>
      <c r="L460" s="47"/>
      <c r="M460" s="47"/>
      <c r="N460" s="91"/>
      <c r="O460" s="47"/>
      <c r="P460" s="47"/>
      <c r="Q460" s="47"/>
      <c r="R460" s="47"/>
      <c r="S460" s="47"/>
      <c r="T460" s="47"/>
      <c r="U460" s="47"/>
      <c r="V460" s="47"/>
      <c r="W460" s="47"/>
    </row>
    <row r="461" spans="1:23" x14ac:dyDescent="0.3">
      <c r="A461" s="47"/>
      <c r="B461" s="109"/>
      <c r="C461" s="47"/>
      <c r="E461" s="53"/>
      <c r="F461" s="47"/>
      <c r="G461" s="47"/>
      <c r="H461" s="47"/>
      <c r="I461" s="47"/>
      <c r="J461" s="47"/>
      <c r="K461" s="47"/>
      <c r="L461" s="47"/>
      <c r="M461" s="47"/>
      <c r="N461" s="91"/>
      <c r="O461" s="47"/>
      <c r="P461" s="47"/>
      <c r="Q461" s="47"/>
      <c r="R461" s="47"/>
      <c r="S461" s="47"/>
      <c r="T461" s="47"/>
      <c r="U461" s="47"/>
      <c r="V461" s="47"/>
      <c r="W461" s="47"/>
    </row>
    <row r="462" spans="1:23" x14ac:dyDescent="0.3">
      <c r="A462" s="47"/>
      <c r="B462" s="109"/>
      <c r="C462" s="47"/>
      <c r="E462" s="53"/>
      <c r="F462" s="47"/>
      <c r="G462" s="47"/>
      <c r="H462" s="47"/>
      <c r="I462" s="47"/>
      <c r="J462" s="47"/>
      <c r="K462" s="47"/>
      <c r="L462" s="47"/>
      <c r="M462" s="47"/>
      <c r="N462" s="91"/>
      <c r="O462" s="47"/>
      <c r="P462" s="47"/>
      <c r="Q462" s="47"/>
      <c r="R462" s="47"/>
      <c r="S462" s="47"/>
      <c r="T462" s="47"/>
      <c r="U462" s="47"/>
      <c r="V462" s="47"/>
      <c r="W462" s="47"/>
    </row>
    <row r="463" spans="1:23" x14ac:dyDescent="0.3">
      <c r="A463" s="47"/>
      <c r="B463" s="109"/>
      <c r="C463" s="47"/>
      <c r="E463" s="53"/>
      <c r="F463" s="47"/>
      <c r="G463" s="47"/>
      <c r="H463" s="47"/>
      <c r="I463" s="47"/>
      <c r="J463" s="47"/>
      <c r="K463" s="47"/>
      <c r="L463" s="47"/>
      <c r="M463" s="47"/>
      <c r="N463" s="91"/>
      <c r="O463" s="47"/>
      <c r="P463" s="47"/>
      <c r="Q463" s="47"/>
      <c r="R463" s="47"/>
      <c r="S463" s="47"/>
      <c r="T463" s="47"/>
      <c r="U463" s="47"/>
      <c r="V463" s="47"/>
      <c r="W463" s="47"/>
    </row>
    <row r="464" spans="1:23" x14ac:dyDescent="0.3">
      <c r="A464" s="47"/>
      <c r="B464" s="109"/>
      <c r="C464" s="47"/>
      <c r="E464" s="53"/>
      <c r="F464" s="47"/>
      <c r="G464" s="47"/>
      <c r="H464" s="47"/>
      <c r="I464" s="47"/>
      <c r="J464" s="47"/>
      <c r="K464" s="47"/>
      <c r="L464" s="47"/>
      <c r="M464" s="47"/>
      <c r="N464" s="91"/>
      <c r="O464" s="47"/>
      <c r="P464" s="47"/>
      <c r="Q464" s="47"/>
      <c r="R464" s="47"/>
      <c r="S464" s="47"/>
      <c r="T464" s="47"/>
      <c r="U464" s="47"/>
      <c r="V464" s="47"/>
      <c r="W464" s="47"/>
    </row>
    <row r="465" spans="1:23" x14ac:dyDescent="0.3">
      <c r="A465" s="47"/>
      <c r="B465" s="109"/>
      <c r="C465" s="47"/>
      <c r="E465" s="53"/>
      <c r="F465" s="47"/>
      <c r="G465" s="47"/>
      <c r="H465" s="47"/>
      <c r="I465" s="47"/>
      <c r="J465" s="47"/>
      <c r="K465" s="47"/>
      <c r="L465" s="47"/>
      <c r="M465" s="47"/>
      <c r="N465" s="91"/>
      <c r="O465" s="47"/>
      <c r="P465" s="47"/>
      <c r="Q465" s="47"/>
      <c r="R465" s="47"/>
      <c r="S465" s="47"/>
      <c r="T465" s="47"/>
      <c r="U465" s="47"/>
      <c r="V465" s="47"/>
      <c r="W465" s="47"/>
    </row>
    <row r="466" spans="1:23" x14ac:dyDescent="0.3">
      <c r="A466" s="47"/>
      <c r="B466" s="109"/>
      <c r="C466" s="47"/>
      <c r="E466" s="53"/>
      <c r="F466" s="47"/>
      <c r="G466" s="47"/>
      <c r="H466" s="47"/>
      <c r="I466" s="47"/>
      <c r="J466" s="47"/>
      <c r="K466" s="47"/>
      <c r="L466" s="47"/>
      <c r="M466" s="47"/>
      <c r="N466" s="91"/>
      <c r="O466" s="47"/>
      <c r="P466" s="47"/>
      <c r="Q466" s="47"/>
      <c r="R466" s="47"/>
      <c r="S466" s="47"/>
      <c r="T466" s="47"/>
      <c r="U466" s="47"/>
      <c r="V466" s="47"/>
      <c r="W466" s="47"/>
    </row>
    <row r="467" spans="1:23" x14ac:dyDescent="0.3">
      <c r="A467" s="47"/>
      <c r="B467" s="109"/>
      <c r="C467" s="47"/>
      <c r="E467" s="53"/>
      <c r="F467" s="47"/>
      <c r="G467" s="47"/>
      <c r="H467" s="47"/>
      <c r="I467" s="47"/>
      <c r="J467" s="47"/>
      <c r="K467" s="47"/>
      <c r="L467" s="47"/>
      <c r="M467" s="47"/>
      <c r="N467" s="91"/>
      <c r="O467" s="47"/>
      <c r="P467" s="47"/>
      <c r="Q467" s="47"/>
      <c r="R467" s="47"/>
      <c r="S467" s="47"/>
      <c r="T467" s="47"/>
      <c r="U467" s="47"/>
      <c r="V467" s="47"/>
      <c r="W467" s="47"/>
    </row>
    <row r="468" spans="1:23" x14ac:dyDescent="0.3">
      <c r="A468" s="47"/>
      <c r="B468" s="109"/>
      <c r="C468" s="47"/>
      <c r="E468" s="53"/>
      <c r="F468" s="47"/>
      <c r="G468" s="47"/>
      <c r="H468" s="47"/>
      <c r="I468" s="47"/>
      <c r="J468" s="47"/>
      <c r="K468" s="47"/>
      <c r="L468" s="47"/>
      <c r="M468" s="47"/>
      <c r="N468" s="91"/>
      <c r="O468" s="47"/>
      <c r="P468" s="47"/>
      <c r="Q468" s="47"/>
      <c r="R468" s="47"/>
      <c r="S468" s="47"/>
      <c r="T468" s="47"/>
      <c r="U468" s="47"/>
      <c r="V468" s="47"/>
      <c r="W468" s="47"/>
    </row>
    <row r="469" spans="1:23" x14ac:dyDescent="0.3">
      <c r="A469" s="47"/>
      <c r="B469" s="109"/>
      <c r="C469" s="47"/>
      <c r="E469" s="53"/>
      <c r="F469" s="47"/>
      <c r="G469" s="47"/>
      <c r="H469" s="47"/>
      <c r="I469" s="47"/>
      <c r="J469" s="47"/>
      <c r="K469" s="47"/>
      <c r="L469" s="47"/>
      <c r="M469" s="47"/>
      <c r="N469" s="91"/>
      <c r="O469" s="47"/>
      <c r="P469" s="47"/>
      <c r="Q469" s="47"/>
      <c r="R469" s="47"/>
      <c r="S469" s="47"/>
      <c r="T469" s="47"/>
      <c r="U469" s="47"/>
      <c r="V469" s="47"/>
      <c r="W469" s="47"/>
    </row>
    <row r="470" spans="1:23" x14ac:dyDescent="0.3">
      <c r="A470" s="47"/>
      <c r="B470" s="109"/>
      <c r="C470" s="47"/>
      <c r="E470" s="53"/>
      <c r="F470" s="47"/>
      <c r="G470" s="47"/>
      <c r="H470" s="47"/>
      <c r="I470" s="47"/>
      <c r="J470" s="47"/>
      <c r="K470" s="47"/>
      <c r="L470" s="47"/>
      <c r="M470" s="47"/>
      <c r="N470" s="91"/>
      <c r="O470" s="47"/>
      <c r="P470" s="47"/>
      <c r="Q470" s="47"/>
      <c r="R470" s="47"/>
      <c r="S470" s="47"/>
      <c r="T470" s="47"/>
      <c r="U470" s="47"/>
      <c r="V470" s="47"/>
      <c r="W470" s="47"/>
    </row>
    <row r="471" spans="1:23" x14ac:dyDescent="0.3">
      <c r="A471" s="47"/>
      <c r="B471" s="109"/>
      <c r="C471" s="47"/>
      <c r="E471" s="53"/>
      <c r="F471" s="47"/>
      <c r="G471" s="47"/>
      <c r="H471" s="47"/>
      <c r="I471" s="47"/>
      <c r="J471" s="47"/>
      <c r="K471" s="47"/>
      <c r="L471" s="47"/>
      <c r="M471" s="47"/>
      <c r="N471" s="91"/>
      <c r="O471" s="47"/>
      <c r="P471" s="47"/>
      <c r="Q471" s="47"/>
      <c r="R471" s="47"/>
      <c r="S471" s="47"/>
      <c r="T471" s="47"/>
      <c r="U471" s="47"/>
      <c r="V471" s="47"/>
      <c r="W471" s="47"/>
    </row>
    <row r="472" spans="1:23" x14ac:dyDescent="0.3">
      <c r="A472" s="47"/>
      <c r="B472" s="109"/>
      <c r="C472" s="47"/>
      <c r="E472" s="53"/>
      <c r="F472" s="47"/>
      <c r="G472" s="47"/>
      <c r="H472" s="47"/>
      <c r="I472" s="47"/>
      <c r="J472" s="47"/>
      <c r="K472" s="47"/>
      <c r="L472" s="47"/>
      <c r="M472" s="47"/>
      <c r="N472" s="91"/>
      <c r="O472" s="47"/>
      <c r="P472" s="47"/>
      <c r="Q472" s="47"/>
      <c r="R472" s="47"/>
      <c r="S472" s="47"/>
      <c r="T472" s="47"/>
      <c r="U472" s="47"/>
      <c r="V472" s="47"/>
      <c r="W472" s="47"/>
    </row>
    <row r="473" spans="1:23" x14ac:dyDescent="0.3">
      <c r="A473" s="47"/>
      <c r="B473" s="109"/>
      <c r="C473" s="47"/>
      <c r="E473" s="53"/>
      <c r="F473" s="47"/>
      <c r="G473" s="47"/>
      <c r="H473" s="47"/>
      <c r="I473" s="47"/>
      <c r="J473" s="47"/>
      <c r="K473" s="47"/>
      <c r="L473" s="47"/>
      <c r="M473" s="47"/>
      <c r="N473" s="91"/>
      <c r="O473" s="47"/>
      <c r="P473" s="47"/>
      <c r="Q473" s="47"/>
      <c r="R473" s="47"/>
      <c r="S473" s="47"/>
      <c r="T473" s="47"/>
      <c r="U473" s="47"/>
      <c r="V473" s="47"/>
      <c r="W473" s="47"/>
    </row>
    <row r="474" spans="1:23" x14ac:dyDescent="0.3">
      <c r="A474" s="47"/>
      <c r="B474" s="109"/>
      <c r="C474" s="47"/>
      <c r="E474" s="53"/>
      <c r="F474" s="47"/>
      <c r="G474" s="47"/>
      <c r="H474" s="47"/>
      <c r="I474" s="47"/>
      <c r="J474" s="47"/>
      <c r="K474" s="47"/>
      <c r="L474" s="47"/>
      <c r="M474" s="47"/>
      <c r="N474" s="91"/>
      <c r="O474" s="47"/>
      <c r="P474" s="47"/>
      <c r="Q474" s="47"/>
      <c r="R474" s="47"/>
      <c r="S474" s="47"/>
      <c r="T474" s="47"/>
      <c r="U474" s="47"/>
      <c r="V474" s="47"/>
      <c r="W474" s="47"/>
    </row>
    <row r="475" spans="1:23" x14ac:dyDescent="0.3">
      <c r="A475" s="47"/>
      <c r="B475" s="109"/>
      <c r="C475" s="47"/>
      <c r="E475" s="53"/>
      <c r="F475" s="47"/>
      <c r="G475" s="47"/>
      <c r="H475" s="47"/>
      <c r="I475" s="47"/>
      <c r="J475" s="47"/>
      <c r="K475" s="47"/>
      <c r="L475" s="47"/>
      <c r="M475" s="47"/>
      <c r="N475" s="91"/>
      <c r="O475" s="47"/>
      <c r="P475" s="47"/>
      <c r="Q475" s="47"/>
      <c r="R475" s="47"/>
      <c r="S475" s="47"/>
      <c r="T475" s="47"/>
      <c r="U475" s="47"/>
      <c r="V475" s="47"/>
      <c r="W475" s="47"/>
    </row>
    <row r="476" spans="1:23" x14ac:dyDescent="0.3">
      <c r="A476" s="47"/>
      <c r="B476" s="109"/>
      <c r="C476" s="47"/>
      <c r="E476" s="53"/>
      <c r="F476" s="47"/>
      <c r="G476" s="47"/>
      <c r="H476" s="47"/>
      <c r="I476" s="47"/>
      <c r="J476" s="47"/>
      <c r="K476" s="47"/>
      <c r="L476" s="47"/>
      <c r="M476" s="47"/>
      <c r="N476" s="91"/>
      <c r="O476" s="47"/>
      <c r="P476" s="47"/>
      <c r="Q476" s="47"/>
      <c r="R476" s="47"/>
      <c r="S476" s="47"/>
      <c r="T476" s="47"/>
      <c r="U476" s="47"/>
      <c r="V476" s="47"/>
      <c r="W476" s="47"/>
    </row>
    <row r="477" spans="1:23" x14ac:dyDescent="0.3">
      <c r="A477" s="47"/>
      <c r="B477" s="109"/>
      <c r="C477" s="47"/>
      <c r="E477" s="53"/>
      <c r="F477" s="47"/>
      <c r="G477" s="47"/>
      <c r="H477" s="47"/>
      <c r="I477" s="47"/>
      <c r="J477" s="47"/>
      <c r="K477" s="47"/>
      <c r="L477" s="47"/>
      <c r="M477" s="47"/>
      <c r="N477" s="91"/>
      <c r="O477" s="47"/>
      <c r="P477" s="47"/>
      <c r="Q477" s="47"/>
      <c r="R477" s="47"/>
      <c r="S477" s="47"/>
      <c r="T477" s="47"/>
      <c r="U477" s="47"/>
      <c r="V477" s="47"/>
      <c r="W477" s="47"/>
    </row>
    <row r="478" spans="1:23" x14ac:dyDescent="0.3">
      <c r="A478" s="47"/>
      <c r="B478" s="109"/>
      <c r="C478" s="47"/>
      <c r="E478" s="53"/>
      <c r="F478" s="47"/>
      <c r="G478" s="47"/>
      <c r="H478" s="47"/>
      <c r="I478" s="47"/>
      <c r="J478" s="47"/>
      <c r="K478" s="47"/>
      <c r="L478" s="47"/>
      <c r="M478" s="47"/>
      <c r="N478" s="91"/>
      <c r="O478" s="47"/>
      <c r="P478" s="47"/>
      <c r="Q478" s="47"/>
      <c r="R478" s="47"/>
      <c r="S478" s="47"/>
      <c r="T478" s="47"/>
      <c r="U478" s="47"/>
      <c r="V478" s="47"/>
      <c r="W478" s="47"/>
    </row>
    <row r="479" spans="1:23" x14ac:dyDescent="0.3">
      <c r="A479" s="47"/>
      <c r="B479" s="109"/>
      <c r="C479" s="47"/>
      <c r="E479" s="53"/>
      <c r="F479" s="47"/>
      <c r="G479" s="47"/>
      <c r="H479" s="47"/>
      <c r="I479" s="47"/>
      <c r="J479" s="47"/>
      <c r="K479" s="47"/>
      <c r="L479" s="47"/>
      <c r="M479" s="47"/>
      <c r="N479" s="91"/>
      <c r="O479" s="47"/>
      <c r="P479" s="47"/>
      <c r="Q479" s="47"/>
      <c r="R479" s="47"/>
      <c r="S479" s="47"/>
      <c r="T479" s="47"/>
      <c r="U479" s="47"/>
      <c r="V479" s="47"/>
      <c r="W479" s="47"/>
    </row>
    <row r="480" spans="1:23" x14ac:dyDescent="0.3">
      <c r="A480" s="47"/>
      <c r="B480" s="109"/>
      <c r="C480" s="47"/>
      <c r="E480" s="53"/>
      <c r="F480" s="47"/>
      <c r="G480" s="47"/>
      <c r="H480" s="47"/>
      <c r="I480" s="47"/>
      <c r="J480" s="47"/>
      <c r="K480" s="47"/>
      <c r="L480" s="47"/>
      <c r="M480" s="47"/>
      <c r="N480" s="91"/>
      <c r="O480" s="47"/>
      <c r="P480" s="47"/>
      <c r="Q480" s="47"/>
      <c r="R480" s="47"/>
      <c r="S480" s="47"/>
      <c r="T480" s="47"/>
      <c r="U480" s="47"/>
      <c r="V480" s="47"/>
      <c r="W480" s="47"/>
    </row>
    <row r="481" spans="1:23" x14ac:dyDescent="0.3">
      <c r="A481" s="47"/>
      <c r="B481" s="109"/>
      <c r="C481" s="47"/>
      <c r="E481" s="53"/>
      <c r="F481" s="47"/>
      <c r="G481" s="47"/>
      <c r="H481" s="47"/>
      <c r="I481" s="47"/>
      <c r="J481" s="47"/>
      <c r="K481" s="47"/>
      <c r="L481" s="47"/>
      <c r="M481" s="47"/>
      <c r="N481" s="91"/>
      <c r="O481" s="47"/>
      <c r="P481" s="47"/>
      <c r="Q481" s="47"/>
      <c r="R481" s="47"/>
      <c r="S481" s="47"/>
      <c r="T481" s="47"/>
      <c r="U481" s="47"/>
      <c r="V481" s="47"/>
      <c r="W481" s="47"/>
    </row>
    <row r="482" spans="1:23" x14ac:dyDescent="0.3">
      <c r="A482" s="47"/>
      <c r="B482" s="109"/>
      <c r="C482" s="47"/>
      <c r="E482" s="53"/>
      <c r="F482" s="47"/>
      <c r="G482" s="47"/>
      <c r="H482" s="47"/>
      <c r="I482" s="47"/>
      <c r="J482" s="47"/>
      <c r="K482" s="47"/>
      <c r="L482" s="47"/>
      <c r="M482" s="47"/>
      <c r="N482" s="91"/>
      <c r="O482" s="47"/>
      <c r="P482" s="47"/>
      <c r="Q482" s="47"/>
      <c r="R482" s="47"/>
      <c r="S482" s="47"/>
      <c r="T482" s="47"/>
      <c r="U482" s="47"/>
      <c r="V482" s="47"/>
      <c r="W482" s="47"/>
    </row>
    <row r="483" spans="1:23" x14ac:dyDescent="0.3">
      <c r="A483" s="47"/>
      <c r="B483" s="109"/>
      <c r="C483" s="47"/>
      <c r="E483" s="53"/>
      <c r="F483" s="47"/>
      <c r="G483" s="47"/>
      <c r="H483" s="47"/>
      <c r="I483" s="47"/>
      <c r="J483" s="47"/>
      <c r="K483" s="47"/>
      <c r="L483" s="47"/>
      <c r="M483" s="47"/>
      <c r="N483" s="91"/>
      <c r="O483" s="47"/>
      <c r="P483" s="47"/>
      <c r="Q483" s="47"/>
      <c r="R483" s="47"/>
      <c r="S483" s="47"/>
      <c r="T483" s="47"/>
      <c r="U483" s="47"/>
      <c r="V483" s="47"/>
      <c r="W483" s="47"/>
    </row>
    <row r="484" spans="1:23" x14ac:dyDescent="0.3">
      <c r="A484" s="47"/>
      <c r="B484" s="109"/>
      <c r="C484" s="47"/>
      <c r="E484" s="53"/>
      <c r="F484" s="47"/>
      <c r="G484" s="47"/>
      <c r="H484" s="47"/>
      <c r="I484" s="47"/>
      <c r="J484" s="47"/>
      <c r="K484" s="47"/>
      <c r="L484" s="47"/>
      <c r="M484" s="47"/>
      <c r="N484" s="91"/>
      <c r="O484" s="47"/>
      <c r="P484" s="47"/>
      <c r="Q484" s="47"/>
      <c r="R484" s="47"/>
      <c r="S484" s="47"/>
      <c r="T484" s="47"/>
      <c r="U484" s="47"/>
      <c r="V484" s="47"/>
      <c r="W484" s="47"/>
    </row>
    <row r="485" spans="1:23" x14ac:dyDescent="0.3">
      <c r="A485" s="47"/>
      <c r="B485" s="109"/>
      <c r="C485" s="47"/>
      <c r="E485" s="53"/>
      <c r="F485" s="47"/>
      <c r="G485" s="47"/>
      <c r="H485" s="47"/>
      <c r="I485" s="47"/>
      <c r="J485" s="47"/>
      <c r="K485" s="47"/>
      <c r="L485" s="47"/>
      <c r="M485" s="47"/>
      <c r="N485" s="91"/>
      <c r="O485" s="47"/>
      <c r="P485" s="47"/>
      <c r="Q485" s="47"/>
      <c r="R485" s="47"/>
      <c r="S485" s="47"/>
      <c r="T485" s="47"/>
      <c r="U485" s="47"/>
      <c r="V485" s="47"/>
      <c r="W485" s="47"/>
    </row>
    <row r="486" spans="1:23" x14ac:dyDescent="0.3">
      <c r="A486" s="47"/>
      <c r="B486" s="109"/>
      <c r="C486" s="47"/>
      <c r="E486" s="53"/>
      <c r="F486" s="47"/>
      <c r="G486" s="47"/>
      <c r="H486" s="47"/>
      <c r="I486" s="47"/>
      <c r="J486" s="47"/>
      <c r="K486" s="47"/>
      <c r="L486" s="47"/>
      <c r="M486" s="47"/>
      <c r="N486" s="91"/>
      <c r="O486" s="47"/>
      <c r="P486" s="47"/>
      <c r="Q486" s="47"/>
      <c r="R486" s="47"/>
      <c r="S486" s="47"/>
      <c r="T486" s="47"/>
      <c r="U486" s="47"/>
      <c r="V486" s="47"/>
      <c r="W486" s="47"/>
    </row>
    <row r="487" spans="1:23" x14ac:dyDescent="0.3">
      <c r="A487" s="47"/>
      <c r="B487" s="109"/>
      <c r="C487" s="47"/>
      <c r="E487" s="53"/>
      <c r="F487" s="47"/>
      <c r="G487" s="47"/>
      <c r="H487" s="47"/>
      <c r="I487" s="47"/>
      <c r="J487" s="47"/>
      <c r="K487" s="47"/>
      <c r="L487" s="47"/>
      <c r="M487" s="47"/>
      <c r="N487" s="91"/>
      <c r="O487" s="47"/>
      <c r="P487" s="47"/>
      <c r="Q487" s="47"/>
      <c r="R487" s="47"/>
      <c r="S487" s="47"/>
      <c r="T487" s="47"/>
      <c r="U487" s="47"/>
      <c r="V487" s="47"/>
      <c r="W487" s="47"/>
    </row>
    <row r="488" spans="1:23" x14ac:dyDescent="0.3">
      <c r="A488" s="47"/>
      <c r="B488" s="109"/>
      <c r="C488" s="47"/>
      <c r="E488" s="53"/>
      <c r="F488" s="47"/>
      <c r="G488" s="47"/>
      <c r="H488" s="47"/>
      <c r="I488" s="47"/>
      <c r="J488" s="47"/>
      <c r="K488" s="47"/>
      <c r="L488" s="47"/>
      <c r="M488" s="47"/>
      <c r="N488" s="91"/>
      <c r="O488" s="47"/>
      <c r="P488" s="47"/>
      <c r="Q488" s="47"/>
      <c r="R488" s="47"/>
      <c r="S488" s="47"/>
      <c r="T488" s="47"/>
      <c r="U488" s="47"/>
      <c r="V488" s="47"/>
      <c r="W488" s="47"/>
    </row>
    <row r="489" spans="1:23" x14ac:dyDescent="0.3">
      <c r="A489" s="47"/>
      <c r="B489" s="109"/>
      <c r="C489" s="47"/>
      <c r="E489" s="53"/>
      <c r="F489" s="47"/>
      <c r="G489" s="47"/>
      <c r="H489" s="47"/>
      <c r="I489" s="47"/>
      <c r="J489" s="47"/>
      <c r="K489" s="47"/>
      <c r="L489" s="47"/>
      <c r="M489" s="47"/>
      <c r="N489" s="91"/>
      <c r="O489" s="47"/>
      <c r="P489" s="47"/>
      <c r="Q489" s="47"/>
      <c r="R489" s="47"/>
      <c r="S489" s="47"/>
      <c r="T489" s="47"/>
      <c r="U489" s="47"/>
      <c r="V489" s="47"/>
      <c r="W489" s="47"/>
    </row>
    <row r="490" spans="1:23" x14ac:dyDescent="0.3">
      <c r="A490" s="47"/>
      <c r="B490" s="109"/>
      <c r="C490" s="47"/>
      <c r="E490" s="53"/>
      <c r="F490" s="47"/>
      <c r="G490" s="47"/>
      <c r="H490" s="47"/>
      <c r="I490" s="47"/>
      <c r="J490" s="47"/>
      <c r="K490" s="47"/>
      <c r="L490" s="47"/>
      <c r="M490" s="47"/>
      <c r="N490" s="91"/>
      <c r="O490" s="47"/>
      <c r="P490" s="47"/>
      <c r="Q490" s="47"/>
      <c r="R490" s="47"/>
      <c r="S490" s="47"/>
      <c r="T490" s="47"/>
      <c r="U490" s="47"/>
      <c r="V490" s="47"/>
      <c r="W490" s="47"/>
    </row>
    <row r="491" spans="1:23" x14ac:dyDescent="0.3">
      <c r="A491" s="47"/>
      <c r="B491" s="109"/>
      <c r="C491" s="47"/>
      <c r="E491" s="53"/>
      <c r="F491" s="47"/>
      <c r="G491" s="47"/>
      <c r="H491" s="47"/>
      <c r="I491" s="47"/>
      <c r="J491" s="47"/>
      <c r="K491" s="47"/>
      <c r="L491" s="47"/>
      <c r="M491" s="47"/>
      <c r="N491" s="91"/>
      <c r="O491" s="47"/>
      <c r="P491" s="47"/>
      <c r="Q491" s="47"/>
      <c r="R491" s="47"/>
      <c r="S491" s="47"/>
      <c r="T491" s="47"/>
      <c r="U491" s="47"/>
      <c r="V491" s="47"/>
      <c r="W491" s="47"/>
    </row>
    <row r="492" spans="1:23" x14ac:dyDescent="0.3">
      <c r="A492" s="47"/>
      <c r="B492" s="109"/>
      <c r="C492" s="47"/>
      <c r="E492" s="53"/>
      <c r="F492" s="47"/>
      <c r="G492" s="47"/>
      <c r="H492" s="47"/>
      <c r="I492" s="47"/>
      <c r="J492" s="47"/>
      <c r="K492" s="47"/>
      <c r="L492" s="47"/>
      <c r="M492" s="47"/>
      <c r="N492" s="91"/>
      <c r="O492" s="47"/>
      <c r="P492" s="47"/>
      <c r="Q492" s="47"/>
      <c r="R492" s="47"/>
      <c r="S492" s="47"/>
      <c r="T492" s="47"/>
      <c r="U492" s="47"/>
      <c r="V492" s="47"/>
      <c r="W492" s="47"/>
    </row>
    <row r="493" spans="1:23" x14ac:dyDescent="0.3">
      <c r="A493" s="47"/>
      <c r="B493" s="109"/>
      <c r="C493" s="47"/>
      <c r="E493" s="53"/>
      <c r="F493" s="47"/>
      <c r="G493" s="47"/>
      <c r="H493" s="47"/>
      <c r="I493" s="47"/>
      <c r="J493" s="47"/>
      <c r="K493" s="47"/>
      <c r="L493" s="47"/>
      <c r="M493" s="47"/>
      <c r="N493" s="91"/>
      <c r="O493" s="47"/>
      <c r="P493" s="47"/>
      <c r="Q493" s="47"/>
      <c r="R493" s="47"/>
      <c r="S493" s="47"/>
      <c r="T493" s="47"/>
      <c r="U493" s="47"/>
      <c r="V493" s="47"/>
      <c r="W493" s="47"/>
    </row>
    <row r="494" spans="1:23" x14ac:dyDescent="0.3">
      <c r="A494" s="47"/>
      <c r="B494" s="109"/>
      <c r="C494" s="47"/>
      <c r="E494" s="53"/>
      <c r="F494" s="47"/>
      <c r="G494" s="47"/>
      <c r="H494" s="47"/>
      <c r="I494" s="47"/>
      <c r="J494" s="47"/>
      <c r="K494" s="47"/>
      <c r="L494" s="47"/>
      <c r="M494" s="47"/>
      <c r="N494" s="91"/>
      <c r="O494" s="47"/>
      <c r="P494" s="47"/>
      <c r="Q494" s="47"/>
      <c r="R494" s="47"/>
      <c r="S494" s="47"/>
      <c r="T494" s="47"/>
      <c r="U494" s="47"/>
      <c r="V494" s="47"/>
      <c r="W494" s="47"/>
    </row>
    <row r="495" spans="1:23" x14ac:dyDescent="0.3">
      <c r="A495" s="47"/>
      <c r="B495" s="109"/>
      <c r="C495" s="47"/>
      <c r="E495" s="53"/>
      <c r="F495" s="47"/>
      <c r="G495" s="47"/>
      <c r="H495" s="47"/>
      <c r="I495" s="47"/>
      <c r="J495" s="47"/>
      <c r="K495" s="47"/>
      <c r="L495" s="47"/>
      <c r="M495" s="47"/>
      <c r="N495" s="91"/>
      <c r="O495" s="47"/>
      <c r="P495" s="47"/>
      <c r="Q495" s="47"/>
      <c r="R495" s="47"/>
      <c r="S495" s="47"/>
      <c r="T495" s="47"/>
      <c r="U495" s="47"/>
      <c r="V495" s="47"/>
      <c r="W495" s="47"/>
    </row>
    <row r="496" spans="1:23" x14ac:dyDescent="0.3">
      <c r="A496" s="47"/>
      <c r="B496" s="109"/>
      <c r="C496" s="47"/>
      <c r="E496" s="53"/>
      <c r="F496" s="47"/>
      <c r="G496" s="47"/>
      <c r="H496" s="47"/>
      <c r="I496" s="47"/>
      <c r="J496" s="47"/>
      <c r="K496" s="47"/>
      <c r="L496" s="47"/>
      <c r="M496" s="47"/>
      <c r="N496" s="91"/>
      <c r="O496" s="47"/>
      <c r="P496" s="47"/>
      <c r="Q496" s="47"/>
      <c r="R496" s="47"/>
      <c r="S496" s="47"/>
      <c r="T496" s="47"/>
      <c r="U496" s="47"/>
      <c r="V496" s="47"/>
      <c r="W496" s="47"/>
    </row>
    <row r="497" spans="1:23" x14ac:dyDescent="0.3">
      <c r="A497" s="47"/>
      <c r="B497" s="109"/>
      <c r="C497" s="47"/>
      <c r="E497" s="53"/>
      <c r="F497" s="47"/>
      <c r="G497" s="47"/>
      <c r="H497" s="47"/>
      <c r="I497" s="47"/>
      <c r="J497" s="47"/>
      <c r="K497" s="47"/>
      <c r="L497" s="47"/>
      <c r="M497" s="47"/>
      <c r="N497" s="91"/>
      <c r="O497" s="47"/>
      <c r="P497" s="47"/>
      <c r="Q497" s="47"/>
      <c r="R497" s="47"/>
      <c r="S497" s="47"/>
      <c r="T497" s="47"/>
      <c r="U497" s="47"/>
      <c r="V497" s="47"/>
      <c r="W497" s="47"/>
    </row>
    <row r="498" spans="1:23" x14ac:dyDescent="0.3">
      <c r="A498" s="47"/>
      <c r="B498" s="109"/>
      <c r="C498" s="47"/>
      <c r="E498" s="53"/>
      <c r="F498" s="47"/>
      <c r="G498" s="47"/>
      <c r="H498" s="47"/>
      <c r="I498" s="47"/>
      <c r="J498" s="47"/>
      <c r="K498" s="47"/>
      <c r="L498" s="47"/>
      <c r="M498" s="47"/>
      <c r="N498" s="91"/>
      <c r="O498" s="47"/>
      <c r="P498" s="47"/>
      <c r="Q498" s="47"/>
      <c r="R498" s="47"/>
      <c r="S498" s="47"/>
      <c r="T498" s="47"/>
      <c r="U498" s="47"/>
      <c r="V498" s="47"/>
      <c r="W498" s="47"/>
    </row>
    <row r="499" spans="1:23" x14ac:dyDescent="0.3">
      <c r="A499" s="47"/>
      <c r="B499" s="109"/>
      <c r="C499" s="47"/>
      <c r="E499" s="53"/>
      <c r="F499" s="47"/>
      <c r="G499" s="47"/>
      <c r="H499" s="47"/>
      <c r="I499" s="47"/>
      <c r="J499" s="47"/>
      <c r="K499" s="47"/>
      <c r="L499" s="47"/>
      <c r="M499" s="47"/>
      <c r="N499" s="91"/>
      <c r="O499" s="47"/>
      <c r="P499" s="47"/>
      <c r="Q499" s="47"/>
      <c r="R499" s="47"/>
      <c r="S499" s="47"/>
      <c r="T499" s="47"/>
      <c r="U499" s="47"/>
      <c r="V499" s="47"/>
      <c r="W499" s="47"/>
    </row>
    <row r="500" spans="1:23" x14ac:dyDescent="0.3">
      <c r="A500" s="47"/>
      <c r="B500" s="109"/>
      <c r="C500" s="47"/>
      <c r="E500" s="53"/>
      <c r="F500" s="47"/>
      <c r="G500" s="47"/>
      <c r="H500" s="47"/>
      <c r="I500" s="47"/>
      <c r="J500" s="47"/>
      <c r="K500" s="47"/>
      <c r="L500" s="47"/>
      <c r="M500" s="47"/>
      <c r="N500" s="91"/>
      <c r="O500" s="47"/>
      <c r="P500" s="47"/>
      <c r="Q500" s="47"/>
      <c r="R500" s="47"/>
      <c r="S500" s="47"/>
      <c r="T500" s="47"/>
      <c r="U500" s="47"/>
      <c r="V500" s="47"/>
      <c r="W500" s="47"/>
    </row>
    <row r="501" spans="1:23" x14ac:dyDescent="0.3">
      <c r="A501" s="47"/>
      <c r="B501" s="109"/>
      <c r="C501" s="47"/>
      <c r="E501" s="53"/>
      <c r="F501" s="47"/>
      <c r="G501" s="47"/>
      <c r="H501" s="47"/>
      <c r="I501" s="47"/>
      <c r="J501" s="47"/>
      <c r="K501" s="47"/>
      <c r="L501" s="47"/>
      <c r="M501" s="47"/>
      <c r="N501" s="91"/>
      <c r="O501" s="47"/>
      <c r="P501" s="47"/>
      <c r="Q501" s="47"/>
      <c r="R501" s="47"/>
      <c r="S501" s="47"/>
      <c r="T501" s="47"/>
      <c r="U501" s="47"/>
      <c r="V501" s="47"/>
      <c r="W501" s="47"/>
    </row>
    <row r="502" spans="1:23" x14ac:dyDescent="0.3">
      <c r="A502" s="47"/>
      <c r="B502" s="109"/>
      <c r="C502" s="47"/>
      <c r="E502" s="53"/>
      <c r="F502" s="47"/>
      <c r="G502" s="47"/>
      <c r="H502" s="47"/>
      <c r="I502" s="47"/>
      <c r="J502" s="47"/>
      <c r="K502" s="47"/>
      <c r="L502" s="47"/>
      <c r="M502" s="47"/>
      <c r="N502" s="91"/>
      <c r="O502" s="47"/>
      <c r="P502" s="47"/>
      <c r="Q502" s="47"/>
      <c r="R502" s="47"/>
      <c r="S502" s="47"/>
      <c r="T502" s="47"/>
      <c r="U502" s="47"/>
      <c r="V502" s="47"/>
      <c r="W502" s="47"/>
    </row>
    <row r="503" spans="1:23" x14ac:dyDescent="0.3">
      <c r="A503" s="47"/>
      <c r="B503" s="109"/>
      <c r="C503" s="47"/>
      <c r="E503" s="53"/>
      <c r="F503" s="47"/>
      <c r="G503" s="47"/>
      <c r="H503" s="47"/>
      <c r="I503" s="47"/>
      <c r="J503" s="47"/>
      <c r="K503" s="47"/>
      <c r="L503" s="47"/>
      <c r="M503" s="47"/>
      <c r="N503" s="91"/>
      <c r="O503" s="47"/>
      <c r="P503" s="47"/>
      <c r="Q503" s="47"/>
      <c r="R503" s="47"/>
      <c r="S503" s="47"/>
      <c r="T503" s="47"/>
      <c r="U503" s="47"/>
      <c r="V503" s="47"/>
      <c r="W503" s="47"/>
    </row>
    <row r="504" spans="1:23" x14ac:dyDescent="0.3">
      <c r="A504" s="47"/>
      <c r="B504" s="109"/>
      <c r="C504" s="47"/>
      <c r="E504" s="53"/>
      <c r="F504" s="47"/>
      <c r="G504" s="47"/>
      <c r="H504" s="47"/>
      <c r="I504" s="47"/>
      <c r="J504" s="47"/>
      <c r="K504" s="47"/>
      <c r="L504" s="47"/>
      <c r="M504" s="47"/>
      <c r="N504" s="91"/>
      <c r="O504" s="47"/>
      <c r="P504" s="47"/>
      <c r="Q504" s="47"/>
      <c r="R504" s="47"/>
      <c r="S504" s="47"/>
      <c r="T504" s="47"/>
      <c r="U504" s="47"/>
      <c r="V504" s="47"/>
      <c r="W504" s="47"/>
    </row>
    <row r="505" spans="1:23" x14ac:dyDescent="0.3">
      <c r="A505" s="47"/>
      <c r="B505" s="109"/>
      <c r="C505" s="47"/>
      <c r="E505" s="53"/>
      <c r="F505" s="47"/>
      <c r="G505" s="47"/>
      <c r="H505" s="47"/>
      <c r="I505" s="47"/>
      <c r="J505" s="47"/>
      <c r="K505" s="47"/>
      <c r="L505" s="47"/>
      <c r="M505" s="47"/>
      <c r="N505" s="91"/>
      <c r="O505" s="47"/>
      <c r="P505" s="47"/>
      <c r="Q505" s="47"/>
      <c r="R505" s="47"/>
      <c r="S505" s="47"/>
      <c r="T505" s="47"/>
      <c r="U505" s="47"/>
      <c r="V505" s="47"/>
      <c r="W505" s="47"/>
    </row>
    <row r="506" spans="1:23" x14ac:dyDescent="0.3">
      <c r="A506" s="47"/>
      <c r="B506" s="109"/>
      <c r="C506" s="47"/>
      <c r="E506" s="53"/>
      <c r="F506" s="47"/>
      <c r="G506" s="47"/>
      <c r="H506" s="47"/>
      <c r="I506" s="47"/>
      <c r="J506" s="47"/>
      <c r="K506" s="47"/>
      <c r="L506" s="47"/>
      <c r="M506" s="47"/>
      <c r="N506" s="91"/>
      <c r="O506" s="47"/>
      <c r="P506" s="47"/>
      <c r="Q506" s="47"/>
      <c r="R506" s="47"/>
      <c r="S506" s="47"/>
      <c r="T506" s="47"/>
      <c r="U506" s="47"/>
      <c r="V506" s="47"/>
      <c r="W506" s="47"/>
    </row>
    <row r="507" spans="1:23" x14ac:dyDescent="0.3">
      <c r="A507" s="47"/>
      <c r="B507" s="109"/>
      <c r="C507" s="47"/>
      <c r="E507" s="53"/>
      <c r="F507" s="47"/>
      <c r="G507" s="47"/>
      <c r="H507" s="47"/>
      <c r="I507" s="47"/>
      <c r="J507" s="47"/>
      <c r="K507" s="47"/>
      <c r="L507" s="47"/>
      <c r="M507" s="47"/>
      <c r="N507" s="91"/>
      <c r="O507" s="47"/>
      <c r="P507" s="47"/>
      <c r="Q507" s="47"/>
      <c r="R507" s="47"/>
      <c r="S507" s="47"/>
      <c r="T507" s="47"/>
      <c r="U507" s="47"/>
      <c r="V507" s="47"/>
      <c r="W507" s="47"/>
    </row>
    <row r="508" spans="1:23" x14ac:dyDescent="0.3">
      <c r="A508" s="47"/>
      <c r="B508" s="109"/>
      <c r="C508" s="47"/>
      <c r="E508" s="53"/>
      <c r="F508" s="47"/>
      <c r="G508" s="47"/>
      <c r="H508" s="47"/>
      <c r="I508" s="47"/>
      <c r="J508" s="47"/>
      <c r="K508" s="47"/>
      <c r="L508" s="47"/>
      <c r="M508" s="47"/>
      <c r="N508" s="91"/>
      <c r="O508" s="47"/>
      <c r="P508" s="47"/>
      <c r="Q508" s="47"/>
      <c r="R508" s="47"/>
      <c r="S508" s="47"/>
      <c r="T508" s="47"/>
      <c r="U508" s="47"/>
      <c r="V508" s="47"/>
      <c r="W508" s="47"/>
    </row>
    <row r="509" spans="1:23" x14ac:dyDescent="0.3">
      <c r="A509" s="47"/>
      <c r="B509" s="109"/>
      <c r="C509" s="47"/>
      <c r="E509" s="53"/>
      <c r="F509" s="47"/>
      <c r="G509" s="47"/>
      <c r="H509" s="47"/>
      <c r="I509" s="47"/>
      <c r="J509" s="47"/>
      <c r="K509" s="47"/>
      <c r="L509" s="47"/>
      <c r="M509" s="47"/>
      <c r="N509" s="91"/>
      <c r="O509" s="47"/>
      <c r="P509" s="47"/>
      <c r="Q509" s="47"/>
      <c r="R509" s="47"/>
      <c r="S509" s="47"/>
      <c r="T509" s="47"/>
      <c r="U509" s="47"/>
      <c r="V509" s="47"/>
      <c r="W509" s="47"/>
    </row>
    <row r="510" spans="1:23" x14ac:dyDescent="0.3">
      <c r="A510" s="47"/>
      <c r="B510" s="109"/>
      <c r="C510" s="47"/>
      <c r="E510" s="53"/>
      <c r="F510" s="47"/>
      <c r="G510" s="47"/>
      <c r="H510" s="47"/>
      <c r="I510" s="47"/>
      <c r="J510" s="47"/>
      <c r="K510" s="47"/>
      <c r="L510" s="47"/>
      <c r="M510" s="47"/>
      <c r="N510" s="91"/>
      <c r="O510" s="47"/>
      <c r="P510" s="47"/>
      <c r="Q510" s="47"/>
      <c r="R510" s="47"/>
      <c r="S510" s="47"/>
      <c r="T510" s="47"/>
      <c r="U510" s="47"/>
      <c r="V510" s="47"/>
      <c r="W510" s="47"/>
    </row>
    <row r="511" spans="1:23" x14ac:dyDescent="0.3">
      <c r="A511" s="47"/>
      <c r="B511" s="109"/>
      <c r="C511" s="47"/>
      <c r="E511" s="53"/>
      <c r="F511" s="47"/>
      <c r="G511" s="47"/>
      <c r="H511" s="47"/>
      <c r="I511" s="47"/>
      <c r="J511" s="47"/>
      <c r="K511" s="47"/>
      <c r="L511" s="47"/>
      <c r="M511" s="47"/>
      <c r="N511" s="91"/>
      <c r="O511" s="47"/>
      <c r="P511" s="47"/>
      <c r="Q511" s="47"/>
      <c r="R511" s="47"/>
      <c r="S511" s="47"/>
      <c r="T511" s="47"/>
      <c r="U511" s="47"/>
      <c r="V511" s="47"/>
      <c r="W511" s="47"/>
    </row>
    <row r="512" spans="1:23" x14ac:dyDescent="0.3">
      <c r="A512" s="47"/>
      <c r="B512" s="109"/>
      <c r="C512" s="47"/>
      <c r="E512" s="53"/>
      <c r="F512" s="47"/>
      <c r="G512" s="47"/>
      <c r="H512" s="47"/>
      <c r="I512" s="47"/>
      <c r="J512" s="47"/>
      <c r="K512" s="47"/>
      <c r="L512" s="47"/>
      <c r="M512" s="47"/>
      <c r="N512" s="91"/>
      <c r="O512" s="47"/>
      <c r="P512" s="47"/>
      <c r="Q512" s="47"/>
      <c r="R512" s="47"/>
      <c r="S512" s="47"/>
      <c r="T512" s="47"/>
      <c r="U512" s="47"/>
      <c r="V512" s="47"/>
      <c r="W512" s="47"/>
    </row>
    <row r="513" spans="1:23" x14ac:dyDescent="0.3">
      <c r="A513" s="47"/>
      <c r="B513" s="109"/>
      <c r="C513" s="47"/>
      <c r="E513" s="53"/>
      <c r="F513" s="47"/>
      <c r="G513" s="47"/>
      <c r="H513" s="47"/>
      <c r="I513" s="47"/>
      <c r="J513" s="47"/>
      <c r="K513" s="47"/>
      <c r="L513" s="47"/>
      <c r="M513" s="47"/>
      <c r="N513" s="91"/>
      <c r="O513" s="47"/>
      <c r="P513" s="47"/>
      <c r="Q513" s="47"/>
      <c r="R513" s="47"/>
      <c r="S513" s="47"/>
      <c r="T513" s="47"/>
      <c r="U513" s="47"/>
      <c r="V513" s="47"/>
      <c r="W513" s="47"/>
    </row>
    <row r="514" spans="1:23" x14ac:dyDescent="0.3">
      <c r="A514" s="47"/>
      <c r="B514" s="109"/>
      <c r="C514" s="47"/>
      <c r="E514" s="53"/>
      <c r="F514" s="47"/>
      <c r="G514" s="47"/>
      <c r="H514" s="47"/>
      <c r="I514" s="47"/>
      <c r="J514" s="47"/>
      <c r="K514" s="47"/>
      <c r="L514" s="47"/>
      <c r="M514" s="47"/>
      <c r="N514" s="91"/>
      <c r="O514" s="47"/>
      <c r="P514" s="47"/>
      <c r="Q514" s="47"/>
      <c r="R514" s="47"/>
      <c r="S514" s="47"/>
      <c r="T514" s="47"/>
      <c r="U514" s="47"/>
      <c r="V514" s="47"/>
      <c r="W514" s="47"/>
    </row>
    <row r="515" spans="1:23" x14ac:dyDescent="0.3">
      <c r="A515" s="47"/>
      <c r="B515" s="109"/>
      <c r="C515" s="47"/>
      <c r="E515" s="53"/>
      <c r="F515" s="47"/>
      <c r="G515" s="47"/>
      <c r="H515" s="47"/>
      <c r="I515" s="47"/>
      <c r="J515" s="47"/>
      <c r="K515" s="47"/>
      <c r="L515" s="47"/>
      <c r="M515" s="47"/>
      <c r="N515" s="91"/>
      <c r="O515" s="47"/>
      <c r="P515" s="47"/>
      <c r="Q515" s="47"/>
      <c r="R515" s="47"/>
      <c r="S515" s="47"/>
      <c r="T515" s="47"/>
      <c r="U515" s="47"/>
      <c r="V515" s="47"/>
      <c r="W515" s="47"/>
    </row>
    <row r="516" spans="1:23" x14ac:dyDescent="0.3">
      <c r="A516" s="47"/>
      <c r="B516" s="109"/>
      <c r="C516" s="47"/>
      <c r="E516" s="53"/>
      <c r="F516" s="47"/>
      <c r="G516" s="47"/>
      <c r="H516" s="47"/>
      <c r="I516" s="47"/>
      <c r="J516" s="47"/>
      <c r="K516" s="47"/>
      <c r="L516" s="47"/>
      <c r="M516" s="47"/>
      <c r="N516" s="91"/>
      <c r="O516" s="47"/>
      <c r="P516" s="47"/>
      <c r="Q516" s="47"/>
      <c r="R516" s="47"/>
      <c r="S516" s="47"/>
      <c r="T516" s="47"/>
      <c r="U516" s="47"/>
      <c r="V516" s="47"/>
      <c r="W516" s="47"/>
    </row>
    <row r="517" spans="1:23" x14ac:dyDescent="0.3">
      <c r="A517" s="47"/>
      <c r="B517" s="109"/>
      <c r="C517" s="47"/>
      <c r="E517" s="53"/>
      <c r="F517" s="47"/>
      <c r="G517" s="47"/>
      <c r="H517" s="47"/>
      <c r="I517" s="47"/>
      <c r="J517" s="47"/>
      <c r="K517" s="47"/>
      <c r="L517" s="47"/>
      <c r="M517" s="47"/>
      <c r="N517" s="91"/>
      <c r="O517" s="47"/>
      <c r="P517" s="47"/>
      <c r="Q517" s="47"/>
      <c r="R517" s="47"/>
      <c r="S517" s="47"/>
      <c r="T517" s="47"/>
      <c r="U517" s="47"/>
      <c r="V517" s="47"/>
      <c r="W517" s="47"/>
    </row>
    <row r="518" spans="1:23" x14ac:dyDescent="0.3">
      <c r="A518" s="47"/>
      <c r="B518" s="109"/>
      <c r="C518" s="47"/>
      <c r="E518" s="53"/>
      <c r="F518" s="47"/>
      <c r="G518" s="47"/>
      <c r="H518" s="47"/>
      <c r="I518" s="47"/>
      <c r="J518" s="47"/>
      <c r="K518" s="47"/>
      <c r="L518" s="47"/>
      <c r="M518" s="47"/>
      <c r="N518" s="91"/>
      <c r="O518" s="47"/>
      <c r="P518" s="47"/>
      <c r="Q518" s="47"/>
      <c r="R518" s="47"/>
      <c r="S518" s="47"/>
      <c r="T518" s="47"/>
      <c r="U518" s="47"/>
      <c r="V518" s="47"/>
      <c r="W518" s="47"/>
    </row>
    <row r="519" spans="1:23" x14ac:dyDescent="0.3">
      <c r="A519" s="47"/>
      <c r="B519" s="109"/>
      <c r="C519" s="47"/>
      <c r="E519" s="53"/>
      <c r="F519" s="47"/>
      <c r="G519" s="47"/>
      <c r="H519" s="47"/>
      <c r="I519" s="47"/>
      <c r="J519" s="47"/>
      <c r="K519" s="47"/>
      <c r="L519" s="47"/>
      <c r="M519" s="47"/>
      <c r="N519" s="91"/>
      <c r="O519" s="47"/>
      <c r="P519" s="47"/>
      <c r="Q519" s="47"/>
      <c r="R519" s="47"/>
      <c r="S519" s="47"/>
      <c r="T519" s="47"/>
      <c r="U519" s="47"/>
      <c r="V519" s="47"/>
      <c r="W519" s="47"/>
    </row>
    <row r="520" spans="1:23" x14ac:dyDescent="0.3">
      <c r="A520" s="47"/>
      <c r="B520" s="109"/>
      <c r="C520" s="47"/>
      <c r="E520" s="53"/>
      <c r="F520" s="47"/>
      <c r="G520" s="47"/>
      <c r="H520" s="47"/>
      <c r="I520" s="47"/>
      <c r="J520" s="47"/>
      <c r="K520" s="47"/>
      <c r="L520" s="47"/>
      <c r="M520" s="47"/>
      <c r="N520" s="91"/>
      <c r="O520" s="47"/>
      <c r="P520" s="47"/>
      <c r="Q520" s="47"/>
      <c r="R520" s="47"/>
      <c r="S520" s="47"/>
      <c r="T520" s="47"/>
      <c r="U520" s="47"/>
      <c r="V520" s="47"/>
      <c r="W520" s="47"/>
    </row>
    <row r="521" spans="1:23" x14ac:dyDescent="0.3">
      <c r="A521" s="47"/>
      <c r="B521" s="109"/>
      <c r="C521" s="47"/>
      <c r="E521" s="53"/>
      <c r="F521" s="47"/>
      <c r="G521" s="47"/>
      <c r="H521" s="47"/>
      <c r="I521" s="47"/>
      <c r="J521" s="47"/>
      <c r="K521" s="47"/>
      <c r="L521" s="47"/>
      <c r="M521" s="47"/>
      <c r="N521" s="91"/>
      <c r="O521" s="47"/>
      <c r="P521" s="47"/>
      <c r="Q521" s="47"/>
      <c r="R521" s="47"/>
      <c r="S521" s="47"/>
      <c r="T521" s="47"/>
      <c r="U521" s="47"/>
      <c r="V521" s="47"/>
      <c r="W521" s="47"/>
    </row>
    <row r="522" spans="1:23" x14ac:dyDescent="0.3">
      <c r="A522" s="47"/>
      <c r="B522" s="109"/>
      <c r="C522" s="47"/>
      <c r="E522" s="53"/>
      <c r="F522" s="47"/>
      <c r="G522" s="47"/>
      <c r="H522" s="47"/>
      <c r="I522" s="47"/>
      <c r="J522" s="47"/>
      <c r="K522" s="47"/>
      <c r="L522" s="47"/>
      <c r="M522" s="47"/>
      <c r="N522" s="91"/>
      <c r="O522" s="47"/>
      <c r="P522" s="47"/>
      <c r="Q522" s="47"/>
      <c r="R522" s="47"/>
      <c r="S522" s="47"/>
      <c r="T522" s="47"/>
      <c r="U522" s="47"/>
      <c r="V522" s="47"/>
      <c r="W522" s="47"/>
    </row>
    <row r="523" spans="1:23" x14ac:dyDescent="0.3">
      <c r="A523" s="47"/>
      <c r="B523" s="109"/>
      <c r="C523" s="47"/>
      <c r="E523" s="53"/>
      <c r="F523" s="47"/>
      <c r="G523" s="47"/>
      <c r="H523" s="47"/>
      <c r="I523" s="47"/>
      <c r="J523" s="47"/>
      <c r="K523" s="47"/>
      <c r="L523" s="47"/>
      <c r="M523" s="47"/>
      <c r="N523" s="91"/>
      <c r="O523" s="47"/>
      <c r="P523" s="47"/>
      <c r="Q523" s="47"/>
      <c r="R523" s="47"/>
      <c r="S523" s="47"/>
      <c r="T523" s="47"/>
      <c r="U523" s="47"/>
      <c r="V523" s="47"/>
      <c r="W523" s="47"/>
    </row>
    <row r="524" spans="1:23" x14ac:dyDescent="0.3">
      <c r="A524" s="47"/>
      <c r="B524" s="109"/>
      <c r="C524" s="47"/>
      <c r="E524" s="53"/>
      <c r="F524" s="47"/>
      <c r="G524" s="47"/>
      <c r="H524" s="47"/>
      <c r="I524" s="47"/>
      <c r="J524" s="47"/>
      <c r="K524" s="47"/>
      <c r="L524" s="47"/>
      <c r="M524" s="47"/>
      <c r="N524" s="91"/>
      <c r="O524" s="47"/>
      <c r="P524" s="47"/>
      <c r="Q524" s="47"/>
      <c r="R524" s="47"/>
      <c r="S524" s="47"/>
      <c r="T524" s="47"/>
      <c r="U524" s="47"/>
      <c r="V524" s="47"/>
      <c r="W524" s="47"/>
    </row>
    <row r="525" spans="1:23" x14ac:dyDescent="0.3">
      <c r="A525" s="47"/>
      <c r="B525" s="109"/>
      <c r="C525" s="47"/>
      <c r="E525" s="53"/>
      <c r="F525" s="47"/>
      <c r="G525" s="47"/>
      <c r="H525" s="47"/>
      <c r="I525" s="47"/>
      <c r="J525" s="47"/>
      <c r="K525" s="47"/>
      <c r="L525" s="47"/>
      <c r="M525" s="47"/>
      <c r="N525" s="91"/>
      <c r="O525" s="47"/>
      <c r="P525" s="47"/>
      <c r="Q525" s="47"/>
      <c r="R525" s="47"/>
      <c r="S525" s="47"/>
      <c r="T525" s="47"/>
      <c r="U525" s="47"/>
      <c r="V525" s="47"/>
      <c r="W525" s="47"/>
    </row>
    <row r="526" spans="1:23" x14ac:dyDescent="0.3">
      <c r="A526" s="47"/>
      <c r="B526" s="109"/>
      <c r="C526" s="47"/>
      <c r="E526" s="53"/>
      <c r="F526" s="47"/>
      <c r="G526" s="47"/>
      <c r="H526" s="47"/>
      <c r="I526" s="47"/>
      <c r="J526" s="47"/>
      <c r="K526" s="47"/>
      <c r="L526" s="47"/>
      <c r="M526" s="47"/>
      <c r="N526" s="91"/>
      <c r="O526" s="47"/>
      <c r="P526" s="47"/>
      <c r="Q526" s="47"/>
      <c r="R526" s="47"/>
      <c r="S526" s="47"/>
      <c r="T526" s="47"/>
      <c r="U526" s="47"/>
      <c r="V526" s="47"/>
      <c r="W526" s="47"/>
    </row>
    <row r="527" spans="1:23" x14ac:dyDescent="0.3">
      <c r="A527" s="47"/>
      <c r="B527" s="109"/>
      <c r="C527" s="47"/>
      <c r="E527" s="53"/>
      <c r="F527" s="47"/>
      <c r="G527" s="47"/>
      <c r="H527" s="47"/>
      <c r="I527" s="47"/>
      <c r="J527" s="47"/>
      <c r="K527" s="47"/>
      <c r="L527" s="47"/>
      <c r="M527" s="47"/>
      <c r="N527" s="91"/>
      <c r="O527" s="47"/>
      <c r="P527" s="47"/>
      <c r="Q527" s="47"/>
      <c r="R527" s="47"/>
      <c r="S527" s="47"/>
      <c r="T527" s="47"/>
      <c r="U527" s="47"/>
      <c r="V527" s="47"/>
      <c r="W527" s="47"/>
    </row>
    <row r="528" spans="1:23" x14ac:dyDescent="0.3">
      <c r="A528" s="47"/>
      <c r="B528" s="109"/>
      <c r="C528" s="47"/>
      <c r="E528" s="53"/>
      <c r="F528" s="47"/>
      <c r="G528" s="47"/>
      <c r="H528" s="47"/>
      <c r="I528" s="47"/>
      <c r="J528" s="47"/>
      <c r="K528" s="47"/>
      <c r="L528" s="47"/>
      <c r="M528" s="47"/>
      <c r="N528" s="91"/>
      <c r="O528" s="47"/>
      <c r="P528" s="47"/>
      <c r="Q528" s="47"/>
      <c r="R528" s="47"/>
      <c r="S528" s="47"/>
      <c r="T528" s="47"/>
      <c r="U528" s="47"/>
      <c r="V528" s="47"/>
      <c r="W528" s="47"/>
    </row>
    <row r="529" spans="1:23" x14ac:dyDescent="0.3">
      <c r="A529" s="47"/>
      <c r="B529" s="109"/>
      <c r="C529" s="47"/>
      <c r="E529" s="53"/>
      <c r="F529" s="47"/>
      <c r="G529" s="47"/>
      <c r="H529" s="47"/>
      <c r="I529" s="47"/>
      <c r="J529" s="47"/>
      <c r="K529" s="47"/>
      <c r="L529" s="47"/>
      <c r="M529" s="47"/>
      <c r="N529" s="91"/>
      <c r="O529" s="47"/>
      <c r="P529" s="47"/>
      <c r="Q529" s="47"/>
      <c r="R529" s="47"/>
      <c r="S529" s="47"/>
      <c r="T529" s="47"/>
      <c r="U529" s="47"/>
      <c r="V529" s="47"/>
      <c r="W529" s="47"/>
    </row>
    <row r="530" spans="1:23" x14ac:dyDescent="0.3">
      <c r="A530" s="47"/>
      <c r="B530" s="109"/>
      <c r="C530" s="47"/>
      <c r="E530" s="53"/>
      <c r="F530" s="47"/>
      <c r="G530" s="47"/>
      <c r="H530" s="47"/>
      <c r="I530" s="47"/>
      <c r="J530" s="47"/>
      <c r="K530" s="47"/>
      <c r="L530" s="47"/>
      <c r="M530" s="47"/>
      <c r="N530" s="91"/>
      <c r="O530" s="47"/>
      <c r="P530" s="47"/>
      <c r="Q530" s="47"/>
      <c r="R530" s="47"/>
      <c r="S530" s="47"/>
      <c r="T530" s="47"/>
      <c r="U530" s="47"/>
      <c r="V530" s="47"/>
      <c r="W530" s="47"/>
    </row>
    <row r="531" spans="1:23" x14ac:dyDescent="0.3">
      <c r="A531" s="47"/>
      <c r="B531" s="109"/>
      <c r="C531" s="47"/>
      <c r="E531" s="53"/>
      <c r="F531" s="47"/>
      <c r="G531" s="47"/>
      <c r="H531" s="47"/>
      <c r="I531" s="47"/>
      <c r="J531" s="47"/>
      <c r="K531" s="47"/>
      <c r="L531" s="47"/>
      <c r="M531" s="47"/>
      <c r="N531" s="91"/>
      <c r="O531" s="47"/>
      <c r="P531" s="47"/>
      <c r="Q531" s="47"/>
      <c r="R531" s="47"/>
      <c r="S531" s="47"/>
      <c r="T531" s="47"/>
      <c r="U531" s="47"/>
      <c r="V531" s="47"/>
      <c r="W531" s="47"/>
    </row>
    <row r="532" spans="1:23" x14ac:dyDescent="0.3">
      <c r="A532" s="47"/>
      <c r="B532" s="109"/>
      <c r="C532" s="47"/>
      <c r="E532" s="53"/>
      <c r="F532" s="47"/>
      <c r="G532" s="47"/>
      <c r="H532" s="47"/>
      <c r="I532" s="47"/>
      <c r="J532" s="47"/>
      <c r="K532" s="47"/>
      <c r="L532" s="47"/>
      <c r="M532" s="47"/>
      <c r="N532" s="91"/>
      <c r="O532" s="47"/>
      <c r="P532" s="47"/>
      <c r="Q532" s="47"/>
      <c r="R532" s="47"/>
      <c r="S532" s="47"/>
      <c r="T532" s="47"/>
      <c r="U532" s="47"/>
      <c r="V532" s="47"/>
      <c r="W532" s="47"/>
    </row>
    <row r="533" spans="1:23" x14ac:dyDescent="0.3">
      <c r="A533" s="47"/>
      <c r="B533" s="109"/>
      <c r="C533" s="47"/>
      <c r="E533" s="53"/>
      <c r="F533" s="47"/>
      <c r="G533" s="47"/>
      <c r="H533" s="47"/>
      <c r="I533" s="47"/>
      <c r="J533" s="47"/>
      <c r="K533" s="47"/>
      <c r="L533" s="47"/>
      <c r="M533" s="47"/>
      <c r="N533" s="91"/>
      <c r="O533" s="47"/>
      <c r="P533" s="47"/>
      <c r="Q533" s="47"/>
      <c r="R533" s="47"/>
      <c r="S533" s="47"/>
      <c r="T533" s="47"/>
      <c r="U533" s="47"/>
      <c r="V533" s="47"/>
      <c r="W533" s="47"/>
    </row>
    <row r="534" spans="1:23" x14ac:dyDescent="0.3">
      <c r="A534" s="47"/>
      <c r="B534" s="109"/>
      <c r="C534" s="47"/>
      <c r="E534" s="53"/>
      <c r="F534" s="47"/>
      <c r="G534" s="47"/>
      <c r="H534" s="47"/>
      <c r="I534" s="47"/>
      <c r="J534" s="47"/>
      <c r="K534" s="47"/>
      <c r="L534" s="47"/>
      <c r="M534" s="47"/>
      <c r="N534" s="91"/>
      <c r="O534" s="47"/>
      <c r="P534" s="47"/>
      <c r="Q534" s="47"/>
      <c r="R534" s="47"/>
      <c r="S534" s="47"/>
      <c r="T534" s="47"/>
      <c r="U534" s="47"/>
      <c r="V534" s="47"/>
      <c r="W534" s="47"/>
    </row>
    <row r="535" spans="1:23" x14ac:dyDescent="0.3">
      <c r="A535" s="47"/>
      <c r="B535" s="109"/>
      <c r="C535" s="47"/>
      <c r="E535" s="53"/>
      <c r="F535" s="47"/>
      <c r="G535" s="47"/>
      <c r="H535" s="47"/>
      <c r="I535" s="47"/>
      <c r="J535" s="47"/>
      <c r="K535" s="47"/>
      <c r="L535" s="47"/>
      <c r="M535" s="47"/>
      <c r="N535" s="91"/>
      <c r="O535" s="47"/>
      <c r="P535" s="47"/>
      <c r="Q535" s="47"/>
      <c r="R535" s="47"/>
      <c r="S535" s="47"/>
      <c r="T535" s="47"/>
      <c r="U535" s="47"/>
      <c r="V535" s="47"/>
      <c r="W535" s="47"/>
    </row>
    <row r="536" spans="1:23" x14ac:dyDescent="0.3">
      <c r="A536" s="47"/>
      <c r="B536" s="109"/>
      <c r="C536" s="47"/>
      <c r="E536" s="53"/>
      <c r="F536" s="47"/>
      <c r="G536" s="47"/>
      <c r="H536" s="47"/>
      <c r="I536" s="47"/>
      <c r="J536" s="47"/>
      <c r="K536" s="47"/>
      <c r="L536" s="47"/>
      <c r="M536" s="47"/>
      <c r="N536" s="91"/>
      <c r="O536" s="47"/>
      <c r="P536" s="47"/>
      <c r="Q536" s="47"/>
      <c r="R536" s="47"/>
      <c r="S536" s="47"/>
      <c r="T536" s="47"/>
      <c r="U536" s="47"/>
      <c r="V536" s="47"/>
      <c r="W536" s="47"/>
    </row>
    <row r="537" spans="1:23" x14ac:dyDescent="0.3">
      <c r="A537" s="47"/>
      <c r="B537" s="109"/>
      <c r="C537" s="47"/>
      <c r="E537" s="53"/>
      <c r="F537" s="47"/>
      <c r="G537" s="47"/>
      <c r="H537" s="47"/>
      <c r="I537" s="47"/>
      <c r="J537" s="47"/>
      <c r="K537" s="47"/>
      <c r="L537" s="47"/>
      <c r="M537" s="47"/>
      <c r="N537" s="91"/>
      <c r="O537" s="47"/>
      <c r="P537" s="47"/>
      <c r="Q537" s="47"/>
      <c r="R537" s="47"/>
      <c r="S537" s="47"/>
      <c r="T537" s="47"/>
      <c r="U537" s="47"/>
      <c r="V537" s="47"/>
      <c r="W537" s="47"/>
    </row>
    <row r="538" spans="1:23" x14ac:dyDescent="0.3">
      <c r="A538" s="47"/>
      <c r="B538" s="109"/>
      <c r="C538" s="47"/>
      <c r="E538" s="53"/>
      <c r="F538" s="47"/>
      <c r="G538" s="47"/>
      <c r="H538" s="47"/>
      <c r="I538" s="47"/>
      <c r="J538" s="47"/>
      <c r="K538" s="47"/>
      <c r="L538" s="47"/>
      <c r="M538" s="47"/>
      <c r="N538" s="91"/>
      <c r="O538" s="47"/>
      <c r="P538" s="47"/>
      <c r="Q538" s="47"/>
      <c r="R538" s="47"/>
      <c r="S538" s="47"/>
      <c r="T538" s="47"/>
      <c r="U538" s="47"/>
      <c r="V538" s="47"/>
      <c r="W538" s="47"/>
    </row>
    <row r="539" spans="1:23" x14ac:dyDescent="0.3">
      <c r="A539" s="47"/>
      <c r="B539" s="109"/>
      <c r="C539" s="47"/>
      <c r="E539" s="53"/>
      <c r="F539" s="47"/>
      <c r="G539" s="47"/>
      <c r="H539" s="47"/>
      <c r="I539" s="47"/>
      <c r="J539" s="47"/>
      <c r="K539" s="47"/>
      <c r="L539" s="47"/>
      <c r="M539" s="47"/>
      <c r="N539" s="91"/>
      <c r="O539" s="47"/>
      <c r="P539" s="47"/>
      <c r="Q539" s="47"/>
      <c r="R539" s="47"/>
      <c r="S539" s="47"/>
      <c r="T539" s="47"/>
      <c r="U539" s="47"/>
      <c r="V539" s="47"/>
      <c r="W539" s="47"/>
    </row>
    <row r="540" spans="1:23" x14ac:dyDescent="0.3">
      <c r="A540" s="47"/>
      <c r="B540" s="109"/>
      <c r="C540" s="47"/>
      <c r="E540" s="53"/>
      <c r="F540" s="47"/>
      <c r="G540" s="47"/>
      <c r="H540" s="47"/>
      <c r="I540" s="47"/>
      <c r="J540" s="47"/>
      <c r="K540" s="47"/>
      <c r="L540" s="47"/>
      <c r="M540" s="47"/>
      <c r="N540" s="91"/>
      <c r="O540" s="47"/>
      <c r="P540" s="47"/>
      <c r="Q540" s="47"/>
      <c r="R540" s="47"/>
      <c r="S540" s="47"/>
      <c r="T540" s="47"/>
      <c r="U540" s="47"/>
      <c r="V540" s="47"/>
      <c r="W540" s="47"/>
    </row>
    <row r="541" spans="1:23" x14ac:dyDescent="0.3">
      <c r="A541" s="47"/>
      <c r="B541" s="109"/>
      <c r="C541" s="47"/>
      <c r="E541" s="53"/>
      <c r="F541" s="47"/>
      <c r="G541" s="47"/>
      <c r="H541" s="47"/>
      <c r="I541" s="47"/>
      <c r="J541" s="47"/>
      <c r="K541" s="47"/>
      <c r="L541" s="47"/>
      <c r="M541" s="47"/>
      <c r="N541" s="91"/>
      <c r="O541" s="47"/>
      <c r="P541" s="47"/>
      <c r="Q541" s="47"/>
      <c r="R541" s="47"/>
      <c r="S541" s="47"/>
      <c r="T541" s="47"/>
      <c r="U541" s="47"/>
      <c r="V541" s="47"/>
      <c r="W541" s="47"/>
    </row>
    <row r="542" spans="1:23" x14ac:dyDescent="0.3">
      <c r="A542" s="47"/>
      <c r="B542" s="109"/>
      <c r="C542" s="47"/>
      <c r="E542" s="53"/>
      <c r="F542" s="47"/>
      <c r="G542" s="47"/>
      <c r="H542" s="47"/>
      <c r="I542" s="47"/>
      <c r="J542" s="47"/>
      <c r="K542" s="47"/>
      <c r="L542" s="47"/>
      <c r="M542" s="47"/>
      <c r="N542" s="91"/>
      <c r="O542" s="47"/>
      <c r="P542" s="47"/>
      <c r="Q542" s="47"/>
      <c r="R542" s="47"/>
      <c r="S542" s="47"/>
      <c r="T542" s="47"/>
      <c r="U542" s="47"/>
      <c r="V542" s="47"/>
      <c r="W542" s="47"/>
    </row>
    <row r="543" spans="1:23" x14ac:dyDescent="0.3">
      <c r="A543" s="47"/>
      <c r="B543" s="109"/>
      <c r="C543" s="47"/>
      <c r="E543" s="53"/>
      <c r="F543" s="47"/>
      <c r="G543" s="47"/>
      <c r="H543" s="47"/>
      <c r="I543" s="47"/>
      <c r="J543" s="47"/>
      <c r="K543" s="47"/>
      <c r="L543" s="47"/>
      <c r="M543" s="47"/>
      <c r="N543" s="91"/>
      <c r="O543" s="47"/>
      <c r="P543" s="47"/>
      <c r="Q543" s="47"/>
      <c r="R543" s="47"/>
      <c r="S543" s="47"/>
      <c r="T543" s="47"/>
      <c r="U543" s="47"/>
      <c r="V543" s="47"/>
      <c r="W543" s="47"/>
    </row>
    <row r="544" spans="1:23" x14ac:dyDescent="0.3">
      <c r="A544" s="47"/>
      <c r="B544" s="109"/>
      <c r="C544" s="47"/>
      <c r="E544" s="53"/>
      <c r="F544" s="47"/>
      <c r="G544" s="47"/>
      <c r="H544" s="47"/>
      <c r="I544" s="47"/>
      <c r="J544" s="47"/>
      <c r="K544" s="47"/>
      <c r="L544" s="47"/>
      <c r="M544" s="47"/>
      <c r="N544" s="91"/>
      <c r="O544" s="47"/>
      <c r="P544" s="47"/>
      <c r="Q544" s="47"/>
      <c r="R544" s="47"/>
      <c r="S544" s="47"/>
      <c r="T544" s="47"/>
      <c r="U544" s="47"/>
      <c r="V544" s="47"/>
      <c r="W544" s="47"/>
    </row>
    <row r="545" spans="1:23" x14ac:dyDescent="0.3">
      <c r="A545" s="47"/>
      <c r="B545" s="109"/>
      <c r="C545" s="47"/>
      <c r="E545" s="53"/>
      <c r="F545" s="47"/>
      <c r="G545" s="47"/>
      <c r="H545" s="47"/>
      <c r="I545" s="47"/>
      <c r="J545" s="47"/>
      <c r="K545" s="47"/>
      <c r="L545" s="47"/>
      <c r="M545" s="47"/>
      <c r="N545" s="91"/>
      <c r="O545" s="47"/>
      <c r="P545" s="47"/>
      <c r="Q545" s="47"/>
      <c r="R545" s="47"/>
      <c r="S545" s="47"/>
      <c r="T545" s="47"/>
      <c r="U545" s="47"/>
      <c r="V545" s="47"/>
      <c r="W545" s="47"/>
    </row>
    <row r="546" spans="1:23" x14ac:dyDescent="0.3">
      <c r="A546" s="47"/>
      <c r="B546" s="109"/>
      <c r="C546" s="47"/>
      <c r="E546" s="53"/>
      <c r="F546" s="47"/>
      <c r="G546" s="47"/>
      <c r="H546" s="47"/>
      <c r="I546" s="47"/>
      <c r="J546" s="47"/>
      <c r="K546" s="47"/>
      <c r="L546" s="47"/>
      <c r="M546" s="47"/>
      <c r="N546" s="91"/>
      <c r="O546" s="47"/>
      <c r="P546" s="47"/>
      <c r="Q546" s="47"/>
      <c r="R546" s="47"/>
      <c r="S546" s="47"/>
      <c r="T546" s="47"/>
      <c r="U546" s="47"/>
      <c r="V546" s="47"/>
      <c r="W546" s="47"/>
    </row>
    <row r="547" spans="1:23" x14ac:dyDescent="0.3">
      <c r="A547" s="47"/>
      <c r="B547" s="109"/>
      <c r="C547" s="47"/>
      <c r="E547" s="53"/>
      <c r="F547" s="47"/>
      <c r="G547" s="47"/>
      <c r="H547" s="47"/>
      <c r="I547" s="47"/>
      <c r="J547" s="47"/>
      <c r="K547" s="47"/>
      <c r="L547" s="47"/>
      <c r="M547" s="47"/>
      <c r="N547" s="91"/>
      <c r="O547" s="47"/>
      <c r="P547" s="47"/>
      <c r="Q547" s="47"/>
      <c r="R547" s="47"/>
      <c r="S547" s="47"/>
      <c r="T547" s="47"/>
      <c r="U547" s="47"/>
      <c r="V547" s="47"/>
      <c r="W547" s="47"/>
    </row>
    <row r="548" spans="1:23" x14ac:dyDescent="0.3">
      <c r="A548" s="47"/>
      <c r="B548" s="109"/>
      <c r="C548" s="47"/>
      <c r="E548" s="53"/>
      <c r="F548" s="47"/>
      <c r="G548" s="47"/>
      <c r="H548" s="47"/>
      <c r="I548" s="47"/>
      <c r="J548" s="47"/>
      <c r="K548" s="47"/>
      <c r="L548" s="47"/>
      <c r="M548" s="47"/>
      <c r="N548" s="91"/>
      <c r="O548" s="47"/>
      <c r="P548" s="47"/>
      <c r="Q548" s="47"/>
      <c r="R548" s="47"/>
      <c r="S548" s="47"/>
      <c r="T548" s="47"/>
      <c r="U548" s="47"/>
      <c r="V548" s="47"/>
      <c r="W548" s="47"/>
    </row>
    <row r="549" spans="1:23" x14ac:dyDescent="0.3">
      <c r="A549" s="47"/>
      <c r="B549" s="109"/>
      <c r="C549" s="47"/>
      <c r="E549" s="53"/>
      <c r="F549" s="47"/>
      <c r="G549" s="47"/>
      <c r="H549" s="47"/>
      <c r="I549" s="47"/>
      <c r="J549" s="47"/>
      <c r="K549" s="47"/>
      <c r="L549" s="47"/>
      <c r="M549" s="47"/>
      <c r="N549" s="91"/>
      <c r="O549" s="47"/>
      <c r="P549" s="47"/>
      <c r="Q549" s="47"/>
      <c r="R549" s="47"/>
      <c r="S549" s="47"/>
      <c r="T549" s="47"/>
      <c r="U549" s="47"/>
      <c r="V549" s="47"/>
      <c r="W549" s="47"/>
    </row>
    <row r="550" spans="1:23" x14ac:dyDescent="0.3">
      <c r="A550" s="47"/>
      <c r="B550" s="109"/>
      <c r="C550" s="47"/>
      <c r="E550" s="53"/>
      <c r="F550" s="47"/>
      <c r="G550" s="47"/>
      <c r="H550" s="47"/>
      <c r="I550" s="47"/>
      <c r="J550" s="47"/>
      <c r="K550" s="47"/>
      <c r="L550" s="47"/>
      <c r="M550" s="47"/>
      <c r="N550" s="91"/>
      <c r="O550" s="47"/>
      <c r="P550" s="47"/>
      <c r="Q550" s="47"/>
      <c r="R550" s="47"/>
      <c r="S550" s="47"/>
      <c r="T550" s="47"/>
      <c r="U550" s="47"/>
      <c r="V550" s="47"/>
      <c r="W550" s="47"/>
    </row>
    <row r="551" spans="1:23" x14ac:dyDescent="0.3">
      <c r="A551" s="47"/>
      <c r="B551" s="109"/>
      <c r="C551" s="47"/>
      <c r="E551" s="53"/>
      <c r="F551" s="47"/>
      <c r="G551" s="47"/>
      <c r="H551" s="47"/>
      <c r="I551" s="47"/>
      <c r="J551" s="47"/>
      <c r="K551" s="47"/>
      <c r="L551" s="47"/>
      <c r="M551" s="47"/>
      <c r="N551" s="91"/>
      <c r="O551" s="47"/>
      <c r="P551" s="47"/>
      <c r="Q551" s="47"/>
      <c r="R551" s="47"/>
      <c r="S551" s="47"/>
      <c r="T551" s="47"/>
      <c r="U551" s="47"/>
      <c r="V551" s="47"/>
      <c r="W551" s="47"/>
    </row>
    <row r="552" spans="1:23" x14ac:dyDescent="0.3">
      <c r="A552" s="47"/>
      <c r="B552" s="109"/>
      <c r="C552" s="47"/>
      <c r="E552" s="53"/>
      <c r="F552" s="47"/>
      <c r="G552" s="47"/>
      <c r="H552" s="47"/>
      <c r="I552" s="47"/>
      <c r="J552" s="47"/>
      <c r="K552" s="47"/>
      <c r="L552" s="47"/>
      <c r="M552" s="47"/>
      <c r="N552" s="91"/>
      <c r="O552" s="47"/>
      <c r="P552" s="47"/>
      <c r="Q552" s="47"/>
      <c r="R552" s="47"/>
      <c r="S552" s="47"/>
      <c r="T552" s="47"/>
      <c r="U552" s="47"/>
      <c r="V552" s="47"/>
      <c r="W552" s="47"/>
    </row>
    <row r="553" spans="1:23" x14ac:dyDescent="0.3">
      <c r="A553" s="47"/>
      <c r="B553" s="109"/>
      <c r="C553" s="47"/>
      <c r="E553" s="53"/>
      <c r="F553" s="47"/>
      <c r="G553" s="47"/>
      <c r="H553" s="47"/>
      <c r="I553" s="47"/>
      <c r="J553" s="47"/>
      <c r="K553" s="47"/>
      <c r="L553" s="47"/>
      <c r="M553" s="47"/>
      <c r="N553" s="91"/>
      <c r="O553" s="47"/>
      <c r="P553" s="47"/>
      <c r="Q553" s="47"/>
      <c r="R553" s="47"/>
      <c r="S553" s="47"/>
      <c r="T553" s="47"/>
      <c r="U553" s="47"/>
      <c r="V553" s="47"/>
      <c r="W553" s="47"/>
    </row>
    <row r="554" spans="1:23" x14ac:dyDescent="0.3">
      <c r="A554" s="47"/>
      <c r="B554" s="109"/>
      <c r="C554" s="47"/>
      <c r="E554" s="53"/>
      <c r="F554" s="47"/>
      <c r="G554" s="47"/>
      <c r="H554" s="47"/>
      <c r="I554" s="47"/>
      <c r="J554" s="47"/>
      <c r="K554" s="47"/>
      <c r="L554" s="47"/>
      <c r="M554" s="47"/>
      <c r="N554" s="91"/>
      <c r="O554" s="47"/>
      <c r="P554" s="47"/>
      <c r="Q554" s="47"/>
      <c r="R554" s="47"/>
      <c r="S554" s="47"/>
      <c r="T554" s="47"/>
      <c r="U554" s="47"/>
      <c r="V554" s="47"/>
      <c r="W554" s="47"/>
    </row>
    <row r="555" spans="1:23" x14ac:dyDescent="0.3">
      <c r="A555" s="47"/>
      <c r="B555" s="109"/>
      <c r="C555" s="47"/>
      <c r="E555" s="53"/>
      <c r="F555" s="47"/>
      <c r="G555" s="47"/>
      <c r="H555" s="47"/>
      <c r="I555" s="47"/>
      <c r="J555" s="47"/>
      <c r="K555" s="47"/>
      <c r="L555" s="47"/>
      <c r="M555" s="47"/>
      <c r="N555" s="91"/>
      <c r="O555" s="47"/>
      <c r="P555" s="47"/>
      <c r="Q555" s="47"/>
      <c r="R555" s="47"/>
      <c r="S555" s="47"/>
      <c r="T555" s="47"/>
      <c r="U555" s="47"/>
      <c r="V555" s="47"/>
      <c r="W555" s="47"/>
    </row>
    <row r="556" spans="1:23" x14ac:dyDescent="0.3">
      <c r="A556" s="47"/>
      <c r="B556" s="109"/>
      <c r="C556" s="47"/>
      <c r="E556" s="53"/>
      <c r="F556" s="47"/>
      <c r="G556" s="47"/>
      <c r="H556" s="47"/>
      <c r="I556" s="47"/>
      <c r="J556" s="47"/>
      <c r="K556" s="47"/>
      <c r="L556" s="47"/>
      <c r="M556" s="47"/>
      <c r="N556" s="91"/>
      <c r="O556" s="47"/>
      <c r="P556" s="47"/>
      <c r="Q556" s="47"/>
      <c r="R556" s="47"/>
      <c r="S556" s="47"/>
      <c r="T556" s="47"/>
      <c r="U556" s="47"/>
      <c r="V556" s="47"/>
      <c r="W556" s="47"/>
    </row>
    <row r="557" spans="1:23" x14ac:dyDescent="0.3">
      <c r="A557" s="47"/>
      <c r="B557" s="109"/>
      <c r="C557" s="47"/>
      <c r="E557" s="53"/>
      <c r="F557" s="47"/>
      <c r="G557" s="47"/>
      <c r="H557" s="47"/>
      <c r="I557" s="47"/>
      <c r="J557" s="47"/>
      <c r="K557" s="47"/>
      <c r="L557" s="47"/>
      <c r="M557" s="47"/>
      <c r="N557" s="91"/>
      <c r="O557" s="47"/>
      <c r="P557" s="47"/>
      <c r="Q557" s="47"/>
      <c r="R557" s="47"/>
      <c r="S557" s="47"/>
      <c r="T557" s="47"/>
      <c r="U557" s="47"/>
      <c r="V557" s="47"/>
      <c r="W557" s="47"/>
    </row>
    <row r="558" spans="1:23" x14ac:dyDescent="0.3">
      <c r="A558" s="47"/>
      <c r="B558" s="109"/>
      <c r="C558" s="47"/>
      <c r="E558" s="53"/>
      <c r="F558" s="47"/>
      <c r="G558" s="47"/>
      <c r="H558" s="47"/>
      <c r="I558" s="47"/>
      <c r="J558" s="47"/>
      <c r="K558" s="47"/>
      <c r="L558" s="47"/>
      <c r="M558" s="47"/>
      <c r="N558" s="91"/>
      <c r="O558" s="47"/>
      <c r="P558" s="47"/>
      <c r="Q558" s="47"/>
      <c r="R558" s="47"/>
      <c r="S558" s="47"/>
      <c r="T558" s="47"/>
      <c r="U558" s="47"/>
      <c r="V558" s="47"/>
      <c r="W558" s="47"/>
    </row>
    <row r="559" spans="1:23" x14ac:dyDescent="0.3">
      <c r="A559" s="47"/>
      <c r="B559" s="109"/>
      <c r="C559" s="47"/>
      <c r="E559" s="53"/>
      <c r="F559" s="47"/>
      <c r="G559" s="47"/>
      <c r="H559" s="47"/>
      <c r="I559" s="47"/>
      <c r="J559" s="47"/>
      <c r="K559" s="47"/>
      <c r="L559" s="47"/>
      <c r="M559" s="47"/>
      <c r="N559" s="91"/>
      <c r="O559" s="47"/>
      <c r="P559" s="47"/>
      <c r="Q559" s="47"/>
      <c r="R559" s="47"/>
      <c r="S559" s="47"/>
      <c r="T559" s="47"/>
      <c r="U559" s="47"/>
      <c r="V559" s="47"/>
      <c r="W559" s="47"/>
    </row>
    <row r="560" spans="1:23" x14ac:dyDescent="0.3">
      <c r="A560" s="47"/>
      <c r="B560" s="109"/>
      <c r="C560" s="47"/>
      <c r="E560" s="53"/>
      <c r="F560" s="47"/>
      <c r="G560" s="47"/>
      <c r="H560" s="47"/>
      <c r="I560" s="47"/>
      <c r="J560" s="47"/>
      <c r="K560" s="47"/>
      <c r="L560" s="47"/>
      <c r="M560" s="47"/>
      <c r="N560" s="91"/>
      <c r="O560" s="47"/>
      <c r="P560" s="47"/>
      <c r="Q560" s="47"/>
      <c r="R560" s="47"/>
      <c r="S560" s="47"/>
      <c r="T560" s="47"/>
      <c r="U560" s="47"/>
      <c r="V560" s="47"/>
      <c r="W560" s="47"/>
    </row>
    <row r="561" spans="1:23" x14ac:dyDescent="0.3">
      <c r="A561" s="47"/>
      <c r="B561" s="109"/>
      <c r="C561" s="47"/>
      <c r="E561" s="53"/>
      <c r="F561" s="47"/>
      <c r="G561" s="47"/>
      <c r="H561" s="47"/>
      <c r="I561" s="47"/>
      <c r="J561" s="47"/>
      <c r="K561" s="47"/>
      <c r="L561" s="47"/>
      <c r="M561" s="47"/>
      <c r="N561" s="91"/>
      <c r="O561" s="47"/>
      <c r="P561" s="47"/>
      <c r="Q561" s="47"/>
      <c r="R561" s="47"/>
      <c r="S561" s="47"/>
      <c r="T561" s="47"/>
      <c r="U561" s="47"/>
      <c r="V561" s="47"/>
      <c r="W561" s="47"/>
    </row>
    <row r="562" spans="1:23" x14ac:dyDescent="0.3">
      <c r="A562" s="47"/>
      <c r="B562" s="109"/>
      <c r="C562" s="47"/>
      <c r="E562" s="53"/>
      <c r="F562" s="47"/>
      <c r="G562" s="47"/>
      <c r="H562" s="47"/>
      <c r="I562" s="47"/>
      <c r="J562" s="47"/>
      <c r="K562" s="47"/>
      <c r="L562" s="47"/>
      <c r="M562" s="47"/>
      <c r="N562" s="91"/>
      <c r="O562" s="47"/>
      <c r="P562" s="47"/>
      <c r="Q562" s="47"/>
      <c r="R562" s="47"/>
      <c r="S562" s="47"/>
      <c r="T562" s="47"/>
      <c r="U562" s="47"/>
      <c r="V562" s="47"/>
      <c r="W562" s="47"/>
    </row>
    <row r="563" spans="1:23" x14ac:dyDescent="0.3">
      <c r="A563" s="47"/>
      <c r="B563" s="109"/>
      <c r="C563" s="47"/>
      <c r="E563" s="53"/>
      <c r="F563" s="47"/>
      <c r="G563" s="47"/>
      <c r="H563" s="47"/>
      <c r="I563" s="47"/>
      <c r="J563" s="47"/>
      <c r="K563" s="47"/>
      <c r="L563" s="47"/>
      <c r="M563" s="47"/>
      <c r="N563" s="91"/>
      <c r="O563" s="47"/>
      <c r="P563" s="47"/>
      <c r="Q563" s="47"/>
      <c r="R563" s="47"/>
      <c r="S563" s="47"/>
      <c r="T563" s="47"/>
      <c r="U563" s="47"/>
      <c r="V563" s="47"/>
      <c r="W563" s="47"/>
    </row>
    <row r="564" spans="1:23" x14ac:dyDescent="0.3">
      <c r="A564" s="47"/>
      <c r="B564" s="109"/>
      <c r="C564" s="47"/>
      <c r="E564" s="53"/>
      <c r="F564" s="47"/>
      <c r="G564" s="47"/>
      <c r="H564" s="47"/>
      <c r="I564" s="47"/>
      <c r="J564" s="47"/>
      <c r="K564" s="47"/>
      <c r="L564" s="47"/>
      <c r="M564" s="47"/>
      <c r="N564" s="91"/>
      <c r="O564" s="47"/>
      <c r="P564" s="47"/>
      <c r="Q564" s="47"/>
      <c r="R564" s="47"/>
      <c r="S564" s="47"/>
      <c r="T564" s="47"/>
      <c r="U564" s="47"/>
      <c r="V564" s="47"/>
      <c r="W564" s="47"/>
    </row>
    <row r="565" spans="1:23" x14ac:dyDescent="0.3">
      <c r="A565" s="47"/>
      <c r="B565" s="109"/>
      <c r="C565" s="47"/>
      <c r="E565" s="53"/>
      <c r="F565" s="47"/>
      <c r="G565" s="47"/>
      <c r="H565" s="47"/>
      <c r="I565" s="47"/>
      <c r="J565" s="47"/>
      <c r="K565" s="47"/>
      <c r="L565" s="47"/>
      <c r="M565" s="47"/>
      <c r="N565" s="91"/>
      <c r="O565" s="47"/>
      <c r="P565" s="47"/>
      <c r="Q565" s="47"/>
      <c r="R565" s="47"/>
      <c r="S565" s="47"/>
      <c r="T565" s="47"/>
      <c r="U565" s="47"/>
      <c r="V565" s="47"/>
      <c r="W565" s="47"/>
    </row>
    <row r="566" spans="1:23" x14ac:dyDescent="0.3">
      <c r="A566" s="47"/>
      <c r="B566" s="109"/>
      <c r="C566" s="47"/>
      <c r="E566" s="53"/>
      <c r="F566" s="47"/>
      <c r="G566" s="47"/>
      <c r="H566" s="47"/>
      <c r="I566" s="47"/>
      <c r="J566" s="47"/>
      <c r="K566" s="47"/>
      <c r="L566" s="47"/>
      <c r="M566" s="47"/>
      <c r="N566" s="91"/>
      <c r="O566" s="47"/>
      <c r="P566" s="47"/>
      <c r="Q566" s="47"/>
      <c r="R566" s="47"/>
      <c r="S566" s="47"/>
      <c r="T566" s="47"/>
      <c r="U566" s="47"/>
      <c r="V566" s="47"/>
      <c r="W566" s="47"/>
    </row>
    <row r="567" spans="1:23" x14ac:dyDescent="0.3">
      <c r="A567" s="47"/>
      <c r="B567" s="109"/>
      <c r="C567" s="47"/>
      <c r="E567" s="53"/>
      <c r="F567" s="47"/>
      <c r="G567" s="47"/>
      <c r="H567" s="47"/>
      <c r="I567" s="47"/>
      <c r="J567" s="47"/>
      <c r="K567" s="47"/>
      <c r="L567" s="47"/>
      <c r="M567" s="47"/>
      <c r="N567" s="91"/>
      <c r="O567" s="47"/>
      <c r="P567" s="47"/>
      <c r="Q567" s="47"/>
      <c r="R567" s="47"/>
      <c r="S567" s="47"/>
      <c r="T567" s="47"/>
      <c r="U567" s="47"/>
      <c r="V567" s="47"/>
      <c r="W567" s="47"/>
    </row>
    <row r="568" spans="1:23" x14ac:dyDescent="0.3">
      <c r="A568" s="47"/>
      <c r="B568" s="109"/>
      <c r="C568" s="47"/>
      <c r="E568" s="53"/>
      <c r="F568" s="47"/>
      <c r="G568" s="47"/>
      <c r="H568" s="47"/>
      <c r="I568" s="47"/>
      <c r="J568" s="47"/>
      <c r="K568" s="47"/>
      <c r="L568" s="47"/>
      <c r="M568" s="47"/>
      <c r="N568" s="91"/>
      <c r="O568" s="47"/>
      <c r="P568" s="47"/>
      <c r="Q568" s="47"/>
      <c r="R568" s="47"/>
      <c r="S568" s="47"/>
      <c r="T568" s="47"/>
      <c r="U568" s="47"/>
      <c r="V568" s="47"/>
      <c r="W568" s="47"/>
    </row>
    <row r="569" spans="1:23" x14ac:dyDescent="0.3">
      <c r="A569" s="47"/>
      <c r="B569" s="109"/>
      <c r="C569" s="47"/>
      <c r="E569" s="53"/>
      <c r="F569" s="47"/>
      <c r="G569" s="47"/>
      <c r="H569" s="47"/>
      <c r="I569" s="47"/>
      <c r="J569" s="47"/>
      <c r="K569" s="47"/>
      <c r="L569" s="47"/>
      <c r="M569" s="47"/>
      <c r="N569" s="91"/>
      <c r="O569" s="47"/>
      <c r="P569" s="47"/>
      <c r="Q569" s="47"/>
      <c r="R569" s="47"/>
      <c r="S569" s="47"/>
      <c r="T569" s="47"/>
      <c r="U569" s="47"/>
      <c r="V569" s="47"/>
      <c r="W569" s="47"/>
    </row>
    <row r="570" spans="1:23" x14ac:dyDescent="0.3">
      <c r="A570" s="47"/>
      <c r="B570" s="109"/>
      <c r="C570" s="47"/>
      <c r="E570" s="53"/>
      <c r="F570" s="47"/>
      <c r="G570" s="47"/>
      <c r="H570" s="47"/>
      <c r="I570" s="47"/>
      <c r="J570" s="47"/>
      <c r="K570" s="47"/>
      <c r="L570" s="47"/>
      <c r="M570" s="47"/>
      <c r="N570" s="91"/>
      <c r="O570" s="47"/>
      <c r="P570" s="47"/>
      <c r="Q570" s="47"/>
      <c r="R570" s="47"/>
      <c r="S570" s="47"/>
      <c r="T570" s="47"/>
      <c r="U570" s="47"/>
      <c r="V570" s="47"/>
      <c r="W570" s="47"/>
    </row>
    <row r="571" spans="1:23" x14ac:dyDescent="0.3">
      <c r="A571" s="47"/>
      <c r="B571" s="109"/>
      <c r="C571" s="47"/>
      <c r="E571" s="53"/>
      <c r="F571" s="47"/>
      <c r="G571" s="47"/>
      <c r="H571" s="47"/>
      <c r="I571" s="47"/>
      <c r="J571" s="47"/>
      <c r="K571" s="47"/>
      <c r="L571" s="47"/>
      <c r="M571" s="47"/>
      <c r="N571" s="91"/>
      <c r="O571" s="47"/>
      <c r="P571" s="47"/>
      <c r="Q571" s="47"/>
      <c r="R571" s="47"/>
      <c r="S571" s="47"/>
      <c r="T571" s="47"/>
      <c r="U571" s="47"/>
      <c r="V571" s="47"/>
      <c r="W571" s="47"/>
    </row>
    <row r="572" spans="1:23" x14ac:dyDescent="0.3">
      <c r="A572" s="47"/>
      <c r="B572" s="109"/>
      <c r="C572" s="47"/>
      <c r="E572" s="53"/>
      <c r="F572" s="47"/>
      <c r="G572" s="47"/>
      <c r="H572" s="47"/>
      <c r="I572" s="47"/>
      <c r="J572" s="47"/>
      <c r="K572" s="47"/>
      <c r="L572" s="47"/>
      <c r="M572" s="47"/>
      <c r="N572" s="91"/>
      <c r="O572" s="47"/>
      <c r="P572" s="47"/>
      <c r="Q572" s="47"/>
      <c r="R572" s="47"/>
      <c r="S572" s="47"/>
      <c r="T572" s="47"/>
      <c r="U572" s="47"/>
      <c r="V572" s="47"/>
      <c r="W572" s="47"/>
    </row>
    <row r="573" spans="1:23" x14ac:dyDescent="0.3">
      <c r="A573" s="47"/>
      <c r="B573" s="109"/>
      <c r="C573" s="47"/>
      <c r="E573" s="53"/>
      <c r="F573" s="47"/>
      <c r="G573" s="47"/>
      <c r="H573" s="47"/>
      <c r="I573" s="47"/>
      <c r="J573" s="47"/>
      <c r="K573" s="47"/>
      <c r="L573" s="47"/>
      <c r="M573" s="47"/>
      <c r="N573" s="91"/>
      <c r="O573" s="47"/>
      <c r="P573" s="47"/>
      <c r="Q573" s="47"/>
      <c r="R573" s="47"/>
      <c r="S573" s="47"/>
      <c r="T573" s="47"/>
      <c r="U573" s="47"/>
      <c r="V573" s="47"/>
      <c r="W573" s="47"/>
    </row>
    <row r="574" spans="1:23" x14ac:dyDescent="0.3">
      <c r="A574" s="47"/>
      <c r="B574" s="109"/>
      <c r="C574" s="47"/>
      <c r="E574" s="53"/>
      <c r="F574" s="47"/>
      <c r="G574" s="47"/>
      <c r="H574" s="47"/>
      <c r="I574" s="47"/>
      <c r="J574" s="47"/>
      <c r="K574" s="47"/>
      <c r="L574" s="47"/>
      <c r="M574" s="47"/>
      <c r="N574" s="91"/>
      <c r="O574" s="47"/>
      <c r="P574" s="47"/>
      <c r="Q574" s="47"/>
      <c r="R574" s="47"/>
      <c r="S574" s="47"/>
      <c r="T574" s="47"/>
      <c r="U574" s="47"/>
      <c r="V574" s="47"/>
      <c r="W574" s="47"/>
    </row>
    <row r="575" spans="1:23" x14ac:dyDescent="0.3">
      <c r="A575" s="47"/>
      <c r="B575" s="109"/>
      <c r="C575" s="47"/>
      <c r="E575" s="53"/>
      <c r="F575" s="47"/>
      <c r="G575" s="47"/>
      <c r="H575" s="47"/>
      <c r="I575" s="47"/>
      <c r="J575" s="47"/>
      <c r="K575" s="47"/>
      <c r="L575" s="47"/>
      <c r="M575" s="47"/>
      <c r="N575" s="91"/>
      <c r="O575" s="47"/>
      <c r="P575" s="47"/>
      <c r="Q575" s="47"/>
      <c r="R575" s="47"/>
      <c r="S575" s="47"/>
      <c r="T575" s="47"/>
      <c r="U575" s="47"/>
      <c r="V575" s="47"/>
      <c r="W575" s="47"/>
    </row>
    <row r="576" spans="1:23" x14ac:dyDescent="0.3">
      <c r="A576" s="47"/>
      <c r="B576" s="109"/>
      <c r="C576" s="47"/>
      <c r="E576" s="53"/>
      <c r="F576" s="47"/>
      <c r="G576" s="47"/>
      <c r="H576" s="47"/>
      <c r="I576" s="47"/>
      <c r="J576" s="47"/>
      <c r="K576" s="47"/>
      <c r="L576" s="47"/>
      <c r="M576" s="47"/>
      <c r="N576" s="91"/>
      <c r="O576" s="47"/>
      <c r="P576" s="47"/>
      <c r="Q576" s="47"/>
      <c r="R576" s="47"/>
      <c r="S576" s="47"/>
      <c r="T576" s="47"/>
      <c r="U576" s="47"/>
      <c r="V576" s="47"/>
      <c r="W576" s="47"/>
    </row>
    <row r="577" spans="1:23" x14ac:dyDescent="0.3">
      <c r="A577" s="47"/>
      <c r="B577" s="109"/>
      <c r="C577" s="47"/>
      <c r="E577" s="53"/>
      <c r="F577" s="47"/>
      <c r="G577" s="47"/>
      <c r="H577" s="47"/>
      <c r="I577" s="47"/>
      <c r="J577" s="47"/>
      <c r="K577" s="47"/>
      <c r="L577" s="47"/>
      <c r="M577" s="47"/>
      <c r="N577" s="91"/>
      <c r="O577" s="47"/>
      <c r="P577" s="47"/>
      <c r="Q577" s="47"/>
      <c r="R577" s="47"/>
      <c r="S577" s="47"/>
      <c r="T577" s="47"/>
      <c r="U577" s="47"/>
      <c r="V577" s="47"/>
      <c r="W577" s="47"/>
    </row>
    <row r="578" spans="1:23" x14ac:dyDescent="0.3">
      <c r="A578" s="47"/>
      <c r="B578" s="109"/>
      <c r="C578" s="47"/>
      <c r="E578" s="53"/>
      <c r="F578" s="47"/>
      <c r="G578" s="47"/>
      <c r="H578" s="47"/>
      <c r="I578" s="47"/>
      <c r="J578" s="47"/>
      <c r="K578" s="47"/>
      <c r="L578" s="47"/>
      <c r="M578" s="47"/>
      <c r="N578" s="91"/>
      <c r="O578" s="47"/>
      <c r="P578" s="47"/>
      <c r="Q578" s="47"/>
      <c r="R578" s="47"/>
      <c r="S578" s="47"/>
      <c r="T578" s="47"/>
      <c r="U578" s="47"/>
      <c r="V578" s="47"/>
      <c r="W578" s="47"/>
    </row>
    <row r="579" spans="1:23" x14ac:dyDescent="0.3">
      <c r="A579" s="47"/>
      <c r="B579" s="109"/>
      <c r="C579" s="47"/>
      <c r="E579" s="53"/>
      <c r="F579" s="47"/>
      <c r="G579" s="47"/>
      <c r="H579" s="47"/>
      <c r="I579" s="47"/>
      <c r="J579" s="47"/>
      <c r="K579" s="47"/>
      <c r="L579" s="47"/>
      <c r="M579" s="47"/>
      <c r="N579" s="91"/>
      <c r="O579" s="47"/>
      <c r="P579" s="47"/>
      <c r="Q579" s="47"/>
      <c r="R579" s="47"/>
      <c r="S579" s="47"/>
      <c r="T579" s="47"/>
      <c r="U579" s="47"/>
      <c r="V579" s="47"/>
      <c r="W579" s="47"/>
    </row>
    <row r="580" spans="1:23" x14ac:dyDescent="0.3">
      <c r="A580" s="47"/>
      <c r="B580" s="109"/>
      <c r="C580" s="47"/>
      <c r="E580" s="53"/>
      <c r="F580" s="47"/>
      <c r="G580" s="47"/>
      <c r="H580" s="47"/>
      <c r="I580" s="47"/>
      <c r="J580" s="47"/>
      <c r="K580" s="47"/>
      <c r="L580" s="47"/>
      <c r="M580" s="47"/>
      <c r="N580" s="91"/>
      <c r="O580" s="47"/>
      <c r="P580" s="47"/>
      <c r="Q580" s="47"/>
      <c r="R580" s="47"/>
      <c r="S580" s="47"/>
      <c r="T580" s="47"/>
      <c r="U580" s="47"/>
      <c r="V580" s="47"/>
      <c r="W580" s="47"/>
    </row>
    <row r="581" spans="1:23" x14ac:dyDescent="0.3">
      <c r="A581" s="47"/>
      <c r="B581" s="109"/>
      <c r="C581" s="47"/>
      <c r="E581" s="53"/>
      <c r="F581" s="47"/>
      <c r="G581" s="47"/>
      <c r="H581" s="47"/>
      <c r="I581" s="47"/>
      <c r="J581" s="47"/>
      <c r="K581" s="47"/>
      <c r="L581" s="47"/>
      <c r="M581" s="47"/>
      <c r="N581" s="91"/>
      <c r="O581" s="47"/>
      <c r="P581" s="47"/>
      <c r="Q581" s="47"/>
      <c r="R581" s="47"/>
      <c r="S581" s="47"/>
      <c r="T581" s="47"/>
      <c r="U581" s="47"/>
      <c r="V581" s="47"/>
      <c r="W581" s="47"/>
    </row>
    <row r="582" spans="1:23" x14ac:dyDescent="0.3">
      <c r="A582" s="47"/>
      <c r="B582" s="109"/>
      <c r="C582" s="47"/>
      <c r="E582" s="53"/>
      <c r="F582" s="47"/>
      <c r="G582" s="47"/>
      <c r="H582" s="47"/>
      <c r="I582" s="47"/>
      <c r="J582" s="47"/>
      <c r="K582" s="47"/>
      <c r="L582" s="47"/>
      <c r="M582" s="47"/>
      <c r="N582" s="91"/>
      <c r="O582" s="47"/>
      <c r="P582" s="47"/>
      <c r="Q582" s="47"/>
      <c r="R582" s="47"/>
      <c r="S582" s="47"/>
      <c r="T582" s="47"/>
      <c r="U582" s="47"/>
      <c r="V582" s="47"/>
      <c r="W582" s="47"/>
    </row>
    <row r="583" spans="1:23" x14ac:dyDescent="0.3">
      <c r="A583" s="47"/>
      <c r="B583" s="109"/>
      <c r="C583" s="47"/>
      <c r="E583" s="53"/>
      <c r="F583" s="47"/>
      <c r="G583" s="47"/>
      <c r="H583" s="47"/>
      <c r="I583" s="47"/>
      <c r="J583" s="47"/>
      <c r="K583" s="47"/>
      <c r="L583" s="47"/>
      <c r="M583" s="47"/>
      <c r="N583" s="91"/>
      <c r="O583" s="47"/>
      <c r="P583" s="47"/>
      <c r="Q583" s="47"/>
      <c r="R583" s="47"/>
      <c r="S583" s="47"/>
      <c r="T583" s="47"/>
      <c r="U583" s="47"/>
      <c r="V583" s="47"/>
      <c r="W583" s="47"/>
    </row>
    <row r="584" spans="1:23" x14ac:dyDescent="0.3">
      <c r="A584" s="47"/>
      <c r="B584" s="109"/>
      <c r="C584" s="47"/>
      <c r="E584" s="53"/>
      <c r="F584" s="47"/>
      <c r="G584" s="47"/>
      <c r="H584" s="47"/>
      <c r="I584" s="47"/>
      <c r="J584" s="47"/>
      <c r="K584" s="47"/>
      <c r="L584" s="47"/>
      <c r="M584" s="47"/>
      <c r="N584" s="91"/>
      <c r="O584" s="47"/>
      <c r="P584" s="47"/>
      <c r="Q584" s="47"/>
      <c r="R584" s="47"/>
      <c r="S584" s="47"/>
      <c r="T584" s="47"/>
      <c r="U584" s="47"/>
      <c r="V584" s="47"/>
      <c r="W584" s="47"/>
    </row>
    <row r="585" spans="1:23" x14ac:dyDescent="0.3">
      <c r="A585" s="47"/>
      <c r="B585" s="109"/>
      <c r="C585" s="47"/>
      <c r="E585" s="53"/>
      <c r="F585" s="47"/>
      <c r="G585" s="47"/>
      <c r="H585" s="47"/>
      <c r="I585" s="47"/>
      <c r="J585" s="47"/>
      <c r="K585" s="47"/>
      <c r="L585" s="47"/>
      <c r="M585" s="47"/>
      <c r="N585" s="91"/>
      <c r="O585" s="47"/>
      <c r="P585" s="47"/>
      <c r="Q585" s="47"/>
      <c r="R585" s="47"/>
      <c r="S585" s="47"/>
      <c r="T585" s="47"/>
      <c r="U585" s="47"/>
      <c r="V585" s="47"/>
      <c r="W585" s="47"/>
    </row>
    <row r="586" spans="1:23" x14ac:dyDescent="0.3">
      <c r="A586" s="47"/>
      <c r="B586" s="109"/>
      <c r="C586" s="47"/>
      <c r="E586" s="53"/>
      <c r="F586" s="47"/>
      <c r="G586" s="47"/>
      <c r="H586" s="47"/>
      <c r="I586" s="47"/>
      <c r="J586" s="47"/>
      <c r="K586" s="47"/>
      <c r="L586" s="47"/>
      <c r="M586" s="47"/>
      <c r="N586" s="91"/>
      <c r="O586" s="47"/>
      <c r="P586" s="47"/>
      <c r="Q586" s="47"/>
      <c r="R586" s="47"/>
      <c r="S586" s="47"/>
      <c r="T586" s="47"/>
      <c r="U586" s="47"/>
      <c r="V586" s="47"/>
      <c r="W586" s="47"/>
    </row>
    <row r="587" spans="1:23" x14ac:dyDescent="0.3">
      <c r="A587" s="47"/>
      <c r="B587" s="109"/>
      <c r="C587" s="47"/>
      <c r="E587" s="53"/>
      <c r="F587" s="47"/>
      <c r="G587" s="47"/>
      <c r="H587" s="47"/>
      <c r="I587" s="47"/>
      <c r="J587" s="47"/>
      <c r="K587" s="47"/>
      <c r="L587" s="47"/>
      <c r="M587" s="47"/>
      <c r="N587" s="91"/>
      <c r="O587" s="47"/>
      <c r="P587" s="47"/>
      <c r="Q587" s="47"/>
      <c r="R587" s="47"/>
      <c r="S587" s="47"/>
      <c r="T587" s="47"/>
      <c r="U587" s="47"/>
      <c r="V587" s="47"/>
      <c r="W587" s="47"/>
    </row>
    <row r="588" spans="1:23" x14ac:dyDescent="0.3">
      <c r="A588" s="47"/>
      <c r="B588" s="109"/>
      <c r="C588" s="47"/>
      <c r="E588" s="53"/>
      <c r="F588" s="47"/>
      <c r="G588" s="47"/>
      <c r="H588" s="47"/>
      <c r="I588" s="47"/>
      <c r="J588" s="47"/>
      <c r="K588" s="47"/>
      <c r="L588" s="47"/>
      <c r="M588" s="47"/>
      <c r="N588" s="91"/>
      <c r="O588" s="47"/>
      <c r="P588" s="47"/>
      <c r="Q588" s="47"/>
      <c r="R588" s="47"/>
      <c r="S588" s="47"/>
      <c r="T588" s="47"/>
      <c r="U588" s="47"/>
      <c r="V588" s="47"/>
      <c r="W588" s="47"/>
    </row>
    <row r="589" spans="1:23" x14ac:dyDescent="0.3">
      <c r="A589" s="47"/>
      <c r="B589" s="109"/>
      <c r="C589" s="47"/>
      <c r="E589" s="53"/>
      <c r="F589" s="47"/>
      <c r="G589" s="47"/>
      <c r="H589" s="47"/>
      <c r="I589" s="47"/>
      <c r="J589" s="47"/>
      <c r="K589" s="47"/>
      <c r="L589" s="47"/>
      <c r="M589" s="47"/>
      <c r="N589" s="91"/>
      <c r="O589" s="47"/>
      <c r="P589" s="47"/>
      <c r="Q589" s="47"/>
      <c r="R589" s="47"/>
      <c r="S589" s="47"/>
      <c r="T589" s="47"/>
      <c r="U589" s="47"/>
      <c r="V589" s="47"/>
      <c r="W589" s="47"/>
    </row>
    <row r="590" spans="1:23" x14ac:dyDescent="0.3">
      <c r="A590" s="47"/>
      <c r="B590" s="109"/>
      <c r="C590" s="47"/>
      <c r="E590" s="53"/>
      <c r="F590" s="47"/>
      <c r="G590" s="47"/>
      <c r="H590" s="47"/>
      <c r="I590" s="47"/>
      <c r="J590" s="47"/>
      <c r="K590" s="47"/>
      <c r="L590" s="47"/>
      <c r="M590" s="47"/>
      <c r="N590" s="91"/>
      <c r="O590" s="47"/>
      <c r="P590" s="47"/>
      <c r="Q590" s="47"/>
      <c r="R590" s="47"/>
      <c r="S590" s="47"/>
      <c r="T590" s="47"/>
      <c r="U590" s="47"/>
      <c r="V590" s="47"/>
      <c r="W590" s="47"/>
    </row>
    <row r="591" spans="1:23" x14ac:dyDescent="0.3">
      <c r="A591" s="47"/>
      <c r="B591" s="109"/>
      <c r="C591" s="47"/>
      <c r="E591" s="53"/>
      <c r="F591" s="47"/>
      <c r="G591" s="47"/>
      <c r="H591" s="47"/>
      <c r="I591" s="47"/>
      <c r="J591" s="47"/>
      <c r="K591" s="47"/>
      <c r="L591" s="47"/>
      <c r="M591" s="47"/>
      <c r="N591" s="91"/>
      <c r="O591" s="47"/>
      <c r="P591" s="47"/>
      <c r="Q591" s="47"/>
      <c r="R591" s="47"/>
      <c r="S591" s="47"/>
      <c r="T591" s="47"/>
      <c r="U591" s="47"/>
      <c r="V591" s="47"/>
      <c r="W591" s="47"/>
    </row>
    <row r="592" spans="1:23" x14ac:dyDescent="0.3">
      <c r="A592" s="47"/>
      <c r="B592" s="109"/>
      <c r="C592" s="47"/>
      <c r="E592" s="53"/>
      <c r="F592" s="47"/>
      <c r="G592" s="47"/>
      <c r="H592" s="47"/>
      <c r="I592" s="47"/>
      <c r="J592" s="47"/>
      <c r="K592" s="47"/>
      <c r="L592" s="47"/>
      <c r="M592" s="47"/>
      <c r="N592" s="91"/>
      <c r="O592" s="47"/>
      <c r="P592" s="47"/>
      <c r="Q592" s="47"/>
      <c r="R592" s="47"/>
      <c r="S592" s="47"/>
      <c r="T592" s="47"/>
      <c r="U592" s="47"/>
      <c r="V592" s="47"/>
      <c r="W592" s="47"/>
    </row>
    <row r="593" spans="1:23" x14ac:dyDescent="0.3">
      <c r="A593" s="47"/>
      <c r="B593" s="109"/>
      <c r="C593" s="47"/>
      <c r="E593" s="53"/>
      <c r="F593" s="47"/>
      <c r="G593" s="47"/>
      <c r="H593" s="47"/>
      <c r="I593" s="47"/>
      <c r="J593" s="47"/>
      <c r="K593" s="47"/>
      <c r="L593" s="47"/>
      <c r="M593" s="47"/>
      <c r="N593" s="91"/>
      <c r="O593" s="47"/>
      <c r="P593" s="47"/>
      <c r="Q593" s="47"/>
      <c r="R593" s="47"/>
      <c r="S593" s="47"/>
      <c r="T593" s="47"/>
      <c r="U593" s="47"/>
      <c r="V593" s="47"/>
      <c r="W593" s="47"/>
    </row>
    <row r="594" spans="1:23" x14ac:dyDescent="0.3">
      <c r="A594" s="47"/>
      <c r="B594" s="109"/>
      <c r="C594" s="47"/>
      <c r="E594" s="53"/>
      <c r="F594" s="47"/>
      <c r="G594" s="47"/>
      <c r="H594" s="47"/>
      <c r="I594" s="47"/>
      <c r="J594" s="47"/>
      <c r="K594" s="47"/>
      <c r="L594" s="47"/>
      <c r="M594" s="47"/>
      <c r="N594" s="91"/>
      <c r="O594" s="47"/>
      <c r="P594" s="47"/>
      <c r="Q594" s="47"/>
      <c r="R594" s="47"/>
      <c r="S594" s="47"/>
      <c r="T594" s="47"/>
      <c r="U594" s="47"/>
      <c r="V594" s="47"/>
      <c r="W594" s="47"/>
    </row>
    <row r="595" spans="1:23" x14ac:dyDescent="0.3">
      <c r="A595" s="47"/>
      <c r="B595" s="109"/>
      <c r="C595" s="47"/>
      <c r="E595" s="53"/>
      <c r="F595" s="47"/>
      <c r="G595" s="47"/>
      <c r="H595" s="47"/>
      <c r="I595" s="47"/>
      <c r="J595" s="47"/>
      <c r="K595" s="47"/>
      <c r="L595" s="47"/>
      <c r="M595" s="47"/>
      <c r="N595" s="91"/>
      <c r="O595" s="47"/>
      <c r="P595" s="47"/>
      <c r="Q595" s="47"/>
      <c r="R595" s="47"/>
      <c r="S595" s="47"/>
      <c r="T595" s="47"/>
      <c r="U595" s="47"/>
      <c r="V595" s="47"/>
      <c r="W595" s="47"/>
    </row>
    <row r="596" spans="1:23" x14ac:dyDescent="0.3">
      <c r="A596" s="47"/>
      <c r="B596" s="109"/>
      <c r="C596" s="47"/>
      <c r="E596" s="53"/>
      <c r="F596" s="47"/>
      <c r="G596" s="47"/>
      <c r="H596" s="47"/>
      <c r="I596" s="47"/>
      <c r="J596" s="47"/>
      <c r="K596" s="47"/>
      <c r="L596" s="47"/>
      <c r="M596" s="47"/>
      <c r="N596" s="91"/>
      <c r="O596" s="47"/>
      <c r="P596" s="47"/>
      <c r="Q596" s="47"/>
      <c r="R596" s="47"/>
      <c r="S596" s="47"/>
      <c r="T596" s="47"/>
      <c r="U596" s="47"/>
      <c r="V596" s="47"/>
      <c r="W596" s="47"/>
    </row>
    <row r="597" spans="1:23" x14ac:dyDescent="0.3">
      <c r="A597" s="47"/>
      <c r="B597" s="109"/>
      <c r="C597" s="47"/>
      <c r="E597" s="53"/>
      <c r="F597" s="47"/>
      <c r="G597" s="47"/>
      <c r="H597" s="47"/>
      <c r="I597" s="47"/>
      <c r="J597" s="47"/>
      <c r="K597" s="47"/>
      <c r="L597" s="47"/>
      <c r="M597" s="47"/>
      <c r="N597" s="91"/>
      <c r="O597" s="47"/>
      <c r="P597" s="47"/>
      <c r="Q597" s="47"/>
      <c r="R597" s="47"/>
      <c r="S597" s="47"/>
      <c r="T597" s="47"/>
      <c r="U597" s="47"/>
      <c r="V597" s="47"/>
      <c r="W597" s="47"/>
    </row>
    <row r="598" spans="1:23" x14ac:dyDescent="0.3">
      <c r="A598" s="47"/>
      <c r="B598" s="109"/>
      <c r="C598" s="47"/>
      <c r="E598" s="53"/>
      <c r="F598" s="47"/>
      <c r="G598" s="47"/>
      <c r="H598" s="47"/>
      <c r="I598" s="47"/>
      <c r="J598" s="47"/>
      <c r="K598" s="47"/>
      <c r="L598" s="47"/>
      <c r="M598" s="47"/>
      <c r="N598" s="91"/>
      <c r="O598" s="47"/>
      <c r="P598" s="47"/>
      <c r="Q598" s="47"/>
      <c r="R598" s="47"/>
      <c r="S598" s="47"/>
      <c r="T598" s="47"/>
      <c r="U598" s="47"/>
      <c r="V598" s="47"/>
      <c r="W598" s="47"/>
    </row>
    <row r="599" spans="1:23" x14ac:dyDescent="0.3">
      <c r="A599" s="47"/>
      <c r="B599" s="109"/>
      <c r="C599" s="47"/>
      <c r="E599" s="53"/>
      <c r="F599" s="47"/>
      <c r="G599" s="47"/>
      <c r="H599" s="47"/>
      <c r="I599" s="47"/>
      <c r="J599" s="47"/>
      <c r="K599" s="47"/>
      <c r="L599" s="47"/>
      <c r="M599" s="47"/>
      <c r="N599" s="91"/>
      <c r="O599" s="47"/>
      <c r="P599" s="47"/>
      <c r="Q599" s="47"/>
      <c r="R599" s="47"/>
      <c r="S599" s="47"/>
      <c r="T599" s="47"/>
      <c r="U599" s="47"/>
      <c r="V599" s="47"/>
      <c r="W599" s="47"/>
    </row>
    <row r="600" spans="1:23" x14ac:dyDescent="0.3">
      <c r="A600" s="47"/>
      <c r="B600" s="109"/>
      <c r="C600" s="47"/>
      <c r="E600" s="53"/>
      <c r="F600" s="47"/>
      <c r="G600" s="47"/>
      <c r="H600" s="47"/>
      <c r="I600" s="47"/>
      <c r="J600" s="47"/>
      <c r="K600" s="47"/>
      <c r="L600" s="47"/>
      <c r="M600" s="47"/>
      <c r="N600" s="91"/>
      <c r="O600" s="47"/>
      <c r="P600" s="47"/>
      <c r="Q600" s="47"/>
      <c r="R600" s="47"/>
      <c r="S600" s="47"/>
      <c r="T600" s="47"/>
      <c r="U600" s="47"/>
      <c r="V600" s="47"/>
      <c r="W600" s="47"/>
    </row>
    <row r="601" spans="1:23" x14ac:dyDescent="0.3">
      <c r="A601" s="47"/>
      <c r="B601" s="109"/>
      <c r="C601" s="47"/>
      <c r="E601" s="53"/>
      <c r="F601" s="47"/>
      <c r="G601" s="47"/>
      <c r="H601" s="47"/>
      <c r="I601" s="47"/>
      <c r="J601" s="47"/>
      <c r="K601" s="47"/>
      <c r="L601" s="47"/>
      <c r="M601" s="47"/>
      <c r="N601" s="91"/>
      <c r="O601" s="47"/>
      <c r="P601" s="47"/>
      <c r="Q601" s="47"/>
      <c r="R601" s="47"/>
      <c r="S601" s="47"/>
      <c r="T601" s="47"/>
      <c r="U601" s="47"/>
      <c r="V601" s="47"/>
      <c r="W601" s="47"/>
    </row>
    <row r="602" spans="1:23" x14ac:dyDescent="0.3">
      <c r="A602" s="47"/>
      <c r="B602" s="109"/>
      <c r="C602" s="47"/>
      <c r="E602" s="53"/>
      <c r="F602" s="47"/>
      <c r="G602" s="47"/>
      <c r="H602" s="47"/>
      <c r="I602" s="47"/>
      <c r="J602" s="47"/>
      <c r="K602" s="47"/>
      <c r="L602" s="47"/>
      <c r="M602" s="47"/>
      <c r="N602" s="91"/>
      <c r="O602" s="47"/>
      <c r="P602" s="47"/>
      <c r="Q602" s="47"/>
      <c r="R602" s="47"/>
      <c r="S602" s="47"/>
      <c r="T602" s="47"/>
      <c r="U602" s="47"/>
      <c r="V602" s="47"/>
      <c r="W602" s="47"/>
    </row>
    <row r="603" spans="1:23" x14ac:dyDescent="0.3">
      <c r="A603" s="47"/>
      <c r="B603" s="109"/>
      <c r="C603" s="47"/>
      <c r="E603" s="53"/>
      <c r="F603" s="47"/>
      <c r="G603" s="47"/>
      <c r="H603" s="47"/>
      <c r="I603" s="47"/>
      <c r="J603" s="47"/>
      <c r="K603" s="47"/>
      <c r="L603" s="47"/>
      <c r="M603" s="47"/>
      <c r="N603" s="91"/>
      <c r="O603" s="47"/>
      <c r="P603" s="47"/>
      <c r="Q603" s="47"/>
      <c r="R603" s="47"/>
      <c r="S603" s="47"/>
      <c r="T603" s="47"/>
      <c r="U603" s="47"/>
      <c r="V603" s="47"/>
      <c r="W603" s="47"/>
    </row>
    <row r="604" spans="1:23" x14ac:dyDescent="0.3">
      <c r="A604" s="47"/>
      <c r="B604" s="109"/>
      <c r="C604" s="47"/>
      <c r="E604" s="53"/>
      <c r="F604" s="47"/>
      <c r="G604" s="47"/>
      <c r="H604" s="47"/>
      <c r="I604" s="47"/>
      <c r="J604" s="47"/>
      <c r="K604" s="47"/>
      <c r="L604" s="47"/>
      <c r="M604" s="47"/>
      <c r="N604" s="91"/>
      <c r="O604" s="47"/>
      <c r="P604" s="47"/>
      <c r="Q604" s="47"/>
      <c r="R604" s="47"/>
      <c r="S604" s="47"/>
      <c r="T604" s="47"/>
      <c r="U604" s="47"/>
      <c r="V604" s="47"/>
      <c r="W604" s="47"/>
    </row>
    <row r="605" spans="1:23" x14ac:dyDescent="0.3">
      <c r="A605" s="47"/>
      <c r="B605" s="109"/>
      <c r="C605" s="47"/>
      <c r="E605" s="53"/>
      <c r="F605" s="47"/>
      <c r="G605" s="47"/>
      <c r="H605" s="47"/>
      <c r="I605" s="47"/>
      <c r="J605" s="47"/>
      <c r="K605" s="47"/>
      <c r="L605" s="47"/>
      <c r="M605" s="47"/>
      <c r="N605" s="91"/>
      <c r="O605" s="47"/>
      <c r="P605" s="47"/>
      <c r="Q605" s="47"/>
      <c r="R605" s="47"/>
      <c r="S605" s="47"/>
      <c r="T605" s="47"/>
      <c r="U605" s="47"/>
      <c r="V605" s="47"/>
      <c r="W605" s="47"/>
    </row>
    <row r="606" spans="1:23" x14ac:dyDescent="0.3">
      <c r="A606" s="47"/>
      <c r="B606" s="109"/>
      <c r="C606" s="47"/>
      <c r="E606" s="53"/>
      <c r="F606" s="47"/>
      <c r="G606" s="47"/>
      <c r="H606" s="47"/>
      <c r="I606" s="47"/>
      <c r="J606" s="47"/>
      <c r="K606" s="47"/>
      <c r="L606" s="47"/>
      <c r="M606" s="47"/>
      <c r="N606" s="91"/>
      <c r="O606" s="47"/>
      <c r="P606" s="47"/>
      <c r="Q606" s="47"/>
      <c r="R606" s="47"/>
      <c r="S606" s="47"/>
      <c r="T606" s="47"/>
      <c r="U606" s="47"/>
      <c r="V606" s="47"/>
      <c r="W606" s="47"/>
    </row>
    <row r="607" spans="1:23" x14ac:dyDescent="0.3">
      <c r="A607" s="47"/>
      <c r="B607" s="109"/>
      <c r="C607" s="47"/>
      <c r="E607" s="53"/>
      <c r="F607" s="47"/>
      <c r="G607" s="47"/>
      <c r="H607" s="47"/>
      <c r="I607" s="47"/>
      <c r="J607" s="47"/>
      <c r="K607" s="47"/>
      <c r="L607" s="47"/>
      <c r="M607" s="47"/>
      <c r="N607" s="91"/>
      <c r="O607" s="47"/>
      <c r="P607" s="47"/>
      <c r="Q607" s="47"/>
      <c r="R607" s="47"/>
      <c r="S607" s="47"/>
      <c r="T607" s="47"/>
      <c r="U607" s="47"/>
      <c r="V607" s="47"/>
      <c r="W607" s="47"/>
    </row>
    <row r="608" spans="1:23" x14ac:dyDescent="0.3">
      <c r="A608" s="47"/>
      <c r="B608" s="109"/>
      <c r="C608" s="47"/>
      <c r="E608" s="53"/>
      <c r="F608" s="47"/>
      <c r="G608" s="47"/>
      <c r="H608" s="47"/>
      <c r="I608" s="47"/>
      <c r="J608" s="47"/>
      <c r="K608" s="47"/>
      <c r="L608" s="47"/>
      <c r="M608" s="47"/>
      <c r="N608" s="91"/>
      <c r="O608" s="47"/>
      <c r="P608" s="47"/>
      <c r="Q608" s="47"/>
      <c r="R608" s="47"/>
      <c r="S608" s="47"/>
      <c r="T608" s="47"/>
      <c r="U608" s="47"/>
      <c r="V608" s="47"/>
      <c r="W608" s="47"/>
    </row>
    <row r="609" spans="1:23" x14ac:dyDescent="0.3">
      <c r="A609" s="47"/>
      <c r="B609" s="109"/>
      <c r="C609" s="47"/>
      <c r="E609" s="53"/>
      <c r="F609" s="47"/>
      <c r="G609" s="47"/>
      <c r="H609" s="47"/>
      <c r="I609" s="47"/>
      <c r="J609" s="47"/>
      <c r="K609" s="47"/>
      <c r="L609" s="47"/>
      <c r="M609" s="47"/>
      <c r="N609" s="91"/>
      <c r="O609" s="47"/>
      <c r="P609" s="47"/>
      <c r="Q609" s="47"/>
      <c r="R609" s="47"/>
      <c r="S609" s="47"/>
      <c r="T609" s="47"/>
      <c r="U609" s="47"/>
      <c r="V609" s="47"/>
      <c r="W609" s="47"/>
    </row>
    <row r="610" spans="1:23" x14ac:dyDescent="0.3">
      <c r="A610" s="47"/>
      <c r="B610" s="109"/>
      <c r="C610" s="47"/>
      <c r="E610" s="53"/>
      <c r="F610" s="47"/>
      <c r="G610" s="47"/>
      <c r="H610" s="47"/>
      <c r="I610" s="47"/>
      <c r="J610" s="47"/>
      <c r="K610" s="47"/>
      <c r="L610" s="47"/>
      <c r="M610" s="47"/>
      <c r="N610" s="91"/>
      <c r="O610" s="47"/>
      <c r="P610" s="47"/>
      <c r="Q610" s="47"/>
      <c r="R610" s="47"/>
      <c r="S610" s="47"/>
      <c r="T610" s="47"/>
      <c r="U610" s="47"/>
      <c r="V610" s="47"/>
      <c r="W610" s="47"/>
    </row>
    <row r="611" spans="1:23" x14ac:dyDescent="0.3">
      <c r="A611" s="47"/>
      <c r="B611" s="109"/>
      <c r="C611" s="47"/>
      <c r="E611" s="53"/>
      <c r="F611" s="47"/>
      <c r="G611" s="47"/>
      <c r="H611" s="47"/>
      <c r="I611" s="47"/>
      <c r="J611" s="47"/>
      <c r="K611" s="47"/>
      <c r="L611" s="47"/>
      <c r="M611" s="47"/>
      <c r="N611" s="91"/>
      <c r="O611" s="47"/>
      <c r="P611" s="47"/>
      <c r="Q611" s="47"/>
      <c r="R611" s="47"/>
      <c r="S611" s="47"/>
      <c r="T611" s="47"/>
      <c r="U611" s="47"/>
      <c r="V611" s="47"/>
      <c r="W611" s="47"/>
    </row>
    <row r="612" spans="1:23" x14ac:dyDescent="0.3">
      <c r="A612" s="47"/>
      <c r="B612" s="109"/>
      <c r="C612" s="47"/>
      <c r="E612" s="53"/>
      <c r="F612" s="47"/>
      <c r="G612" s="47"/>
      <c r="H612" s="47"/>
      <c r="I612" s="47"/>
      <c r="J612" s="47"/>
      <c r="K612" s="47"/>
      <c r="L612" s="47"/>
      <c r="M612" s="47"/>
      <c r="N612" s="91"/>
      <c r="O612" s="47"/>
      <c r="P612" s="47"/>
      <c r="Q612" s="47"/>
      <c r="R612" s="47"/>
      <c r="S612" s="47"/>
      <c r="T612" s="47"/>
      <c r="U612" s="47"/>
      <c r="V612" s="47"/>
      <c r="W612" s="47"/>
    </row>
    <row r="613" spans="1:23" x14ac:dyDescent="0.3">
      <c r="A613" s="47"/>
      <c r="B613" s="109"/>
      <c r="C613" s="47"/>
      <c r="E613" s="53"/>
      <c r="F613" s="47"/>
      <c r="G613" s="47"/>
      <c r="H613" s="47"/>
      <c r="I613" s="47"/>
      <c r="J613" s="47"/>
      <c r="K613" s="47"/>
      <c r="L613" s="47"/>
      <c r="M613" s="47"/>
      <c r="N613" s="91"/>
      <c r="O613" s="47"/>
      <c r="P613" s="47"/>
      <c r="Q613" s="47"/>
      <c r="R613" s="47"/>
      <c r="S613" s="47"/>
      <c r="T613" s="47"/>
      <c r="U613" s="47"/>
      <c r="V613" s="47"/>
      <c r="W613" s="47"/>
    </row>
    <row r="614" spans="1:23" x14ac:dyDescent="0.3">
      <c r="A614" s="47"/>
      <c r="B614" s="109"/>
      <c r="C614" s="47"/>
      <c r="E614" s="53"/>
      <c r="F614" s="47"/>
      <c r="G614" s="47"/>
      <c r="H614" s="47"/>
      <c r="I614" s="47"/>
      <c r="J614" s="47"/>
      <c r="K614" s="47"/>
      <c r="L614" s="47"/>
      <c r="M614" s="47"/>
      <c r="N614" s="91"/>
      <c r="O614" s="47"/>
      <c r="P614" s="47"/>
      <c r="Q614" s="47"/>
      <c r="R614" s="47"/>
      <c r="S614" s="47"/>
      <c r="T614" s="47"/>
      <c r="U614" s="47"/>
      <c r="V614" s="47"/>
      <c r="W614" s="47"/>
    </row>
    <row r="615" spans="1:23" x14ac:dyDescent="0.3">
      <c r="A615" s="47"/>
      <c r="B615" s="109"/>
      <c r="C615" s="47"/>
      <c r="E615" s="53"/>
      <c r="F615" s="47"/>
      <c r="G615" s="47"/>
      <c r="H615" s="47"/>
      <c r="I615" s="47"/>
      <c r="J615" s="47"/>
      <c r="K615" s="47"/>
      <c r="L615" s="47"/>
      <c r="M615" s="47"/>
      <c r="N615" s="91"/>
      <c r="O615" s="47"/>
      <c r="P615" s="47"/>
      <c r="Q615" s="47"/>
      <c r="R615" s="47"/>
      <c r="S615" s="47"/>
      <c r="T615" s="47"/>
      <c r="U615" s="47"/>
      <c r="V615" s="47"/>
      <c r="W615" s="47"/>
    </row>
    <row r="616" spans="1:23" x14ac:dyDescent="0.3">
      <c r="A616" s="47"/>
      <c r="B616" s="109"/>
      <c r="C616" s="47"/>
      <c r="E616" s="53"/>
      <c r="F616" s="47"/>
      <c r="G616" s="47"/>
      <c r="H616" s="47"/>
      <c r="I616" s="47"/>
      <c r="J616" s="47"/>
      <c r="K616" s="47"/>
      <c r="L616" s="47"/>
      <c r="M616" s="47"/>
      <c r="N616" s="91"/>
      <c r="O616" s="47"/>
      <c r="P616" s="47"/>
      <c r="Q616" s="47"/>
      <c r="R616" s="47"/>
      <c r="S616" s="47"/>
      <c r="T616" s="47"/>
      <c r="U616" s="47"/>
      <c r="V616" s="47"/>
      <c r="W616" s="47"/>
    </row>
    <row r="617" spans="1:23" x14ac:dyDescent="0.3">
      <c r="A617" s="47"/>
      <c r="B617" s="109"/>
      <c r="C617" s="47"/>
      <c r="E617" s="53"/>
      <c r="F617" s="47"/>
      <c r="G617" s="47"/>
      <c r="H617" s="47"/>
      <c r="I617" s="47"/>
      <c r="J617" s="47"/>
      <c r="K617" s="47"/>
      <c r="L617" s="47"/>
      <c r="M617" s="47"/>
      <c r="N617" s="91"/>
      <c r="O617" s="47"/>
      <c r="P617" s="47"/>
      <c r="Q617" s="47"/>
      <c r="R617" s="47"/>
      <c r="S617" s="47"/>
      <c r="T617" s="47"/>
      <c r="U617" s="47"/>
      <c r="V617" s="47"/>
      <c r="W617" s="47"/>
    </row>
    <row r="618" spans="1:23" x14ac:dyDescent="0.3">
      <c r="A618" s="47"/>
      <c r="B618" s="109"/>
      <c r="C618" s="47"/>
      <c r="E618" s="53"/>
      <c r="F618" s="47"/>
      <c r="G618" s="47"/>
      <c r="H618" s="47"/>
      <c r="I618" s="47"/>
      <c r="J618" s="47"/>
      <c r="K618" s="47"/>
      <c r="L618" s="47"/>
      <c r="M618" s="47"/>
      <c r="N618" s="91"/>
      <c r="O618" s="47"/>
      <c r="P618" s="47"/>
      <c r="Q618" s="47"/>
      <c r="R618" s="47"/>
      <c r="S618" s="47"/>
      <c r="T618" s="47"/>
      <c r="U618" s="47"/>
      <c r="V618" s="47"/>
      <c r="W618" s="47"/>
    </row>
    <row r="619" spans="1:23" x14ac:dyDescent="0.3">
      <c r="A619" s="47"/>
      <c r="B619" s="109"/>
      <c r="C619" s="47"/>
      <c r="E619" s="53"/>
      <c r="F619" s="47"/>
      <c r="G619" s="47"/>
      <c r="H619" s="47"/>
      <c r="I619" s="47"/>
      <c r="J619" s="47"/>
      <c r="K619" s="47"/>
      <c r="L619" s="47"/>
      <c r="M619" s="47"/>
      <c r="N619" s="91"/>
      <c r="O619" s="47"/>
      <c r="P619" s="47"/>
      <c r="Q619" s="47"/>
      <c r="R619" s="47"/>
      <c r="S619" s="47"/>
      <c r="T619" s="47"/>
      <c r="U619" s="47"/>
      <c r="V619" s="47"/>
      <c r="W619" s="47"/>
    </row>
    <row r="620" spans="1:23" x14ac:dyDescent="0.3">
      <c r="A620" s="47"/>
      <c r="B620" s="109"/>
      <c r="C620" s="47"/>
      <c r="E620" s="53"/>
      <c r="F620" s="47"/>
      <c r="G620" s="47"/>
      <c r="H620" s="47"/>
      <c r="I620" s="47"/>
      <c r="J620" s="47"/>
      <c r="K620" s="47"/>
      <c r="L620" s="47"/>
      <c r="M620" s="47"/>
      <c r="N620" s="91"/>
      <c r="O620" s="47"/>
      <c r="P620" s="47"/>
      <c r="Q620" s="47"/>
      <c r="R620" s="47"/>
      <c r="S620" s="47"/>
      <c r="T620" s="47"/>
      <c r="U620" s="47"/>
      <c r="V620" s="47"/>
      <c r="W620" s="47"/>
    </row>
    <row r="621" spans="1:23" x14ac:dyDescent="0.3">
      <c r="A621" s="47"/>
      <c r="B621" s="109"/>
      <c r="C621" s="47"/>
      <c r="E621" s="53"/>
      <c r="F621" s="47"/>
      <c r="G621" s="47"/>
      <c r="H621" s="47"/>
      <c r="I621" s="47"/>
      <c r="J621" s="47"/>
      <c r="K621" s="47"/>
      <c r="L621" s="47"/>
      <c r="M621" s="47"/>
      <c r="N621" s="91"/>
      <c r="O621" s="47"/>
      <c r="P621" s="47"/>
      <c r="Q621" s="47"/>
      <c r="R621" s="47"/>
      <c r="S621" s="47"/>
      <c r="T621" s="47"/>
      <c r="U621" s="47"/>
      <c r="V621" s="47"/>
      <c r="W621" s="47"/>
    </row>
    <row r="622" spans="1:23" x14ac:dyDescent="0.3">
      <c r="A622" s="47"/>
      <c r="B622" s="109"/>
      <c r="C622" s="47"/>
      <c r="E622" s="53"/>
      <c r="F622" s="47"/>
      <c r="G622" s="47"/>
      <c r="H622" s="47"/>
      <c r="I622" s="47"/>
      <c r="J622" s="47"/>
      <c r="K622" s="47"/>
      <c r="L622" s="47"/>
      <c r="M622" s="47"/>
      <c r="N622" s="91"/>
      <c r="O622" s="47"/>
      <c r="P622" s="47"/>
      <c r="Q622" s="47"/>
      <c r="R622" s="47"/>
      <c r="S622" s="47"/>
      <c r="T622" s="47"/>
      <c r="U622" s="47"/>
      <c r="V622" s="47"/>
      <c r="W622" s="47"/>
    </row>
    <row r="623" spans="1:23" x14ac:dyDescent="0.3">
      <c r="A623" s="47"/>
      <c r="B623" s="109"/>
      <c r="C623" s="47"/>
      <c r="E623" s="53"/>
      <c r="F623" s="47"/>
      <c r="G623" s="47"/>
      <c r="H623" s="47"/>
      <c r="I623" s="47"/>
      <c r="J623" s="47"/>
      <c r="K623" s="47"/>
      <c r="L623" s="47"/>
      <c r="M623" s="47"/>
      <c r="N623" s="91"/>
      <c r="O623" s="47"/>
      <c r="P623" s="47"/>
      <c r="Q623" s="47"/>
      <c r="R623" s="47"/>
      <c r="S623" s="47"/>
      <c r="T623" s="47"/>
      <c r="U623" s="47"/>
      <c r="V623" s="47"/>
      <c r="W623" s="47"/>
    </row>
    <row r="624" spans="1:23" x14ac:dyDescent="0.3">
      <c r="A624" s="47"/>
      <c r="B624" s="109"/>
      <c r="C624" s="47"/>
      <c r="E624" s="53"/>
      <c r="F624" s="47"/>
      <c r="G624" s="47"/>
      <c r="H624" s="47"/>
      <c r="I624" s="47"/>
      <c r="J624" s="47"/>
      <c r="K624" s="47"/>
      <c r="L624" s="47"/>
      <c r="M624" s="47"/>
      <c r="N624" s="91"/>
      <c r="O624" s="47"/>
      <c r="P624" s="47"/>
      <c r="Q624" s="47"/>
      <c r="R624" s="47"/>
      <c r="S624" s="47"/>
      <c r="T624" s="47"/>
      <c r="U624" s="47"/>
      <c r="V624" s="47"/>
      <c r="W624" s="47"/>
    </row>
    <row r="625" spans="1:23" x14ac:dyDescent="0.3">
      <c r="A625" s="47"/>
      <c r="B625" s="109"/>
      <c r="C625" s="47"/>
      <c r="E625" s="53"/>
      <c r="F625" s="47"/>
      <c r="G625" s="47"/>
      <c r="H625" s="47"/>
      <c r="I625" s="47"/>
      <c r="J625" s="47"/>
      <c r="K625" s="47"/>
      <c r="L625" s="47"/>
      <c r="M625" s="47"/>
      <c r="N625" s="91"/>
      <c r="O625" s="47"/>
      <c r="P625" s="47"/>
      <c r="Q625" s="47"/>
      <c r="R625" s="47"/>
      <c r="S625" s="47"/>
      <c r="T625" s="47"/>
      <c r="U625" s="47"/>
      <c r="V625" s="47"/>
      <c r="W625" s="47"/>
    </row>
    <row r="626" spans="1:23" x14ac:dyDescent="0.3">
      <c r="A626" s="47"/>
      <c r="B626" s="109"/>
      <c r="C626" s="47"/>
      <c r="E626" s="53"/>
      <c r="F626" s="47"/>
      <c r="G626" s="47"/>
      <c r="H626" s="47"/>
      <c r="I626" s="47"/>
      <c r="J626" s="47"/>
      <c r="K626" s="47"/>
      <c r="L626" s="47"/>
      <c r="M626" s="47"/>
      <c r="N626" s="91"/>
      <c r="O626" s="47"/>
      <c r="P626" s="47"/>
      <c r="Q626" s="47"/>
      <c r="R626" s="47"/>
      <c r="S626" s="47"/>
      <c r="T626" s="47"/>
      <c r="U626" s="47"/>
      <c r="V626" s="47"/>
      <c r="W626" s="47"/>
    </row>
    <row r="627" spans="1:23" x14ac:dyDescent="0.3">
      <c r="A627" s="47"/>
      <c r="B627" s="109"/>
      <c r="C627" s="47"/>
      <c r="E627" s="53"/>
      <c r="F627" s="47"/>
      <c r="G627" s="47"/>
      <c r="H627" s="47"/>
      <c r="I627" s="47"/>
      <c r="J627" s="47"/>
      <c r="K627" s="47"/>
      <c r="L627" s="47"/>
      <c r="M627" s="47"/>
      <c r="N627" s="91"/>
      <c r="O627" s="47"/>
      <c r="P627" s="47"/>
      <c r="Q627" s="47"/>
      <c r="R627" s="47"/>
      <c r="S627" s="47"/>
      <c r="T627" s="47"/>
      <c r="U627" s="47"/>
      <c r="V627" s="47"/>
      <c r="W627" s="47"/>
    </row>
    <row r="628" spans="1:23" x14ac:dyDescent="0.3">
      <c r="A628" s="47"/>
      <c r="B628" s="109"/>
      <c r="C628" s="47"/>
      <c r="E628" s="53"/>
      <c r="F628" s="47"/>
      <c r="G628" s="47"/>
      <c r="H628" s="47"/>
      <c r="I628" s="47"/>
      <c r="J628" s="47"/>
      <c r="K628" s="47"/>
      <c r="L628" s="47"/>
      <c r="M628" s="47"/>
      <c r="N628" s="91"/>
      <c r="O628" s="47"/>
      <c r="P628" s="47"/>
      <c r="Q628" s="47"/>
      <c r="R628" s="47"/>
      <c r="S628" s="47"/>
      <c r="T628" s="47"/>
      <c r="U628" s="47"/>
      <c r="V628" s="47"/>
      <c r="W628" s="47"/>
    </row>
    <row r="629" spans="1:23" x14ac:dyDescent="0.3">
      <c r="A629" s="47"/>
      <c r="B629" s="109"/>
      <c r="C629" s="47"/>
      <c r="E629" s="53"/>
      <c r="F629" s="47"/>
      <c r="G629" s="47"/>
      <c r="H629" s="47"/>
      <c r="I629" s="47"/>
      <c r="J629" s="47"/>
      <c r="K629" s="47"/>
      <c r="L629" s="47"/>
      <c r="M629" s="47"/>
      <c r="N629" s="91"/>
      <c r="O629" s="47"/>
      <c r="P629" s="47"/>
      <c r="Q629" s="47"/>
      <c r="R629" s="47"/>
      <c r="S629" s="47"/>
      <c r="T629" s="47"/>
      <c r="U629" s="47"/>
      <c r="V629" s="47"/>
      <c r="W629" s="47"/>
    </row>
    <row r="630" spans="1:23" x14ac:dyDescent="0.3">
      <c r="A630" s="47"/>
      <c r="B630" s="109"/>
      <c r="C630" s="47"/>
      <c r="E630" s="53"/>
      <c r="F630" s="47"/>
      <c r="G630" s="47"/>
      <c r="H630" s="47"/>
      <c r="I630" s="47"/>
      <c r="J630" s="47"/>
      <c r="K630" s="47"/>
      <c r="L630" s="47"/>
      <c r="M630" s="47"/>
      <c r="N630" s="91"/>
      <c r="O630" s="47"/>
      <c r="P630" s="47"/>
      <c r="Q630" s="47"/>
      <c r="R630" s="47"/>
      <c r="S630" s="47"/>
      <c r="T630" s="47"/>
      <c r="U630" s="47"/>
      <c r="V630" s="47"/>
      <c r="W630" s="47"/>
    </row>
    <row r="631" spans="1:23" x14ac:dyDescent="0.3">
      <c r="A631" s="47"/>
      <c r="B631" s="109"/>
      <c r="C631" s="47"/>
      <c r="E631" s="53"/>
      <c r="F631" s="47"/>
      <c r="G631" s="47"/>
      <c r="H631" s="47"/>
      <c r="I631" s="47"/>
      <c r="J631" s="47"/>
      <c r="K631" s="47"/>
      <c r="L631" s="47"/>
      <c r="M631" s="47"/>
      <c r="N631" s="91"/>
      <c r="O631" s="47"/>
      <c r="P631" s="47"/>
      <c r="Q631" s="47"/>
      <c r="R631" s="47"/>
      <c r="S631" s="47"/>
      <c r="T631" s="47"/>
      <c r="U631" s="47"/>
      <c r="V631" s="47"/>
      <c r="W631" s="47"/>
    </row>
    <row r="632" spans="1:23" x14ac:dyDescent="0.3">
      <c r="A632" s="47"/>
      <c r="B632" s="109"/>
      <c r="C632" s="47"/>
      <c r="E632" s="53"/>
      <c r="F632" s="47"/>
      <c r="G632" s="47"/>
      <c r="H632" s="47"/>
      <c r="I632" s="47"/>
      <c r="J632" s="47"/>
      <c r="K632" s="47"/>
      <c r="L632" s="47"/>
      <c r="M632" s="47"/>
      <c r="N632" s="91"/>
      <c r="O632" s="47"/>
      <c r="P632" s="47"/>
      <c r="Q632" s="47"/>
      <c r="R632" s="47"/>
      <c r="S632" s="47"/>
      <c r="T632" s="47"/>
      <c r="U632" s="47"/>
      <c r="V632" s="47"/>
      <c r="W632" s="47"/>
    </row>
    <row r="633" spans="1:23" x14ac:dyDescent="0.3">
      <c r="A633" s="47"/>
      <c r="B633" s="109"/>
      <c r="C633" s="47"/>
      <c r="E633" s="53"/>
      <c r="F633" s="47"/>
      <c r="G633" s="47"/>
      <c r="H633" s="47"/>
      <c r="I633" s="47"/>
      <c r="J633" s="47"/>
      <c r="K633" s="47"/>
      <c r="L633" s="47"/>
      <c r="M633" s="47"/>
      <c r="N633" s="91"/>
      <c r="O633" s="47"/>
      <c r="P633" s="47"/>
      <c r="Q633" s="47"/>
      <c r="R633" s="47"/>
      <c r="S633" s="47"/>
      <c r="T633" s="47"/>
      <c r="U633" s="47"/>
      <c r="V633" s="47"/>
      <c r="W633" s="47"/>
    </row>
    <row r="634" spans="1:23" x14ac:dyDescent="0.3">
      <c r="A634" s="47"/>
      <c r="B634" s="109"/>
      <c r="C634" s="47"/>
      <c r="E634" s="53"/>
      <c r="F634" s="47"/>
      <c r="G634" s="47"/>
      <c r="H634" s="47"/>
      <c r="I634" s="47"/>
      <c r="J634" s="47"/>
      <c r="K634" s="47"/>
      <c r="L634" s="47"/>
      <c r="M634" s="47"/>
      <c r="N634" s="91"/>
      <c r="O634" s="47"/>
      <c r="P634" s="47"/>
      <c r="Q634" s="47"/>
      <c r="R634" s="47"/>
      <c r="S634" s="47"/>
      <c r="T634" s="47"/>
      <c r="U634" s="47"/>
      <c r="V634" s="47"/>
      <c r="W634" s="47"/>
    </row>
    <row r="635" spans="1:23" x14ac:dyDescent="0.3">
      <c r="A635" s="47"/>
      <c r="B635" s="109"/>
      <c r="C635" s="47"/>
      <c r="E635" s="53"/>
      <c r="F635" s="47"/>
      <c r="G635" s="47"/>
      <c r="H635" s="47"/>
      <c r="I635" s="47"/>
      <c r="J635" s="47"/>
      <c r="K635" s="47"/>
      <c r="L635" s="47"/>
      <c r="M635" s="47"/>
      <c r="N635" s="91"/>
      <c r="O635" s="47"/>
      <c r="P635" s="47"/>
      <c r="Q635" s="47"/>
      <c r="R635" s="47"/>
      <c r="S635" s="47"/>
      <c r="T635" s="47"/>
      <c r="U635" s="47"/>
      <c r="V635" s="47"/>
      <c r="W635" s="47"/>
    </row>
    <row r="636" spans="1:23" x14ac:dyDescent="0.3">
      <c r="A636" s="47"/>
      <c r="B636" s="109"/>
      <c r="C636" s="47"/>
      <c r="E636" s="53"/>
      <c r="F636" s="47"/>
      <c r="G636" s="47"/>
      <c r="H636" s="47"/>
      <c r="I636" s="47"/>
      <c r="J636" s="47"/>
      <c r="K636" s="47"/>
      <c r="L636" s="47"/>
      <c r="M636" s="47"/>
      <c r="N636" s="91"/>
      <c r="O636" s="47"/>
      <c r="P636" s="47"/>
      <c r="Q636" s="47"/>
      <c r="R636" s="47"/>
      <c r="S636" s="47"/>
      <c r="T636" s="47"/>
      <c r="U636" s="47"/>
      <c r="V636" s="47"/>
      <c r="W636" s="47"/>
    </row>
    <row r="637" spans="1:23" x14ac:dyDescent="0.3">
      <c r="A637" s="47"/>
      <c r="B637" s="109"/>
      <c r="C637" s="47"/>
      <c r="E637" s="53"/>
      <c r="F637" s="47"/>
      <c r="G637" s="47"/>
      <c r="H637" s="47"/>
      <c r="I637" s="47"/>
      <c r="J637" s="47"/>
      <c r="K637" s="47"/>
      <c r="L637" s="47"/>
      <c r="M637" s="47"/>
      <c r="N637" s="91"/>
      <c r="O637" s="47"/>
      <c r="P637" s="47"/>
      <c r="Q637" s="47"/>
      <c r="R637" s="47"/>
      <c r="S637" s="47"/>
      <c r="T637" s="47"/>
      <c r="U637" s="47"/>
      <c r="V637" s="47"/>
      <c r="W637" s="47"/>
    </row>
    <row r="638" spans="1:23" x14ac:dyDescent="0.3">
      <c r="A638" s="47"/>
      <c r="B638" s="109"/>
      <c r="C638" s="47"/>
      <c r="E638" s="53"/>
      <c r="F638" s="47"/>
      <c r="G638" s="47"/>
      <c r="H638" s="47"/>
      <c r="I638" s="47"/>
      <c r="J638" s="47"/>
      <c r="K638" s="47"/>
      <c r="L638" s="47"/>
      <c r="M638" s="47"/>
      <c r="N638" s="91"/>
      <c r="O638" s="47"/>
      <c r="P638" s="47"/>
      <c r="Q638" s="47"/>
      <c r="R638" s="47"/>
      <c r="S638" s="47"/>
      <c r="T638" s="47"/>
      <c r="U638" s="47"/>
      <c r="V638" s="47"/>
      <c r="W638" s="47"/>
    </row>
    <row r="639" spans="1:23" x14ac:dyDescent="0.3">
      <c r="A639" s="47"/>
      <c r="B639" s="109"/>
      <c r="C639" s="47"/>
      <c r="E639" s="53"/>
      <c r="F639" s="47"/>
      <c r="G639" s="47"/>
      <c r="H639" s="47"/>
      <c r="I639" s="47"/>
      <c r="J639" s="47"/>
      <c r="K639" s="47"/>
      <c r="L639" s="47"/>
      <c r="M639" s="47"/>
      <c r="N639" s="91"/>
      <c r="O639" s="47"/>
      <c r="P639" s="47"/>
      <c r="Q639" s="47"/>
      <c r="R639" s="47"/>
      <c r="S639" s="47"/>
      <c r="T639" s="47"/>
      <c r="U639" s="47"/>
      <c r="V639" s="47"/>
      <c r="W639" s="47"/>
    </row>
    <row r="640" spans="1:23" x14ac:dyDescent="0.3">
      <c r="A640" s="47"/>
      <c r="B640" s="109"/>
      <c r="C640" s="47"/>
      <c r="E640" s="53"/>
      <c r="F640" s="47"/>
      <c r="G640" s="47"/>
      <c r="H640" s="47"/>
      <c r="I640" s="47"/>
      <c r="J640" s="47"/>
      <c r="K640" s="47"/>
      <c r="L640" s="47"/>
      <c r="M640" s="47"/>
      <c r="N640" s="91"/>
      <c r="O640" s="47"/>
      <c r="P640" s="47"/>
      <c r="Q640" s="47"/>
      <c r="R640" s="47"/>
      <c r="S640" s="47"/>
      <c r="T640" s="47"/>
      <c r="U640" s="47"/>
      <c r="V640" s="47"/>
      <c r="W640" s="47"/>
    </row>
    <row r="641" spans="1:23" x14ac:dyDescent="0.3">
      <c r="A641" s="47"/>
      <c r="B641" s="109"/>
      <c r="C641" s="47"/>
      <c r="E641" s="53"/>
      <c r="F641" s="47"/>
      <c r="G641" s="47"/>
      <c r="H641" s="47"/>
      <c r="I641" s="47"/>
      <c r="J641" s="47"/>
      <c r="K641" s="47"/>
      <c r="L641" s="47"/>
      <c r="M641" s="47"/>
      <c r="N641" s="91"/>
      <c r="O641" s="47"/>
      <c r="P641" s="47"/>
      <c r="Q641" s="47"/>
      <c r="R641" s="47"/>
      <c r="S641" s="47"/>
      <c r="T641" s="47"/>
      <c r="U641" s="47"/>
      <c r="V641" s="47"/>
      <c r="W641" s="47"/>
    </row>
    <row r="642" spans="1:23" x14ac:dyDescent="0.3">
      <c r="A642" s="47"/>
      <c r="B642" s="109"/>
      <c r="C642" s="47"/>
      <c r="E642" s="53"/>
      <c r="F642" s="47"/>
      <c r="G642" s="47"/>
      <c r="H642" s="47"/>
      <c r="I642" s="47"/>
      <c r="J642" s="47"/>
      <c r="K642" s="47"/>
      <c r="L642" s="47"/>
      <c r="M642" s="47"/>
      <c r="N642" s="91"/>
      <c r="O642" s="47"/>
      <c r="P642" s="47"/>
      <c r="Q642" s="47"/>
      <c r="R642" s="47"/>
      <c r="S642" s="47"/>
      <c r="T642" s="47"/>
      <c r="U642" s="47"/>
      <c r="V642" s="47"/>
      <c r="W642" s="47"/>
    </row>
    <row r="643" spans="1:23" x14ac:dyDescent="0.3">
      <c r="A643" s="47"/>
      <c r="B643" s="109"/>
      <c r="C643" s="47"/>
      <c r="E643" s="53"/>
      <c r="F643" s="47"/>
      <c r="G643" s="47"/>
      <c r="H643" s="47"/>
      <c r="I643" s="47"/>
      <c r="J643" s="47"/>
      <c r="K643" s="47"/>
      <c r="L643" s="47"/>
      <c r="M643" s="47"/>
      <c r="N643" s="91"/>
      <c r="O643" s="47"/>
      <c r="P643" s="47"/>
      <c r="Q643" s="47"/>
      <c r="R643" s="47"/>
      <c r="S643" s="47"/>
      <c r="T643" s="47"/>
      <c r="U643" s="47"/>
      <c r="V643" s="47"/>
      <c r="W643" s="47"/>
    </row>
    <row r="644" spans="1:23" x14ac:dyDescent="0.3">
      <c r="A644" s="47"/>
      <c r="B644" s="109"/>
      <c r="C644" s="47"/>
      <c r="E644" s="53"/>
      <c r="F644" s="47"/>
      <c r="G644" s="47"/>
      <c r="H644" s="47"/>
      <c r="I644" s="47"/>
      <c r="J644" s="47"/>
      <c r="K644" s="47"/>
      <c r="L644" s="47"/>
      <c r="M644" s="47"/>
      <c r="N644" s="91"/>
      <c r="O644" s="47"/>
      <c r="P644" s="47"/>
      <c r="Q644" s="47"/>
      <c r="R644" s="47"/>
      <c r="S644" s="47"/>
      <c r="T644" s="47"/>
      <c r="U644" s="47"/>
      <c r="V644" s="47"/>
      <c r="W644" s="47"/>
    </row>
    <row r="645" spans="1:23" x14ac:dyDescent="0.3">
      <c r="A645" s="47"/>
      <c r="B645" s="109"/>
      <c r="C645" s="47"/>
      <c r="E645" s="53"/>
      <c r="F645" s="47"/>
      <c r="G645" s="47"/>
      <c r="H645" s="47"/>
      <c r="I645" s="47"/>
      <c r="J645" s="47"/>
      <c r="K645" s="47"/>
      <c r="L645" s="47"/>
      <c r="M645" s="47"/>
      <c r="N645" s="91"/>
      <c r="O645" s="47"/>
      <c r="P645" s="47"/>
      <c r="Q645" s="47"/>
      <c r="R645" s="47"/>
      <c r="S645" s="47"/>
      <c r="T645" s="47"/>
      <c r="U645" s="47"/>
      <c r="V645" s="47"/>
      <c r="W645" s="47"/>
    </row>
    <row r="646" spans="1:23" x14ac:dyDescent="0.3">
      <c r="A646" s="47"/>
      <c r="B646" s="109"/>
      <c r="C646" s="47"/>
      <c r="E646" s="53"/>
      <c r="F646" s="47"/>
      <c r="G646" s="47"/>
      <c r="H646" s="47"/>
      <c r="I646" s="47"/>
      <c r="J646" s="47"/>
      <c r="K646" s="47"/>
      <c r="L646" s="47"/>
      <c r="M646" s="47"/>
      <c r="N646" s="91"/>
      <c r="O646" s="47"/>
      <c r="P646" s="47"/>
      <c r="Q646" s="47"/>
      <c r="R646" s="47"/>
      <c r="S646" s="47"/>
      <c r="T646" s="47"/>
      <c r="U646" s="47"/>
      <c r="V646" s="47"/>
      <c r="W646" s="47"/>
    </row>
    <row r="647" spans="1:23" x14ac:dyDescent="0.3">
      <c r="A647" s="47"/>
      <c r="B647" s="109"/>
      <c r="C647" s="47"/>
      <c r="E647" s="53"/>
      <c r="F647" s="47"/>
      <c r="G647" s="47"/>
      <c r="H647" s="47"/>
      <c r="I647" s="47"/>
      <c r="J647" s="47"/>
      <c r="K647" s="47"/>
      <c r="L647" s="47"/>
      <c r="M647" s="47"/>
      <c r="N647" s="91"/>
      <c r="O647" s="47"/>
      <c r="P647" s="47"/>
      <c r="Q647" s="47"/>
      <c r="R647" s="47"/>
      <c r="S647" s="47"/>
      <c r="T647" s="47"/>
      <c r="U647" s="47"/>
      <c r="V647" s="47"/>
      <c r="W647" s="47"/>
    </row>
    <row r="648" spans="1:23" x14ac:dyDescent="0.3">
      <c r="A648" s="47"/>
      <c r="B648" s="109"/>
      <c r="C648" s="47"/>
      <c r="E648" s="53"/>
      <c r="F648" s="47"/>
      <c r="G648" s="47"/>
      <c r="H648" s="47"/>
      <c r="I648" s="47"/>
      <c r="J648" s="47"/>
      <c r="K648" s="47"/>
      <c r="L648" s="47"/>
      <c r="M648" s="47"/>
      <c r="N648" s="91"/>
      <c r="O648" s="47"/>
      <c r="P648" s="47"/>
      <c r="Q648" s="47"/>
      <c r="R648" s="47"/>
      <c r="S648" s="47"/>
      <c r="T648" s="47"/>
      <c r="U648" s="47"/>
      <c r="V648" s="47"/>
      <c r="W648" s="47"/>
    </row>
    <row r="649" spans="1:23" x14ac:dyDescent="0.3">
      <c r="A649" s="47"/>
      <c r="B649" s="109"/>
      <c r="C649" s="47"/>
      <c r="E649" s="53"/>
      <c r="F649" s="47"/>
      <c r="G649" s="47"/>
      <c r="H649" s="47"/>
      <c r="I649" s="47"/>
      <c r="J649" s="47"/>
      <c r="K649" s="47"/>
      <c r="L649" s="47"/>
      <c r="M649" s="47"/>
      <c r="N649" s="91"/>
      <c r="O649" s="47"/>
      <c r="P649" s="47"/>
      <c r="Q649" s="47"/>
      <c r="R649" s="47"/>
      <c r="S649" s="47"/>
      <c r="T649" s="47"/>
      <c r="U649" s="47"/>
      <c r="V649" s="47"/>
      <c r="W649" s="47"/>
    </row>
    <row r="650" spans="1:23" x14ac:dyDescent="0.3">
      <c r="A650" s="47"/>
      <c r="B650" s="109"/>
      <c r="C650" s="47"/>
      <c r="E650" s="53"/>
      <c r="F650" s="47"/>
      <c r="G650" s="47"/>
      <c r="H650" s="47"/>
      <c r="I650" s="47"/>
      <c r="J650" s="47"/>
      <c r="K650" s="47"/>
      <c r="L650" s="47"/>
      <c r="M650" s="47"/>
      <c r="N650" s="91"/>
      <c r="O650" s="47"/>
      <c r="P650" s="47"/>
      <c r="Q650" s="47"/>
      <c r="R650" s="47"/>
      <c r="S650" s="47"/>
      <c r="T650" s="47"/>
      <c r="U650" s="47"/>
      <c r="V650" s="47"/>
      <c r="W650" s="47"/>
    </row>
    <row r="651" spans="1:23" x14ac:dyDescent="0.3">
      <c r="A651" s="47"/>
      <c r="B651" s="109"/>
      <c r="C651" s="47"/>
      <c r="E651" s="53"/>
      <c r="F651" s="47"/>
      <c r="G651" s="47"/>
      <c r="H651" s="47"/>
      <c r="I651" s="47"/>
      <c r="J651" s="47"/>
      <c r="L651" s="47"/>
      <c r="M651" s="47"/>
      <c r="N651" s="91"/>
      <c r="O651" s="47"/>
      <c r="P651" s="47"/>
      <c r="Q651" s="47"/>
      <c r="R651" s="47"/>
      <c r="S651" s="47"/>
      <c r="T651" s="47"/>
      <c r="U651" s="47"/>
      <c r="V651" s="47"/>
      <c r="W651" s="47"/>
    </row>
  </sheetData>
  <autoFilter ref="A1:P48"/>
  <customSheetViews>
    <customSheetView guid="{2EEA926C-3156-4AC6-9229-A7AA2DF955D3}" scale="80" showAutoFilter="1">
      <pane xSplit="5" ySplit="1" topLeftCell="I22" activePane="bottomRight" state="frozen"/>
      <selection pane="bottomRight" activeCell="I23" sqref="I23"/>
      <pageMargins left="0.7" right="0.7" top="0.75" bottom="0.75" header="0.3" footer="0.3"/>
      <pageSetup paperSize="9" orientation="portrait" r:id="rId1"/>
      <autoFilter ref="A1:Q45"/>
    </customSheetView>
    <customSheetView guid="{2DB1E318-7147-48DF-A27A-64EE5389D79D}" scale="80" showAutoFilter="1">
      <pane xSplit="5" ySplit="1" topLeftCell="F38" activePane="bottomRight" state="frozen"/>
      <selection pane="bottomRight" activeCell="E2" sqref="E2:E41"/>
      <pageMargins left="0.7" right="0.7" top="0.75" bottom="0.75" header="0.3" footer="0.3"/>
      <pageSetup paperSize="9" orientation="portrait" r:id="rId2"/>
      <autoFilter ref="A1:U41"/>
    </customSheetView>
    <customSheetView guid="{173D36D5-56F6-4F44-8AEA-1BCCEB5BEB01}" scale="80" showAutoFilter="1">
      <pane xSplit="5" ySplit="1" topLeftCell="F38" activePane="bottomRight" state="frozen"/>
      <selection pane="bottomRight" activeCell="E2" sqref="E2:E41"/>
      <pageMargins left="0.7" right="0.7" top="0.75" bottom="0.75" header="0.3" footer="0.3"/>
      <pageSetup paperSize="9" orientation="portrait" r:id="rId3"/>
      <autoFilter ref="A1:U41"/>
    </customSheetView>
    <customSheetView guid="{E54B5D21-78A5-49ED-8A41-5B0BD6CF5BF8}" scale="70" showAutoFilter="1">
      <pane xSplit="5" ySplit="1" topLeftCell="F28" activePane="bottomRight" state="frozen"/>
      <selection pane="bottomRight" activeCell="G30" sqref="G30"/>
      <pageMargins left="0.7" right="0.7" top="0.75" bottom="0.75" header="0.3" footer="0.3"/>
      <pageSetup paperSize="9" orientation="portrait" r:id="rId4"/>
      <autoFilter ref="A1:T41"/>
    </customSheetView>
    <customSheetView guid="{118B26FA-458B-4EBF-A611-352DC7919B8F}" scale="70" showAutoFilter="1">
      <pane xSplit="5" ySplit="1" topLeftCell="J45" activePane="bottomRight" state="frozen"/>
      <selection pane="bottomRight" activeCell="L48" sqref="L48"/>
      <pageMargins left="0.7" right="0.7" top="0.75" bottom="0.75" header="0.3" footer="0.3"/>
      <pageSetup paperSize="9" orientation="portrait" r:id="rId5"/>
      <autoFilter ref="A1:T42"/>
    </customSheetView>
    <customSheetView guid="{7E89C46F-A64B-40A0-896B-BA6F5B13D9A1}" scale="70" showAutoFilter="1">
      <pane xSplit="5" ySplit="1" topLeftCell="I36" activePane="bottomRight" state="frozen"/>
      <selection pane="bottomRight" activeCell="K38" sqref="K38"/>
      <pageMargins left="0.7" right="0.7" top="0.75" bottom="0.75" header="0.3" footer="0.3"/>
      <pageSetup paperSize="9" orientation="portrait" r:id="rId6"/>
      <autoFilter ref="A1:T42"/>
    </customSheetView>
    <customSheetView guid="{A97CC407-D832-4D6B-889F-79EA371F2140}" scale="70" showAutoFilter="1">
      <pane xSplit="5" ySplit="1" topLeftCell="H2" activePane="bottomRight" state="frozen"/>
      <selection pane="bottomRight" activeCell="K1" sqref="K1:K1048576"/>
      <pageMargins left="0.7" right="0.7" top="0.75" bottom="0.75" header="0.3" footer="0.3"/>
      <pageSetup paperSize="9" orientation="portrait" r:id="rId7"/>
      <autoFilter ref="A1:S48"/>
    </customSheetView>
    <customSheetView guid="{B95F8ECF-EE4B-497E-8AFD-61960D2C04DE}" scale="70" showAutoFilter="1">
      <pane xSplit="5" ySplit="1" topLeftCell="H43" activePane="bottomRight" state="frozen"/>
      <selection pane="bottomRight" activeCell="N50" sqref="N50"/>
      <pageMargins left="0.7" right="0.7" top="0.75" bottom="0.75" header="0.3" footer="0.3"/>
      <pageSetup paperSize="9" orientation="portrait" r:id="rId8"/>
      <autoFilter ref="A1:T48"/>
    </customSheetView>
    <customSheetView guid="{D1303DE8-82E6-497F-898A-86E0FE4EA44C}" scale="80" showAutoFilter="1">
      <pane xSplit="5" ySplit="1" topLeftCell="F41" activePane="bottomRight" state="frozen"/>
      <selection pane="bottomRight" activeCell="G43" sqref="G43"/>
      <pageMargins left="0.7" right="0.7" top="0.75" bottom="0.75" header="0.3" footer="0.3"/>
      <pageSetup paperSize="9" orientation="portrait" r:id="rId9"/>
      <autoFilter ref="A1:R45"/>
    </customSheetView>
  </customSheetViews>
  <phoneticPr fontId="7" type="noConversion"/>
  <pageMargins left="0.7" right="0.7" top="0.75" bottom="0.75" header="0.3" footer="0.3"/>
  <pageSetup paperSize="9" orientation="portrait" r:id="rId1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50"/>
  <sheetViews>
    <sheetView topLeftCell="C40" zoomScale="80" zoomScaleNormal="80" workbookViewId="0">
      <selection activeCell="F41" sqref="F41"/>
    </sheetView>
  </sheetViews>
  <sheetFormatPr defaultColWidth="9" defaultRowHeight="16.5" x14ac:dyDescent="0.3"/>
  <cols>
    <col min="1" max="1" width="3.875" style="1" customWidth="1"/>
    <col min="2" max="2" width="10.375" style="103" customWidth="1"/>
    <col min="3" max="3" width="5.375" style="1" customWidth="1"/>
    <col min="4" max="4" width="5.5" customWidth="1"/>
    <col min="5" max="5" width="27.625" style="1" customWidth="1"/>
    <col min="6" max="6" width="47.125" style="1" customWidth="1"/>
    <col min="7" max="7" width="58.625" style="1" bestFit="1" customWidth="1"/>
    <col min="8" max="8" width="64.625" style="1" bestFit="1" customWidth="1"/>
    <col min="9" max="9" width="43.875" style="1" customWidth="1"/>
    <col min="10" max="10" width="7.25" style="1" customWidth="1"/>
    <col min="11" max="11" width="13.5" style="1" customWidth="1"/>
    <col min="12" max="12" width="2.75" style="107" customWidth="1"/>
    <col min="13" max="13" width="52.125" style="1" customWidth="1"/>
    <col min="14" max="14" width="25.25" style="34" customWidth="1"/>
    <col min="15" max="15" width="31.125" style="1" customWidth="1"/>
    <col min="16" max="16" width="46.375" style="1" customWidth="1"/>
    <col min="17" max="17" width="38.375" style="1" customWidth="1"/>
    <col min="18" max="18" width="26.75" style="1" customWidth="1"/>
    <col min="19" max="19" width="21" style="1" customWidth="1"/>
    <col min="20" max="16384" width="9" style="1"/>
  </cols>
  <sheetData>
    <row r="1" spans="1:26" s="34" customFormat="1" ht="27" x14ac:dyDescent="0.3">
      <c r="A1" s="26" t="s">
        <v>0</v>
      </c>
      <c r="B1" s="101" t="s">
        <v>1</v>
      </c>
      <c r="C1" s="27" t="s">
        <v>85</v>
      </c>
      <c r="D1" s="27" t="s">
        <v>2</v>
      </c>
      <c r="E1" s="27" t="s">
        <v>3</v>
      </c>
      <c r="F1" s="27" t="s">
        <v>4</v>
      </c>
      <c r="G1" s="27" t="s">
        <v>5</v>
      </c>
      <c r="H1" s="27" t="s">
        <v>6</v>
      </c>
      <c r="I1" s="27" t="s">
        <v>7</v>
      </c>
      <c r="J1" s="27" t="s">
        <v>8</v>
      </c>
      <c r="K1" s="55" t="s">
        <v>985</v>
      </c>
      <c r="L1" s="105" t="s">
        <v>86</v>
      </c>
      <c r="M1" s="28" t="s">
        <v>87</v>
      </c>
      <c r="N1" s="28" t="s">
        <v>742</v>
      </c>
      <c r="O1" s="28" t="s">
        <v>88</v>
      </c>
      <c r="P1" s="28" t="s">
        <v>89</v>
      </c>
      <c r="Q1" s="29" t="s">
        <v>90</v>
      </c>
      <c r="R1" s="29" t="s">
        <v>91</v>
      </c>
      <c r="S1" s="29" t="s">
        <v>92</v>
      </c>
    </row>
    <row r="2" spans="1:26" ht="297" customHeight="1" x14ac:dyDescent="0.3">
      <c r="A2" s="108" t="s">
        <v>9</v>
      </c>
      <c r="B2" s="108" t="s">
        <v>99</v>
      </c>
      <c r="C2" s="108" t="s">
        <v>10</v>
      </c>
      <c r="D2" s="108">
        <v>1</v>
      </c>
      <c r="E2" s="108" t="s">
        <v>1290</v>
      </c>
      <c r="F2" s="108" t="s">
        <v>945</v>
      </c>
      <c r="G2" s="108" t="s">
        <v>553</v>
      </c>
      <c r="H2" s="108" t="s">
        <v>987</v>
      </c>
      <c r="I2" s="108" t="s">
        <v>1378</v>
      </c>
      <c r="J2" s="108">
        <v>0</v>
      </c>
      <c r="K2" s="111" t="s">
        <v>366</v>
      </c>
      <c r="L2" s="123" t="s">
        <v>104</v>
      </c>
      <c r="M2" s="108" t="s">
        <v>111</v>
      </c>
      <c r="N2" s="112" t="s">
        <v>575</v>
      </c>
      <c r="O2" s="46"/>
      <c r="P2" s="46"/>
      <c r="Q2" s="46"/>
      <c r="R2" s="46"/>
      <c r="S2" s="46"/>
      <c r="T2" s="51"/>
      <c r="U2" s="51"/>
      <c r="V2" s="51"/>
      <c r="W2" s="51"/>
      <c r="X2" s="51"/>
      <c r="Y2" s="51"/>
      <c r="Z2" s="51"/>
    </row>
    <row r="3" spans="1:26" ht="189" x14ac:dyDescent="0.3">
      <c r="A3" s="108" t="s">
        <v>9</v>
      </c>
      <c r="B3" s="108" t="s">
        <v>99</v>
      </c>
      <c r="C3" s="108" t="s">
        <v>10</v>
      </c>
      <c r="D3" s="108">
        <v>1</v>
      </c>
      <c r="E3" s="108" t="s">
        <v>1291</v>
      </c>
      <c r="F3" s="108" t="s">
        <v>944</v>
      </c>
      <c r="G3" s="108" t="s">
        <v>555</v>
      </c>
      <c r="H3" s="108" t="s">
        <v>859</v>
      </c>
      <c r="I3" s="108" t="s">
        <v>1645</v>
      </c>
      <c r="J3" s="108">
        <v>1</v>
      </c>
      <c r="K3" s="111" t="s">
        <v>347</v>
      </c>
      <c r="L3" s="123" t="s">
        <v>1590</v>
      </c>
      <c r="M3" s="108" t="s">
        <v>112</v>
      </c>
      <c r="N3" s="112" t="s">
        <v>575</v>
      </c>
      <c r="O3" s="46"/>
      <c r="P3" s="46"/>
      <c r="Q3" s="46"/>
      <c r="R3" s="46"/>
      <c r="S3" s="46"/>
      <c r="T3" s="51"/>
      <c r="U3" s="51"/>
      <c r="V3" s="51"/>
      <c r="W3" s="51"/>
      <c r="X3" s="51"/>
      <c r="Y3" s="51"/>
      <c r="Z3" s="51"/>
    </row>
    <row r="4" spans="1:26" ht="101.25" customHeight="1" x14ac:dyDescent="0.3">
      <c r="A4" s="108" t="s">
        <v>9</v>
      </c>
      <c r="B4" s="108" t="s">
        <v>441</v>
      </c>
      <c r="C4" s="108" t="s">
        <v>10</v>
      </c>
      <c r="D4" s="108">
        <v>1</v>
      </c>
      <c r="E4" s="108" t="s">
        <v>1292</v>
      </c>
      <c r="F4" s="108" t="s">
        <v>517</v>
      </c>
      <c r="G4" s="108" t="s">
        <v>1372</v>
      </c>
      <c r="H4" s="108" t="s">
        <v>94</v>
      </c>
      <c r="I4" s="108" t="s">
        <v>1223</v>
      </c>
      <c r="J4" s="108">
        <v>0</v>
      </c>
      <c r="K4" s="111"/>
      <c r="L4" s="123" t="s">
        <v>103</v>
      </c>
      <c r="M4" s="108" t="s">
        <v>132</v>
      </c>
      <c r="N4" s="112" t="s">
        <v>575</v>
      </c>
      <c r="O4" s="46"/>
      <c r="P4" s="46"/>
      <c r="Q4" s="46"/>
      <c r="R4" s="46"/>
      <c r="S4" s="46"/>
      <c r="T4" s="51"/>
      <c r="U4" s="51"/>
      <c r="V4" s="51"/>
      <c r="W4" s="51"/>
      <c r="X4" s="51"/>
      <c r="Y4" s="51"/>
      <c r="Z4" s="51"/>
    </row>
    <row r="5" spans="1:26" ht="101.25" customHeight="1" x14ac:dyDescent="0.3">
      <c r="A5" s="108" t="s">
        <v>9</v>
      </c>
      <c r="B5" s="108" t="s">
        <v>99</v>
      </c>
      <c r="C5" s="108" t="s">
        <v>10</v>
      </c>
      <c r="D5" s="108">
        <v>1</v>
      </c>
      <c r="E5" s="108" t="s">
        <v>1293</v>
      </c>
      <c r="F5" s="108" t="s">
        <v>1264</v>
      </c>
      <c r="G5" s="108" t="s">
        <v>780</v>
      </c>
      <c r="H5" s="108" t="s">
        <v>495</v>
      </c>
      <c r="I5" s="108" t="s">
        <v>1223</v>
      </c>
      <c r="J5" s="108">
        <v>0</v>
      </c>
      <c r="K5" s="111"/>
      <c r="L5" s="108" t="s">
        <v>103</v>
      </c>
      <c r="M5" s="108" t="s">
        <v>132</v>
      </c>
      <c r="N5" s="112"/>
      <c r="O5" s="46"/>
      <c r="P5" s="46"/>
      <c r="Q5" s="46"/>
      <c r="R5" s="46"/>
      <c r="S5" s="46"/>
      <c r="T5" s="51"/>
      <c r="U5" s="51"/>
      <c r="V5" s="51"/>
      <c r="W5" s="51"/>
      <c r="X5" s="51"/>
      <c r="Y5" s="51"/>
      <c r="Z5" s="51"/>
    </row>
    <row r="6" spans="1:26" ht="256.5" x14ac:dyDescent="0.3">
      <c r="A6" s="108" t="s">
        <v>9</v>
      </c>
      <c r="B6" s="108" t="s">
        <v>99</v>
      </c>
      <c r="C6" s="108" t="s">
        <v>10</v>
      </c>
      <c r="D6" s="108">
        <v>1</v>
      </c>
      <c r="E6" s="108" t="s">
        <v>1332</v>
      </c>
      <c r="F6" s="108" t="s">
        <v>735</v>
      </c>
      <c r="G6" s="108" t="s">
        <v>833</v>
      </c>
      <c r="H6" s="108" t="s">
        <v>1648</v>
      </c>
      <c r="I6" s="108" t="s">
        <v>1654</v>
      </c>
      <c r="J6" s="108">
        <v>1</v>
      </c>
      <c r="K6" s="111" t="s">
        <v>266</v>
      </c>
      <c r="L6" s="123" t="s">
        <v>1589</v>
      </c>
      <c r="M6" s="108" t="s">
        <v>157</v>
      </c>
      <c r="N6" s="112" t="s">
        <v>586</v>
      </c>
      <c r="O6" s="46"/>
      <c r="P6" s="46"/>
      <c r="Q6" s="46"/>
      <c r="R6" s="46"/>
      <c r="S6" s="46"/>
      <c r="T6" s="51"/>
      <c r="U6" s="51"/>
      <c r="V6" s="51"/>
      <c r="W6" s="51"/>
      <c r="X6" s="51"/>
      <c r="Y6" s="51"/>
      <c r="Z6" s="51"/>
    </row>
    <row r="7" spans="1:26" ht="133.5" customHeight="1" x14ac:dyDescent="0.3">
      <c r="A7" s="108" t="s">
        <v>9</v>
      </c>
      <c r="B7" s="108" t="s">
        <v>99</v>
      </c>
      <c r="C7" s="108" t="s">
        <v>10</v>
      </c>
      <c r="D7" s="108">
        <v>1</v>
      </c>
      <c r="E7" s="108" t="s">
        <v>1295</v>
      </c>
      <c r="F7" s="108" t="s">
        <v>488</v>
      </c>
      <c r="G7" s="108" t="s">
        <v>834</v>
      </c>
      <c r="H7" s="108" t="s">
        <v>889</v>
      </c>
      <c r="I7" s="108" t="s">
        <v>1657</v>
      </c>
      <c r="J7" s="108">
        <v>1</v>
      </c>
      <c r="K7" s="111" t="s">
        <v>346</v>
      </c>
      <c r="L7" s="123" t="s">
        <v>175</v>
      </c>
      <c r="M7" s="108" t="s">
        <v>146</v>
      </c>
      <c r="N7" s="112" t="s">
        <v>586</v>
      </c>
      <c r="O7" s="46"/>
      <c r="P7" s="46"/>
      <c r="Q7" s="46"/>
      <c r="R7" s="46"/>
      <c r="S7" s="46"/>
      <c r="T7" s="51"/>
      <c r="U7" s="51"/>
      <c r="V7" s="51"/>
      <c r="W7" s="51"/>
      <c r="X7" s="51"/>
      <c r="Y7" s="51"/>
      <c r="Z7" s="51"/>
    </row>
    <row r="8" spans="1:26" ht="136.5" customHeight="1" x14ac:dyDescent="0.3">
      <c r="A8" s="108" t="s">
        <v>9</v>
      </c>
      <c r="B8" s="108" t="s">
        <v>99</v>
      </c>
      <c r="C8" s="108" t="s">
        <v>10</v>
      </c>
      <c r="D8" s="108">
        <v>1</v>
      </c>
      <c r="E8" s="108" t="s">
        <v>1296</v>
      </c>
      <c r="F8" s="108" t="s">
        <v>487</v>
      </c>
      <c r="G8" s="108" t="s">
        <v>835</v>
      </c>
      <c r="H8" s="108" t="s">
        <v>890</v>
      </c>
      <c r="I8" s="108" t="s">
        <v>573</v>
      </c>
      <c r="J8" s="108">
        <v>1</v>
      </c>
      <c r="K8" s="111" t="s">
        <v>343</v>
      </c>
      <c r="L8" s="123" t="s">
        <v>1595</v>
      </c>
      <c r="M8" s="108" t="s">
        <v>147</v>
      </c>
      <c r="N8" s="112" t="s">
        <v>587</v>
      </c>
      <c r="O8" s="46"/>
      <c r="P8" s="46"/>
      <c r="Q8" s="46"/>
      <c r="R8" s="46"/>
      <c r="S8" s="46"/>
      <c r="T8" s="51"/>
      <c r="U8" s="51"/>
      <c r="V8" s="51"/>
      <c r="W8" s="51"/>
      <c r="X8" s="51"/>
      <c r="Y8" s="51"/>
      <c r="Z8" s="51"/>
    </row>
    <row r="9" spans="1:26" ht="162" x14ac:dyDescent="0.3">
      <c r="A9" s="108" t="s">
        <v>9</v>
      </c>
      <c r="B9" s="108" t="s">
        <v>99</v>
      </c>
      <c r="C9" s="108" t="s">
        <v>10</v>
      </c>
      <c r="D9" s="108">
        <v>1</v>
      </c>
      <c r="E9" s="108" t="s">
        <v>1297</v>
      </c>
      <c r="F9" s="108" t="s">
        <v>486</v>
      </c>
      <c r="G9" s="108" t="s">
        <v>836</v>
      </c>
      <c r="H9" s="108" t="s">
        <v>955</v>
      </c>
      <c r="I9" s="108" t="s">
        <v>956</v>
      </c>
      <c r="J9" s="108">
        <v>1</v>
      </c>
      <c r="K9" s="111" t="s">
        <v>344</v>
      </c>
      <c r="L9" s="123" t="s">
        <v>175</v>
      </c>
      <c r="M9" s="108" t="s">
        <v>148</v>
      </c>
      <c r="N9" s="112" t="s">
        <v>587</v>
      </c>
      <c r="O9" s="46"/>
      <c r="P9" s="46"/>
      <c r="Q9" s="46"/>
      <c r="R9" s="46"/>
      <c r="S9" s="46"/>
      <c r="T9" s="51"/>
      <c r="U9" s="51"/>
      <c r="V9" s="51"/>
      <c r="W9" s="51"/>
      <c r="X9" s="51"/>
      <c r="Y9" s="51"/>
      <c r="Z9" s="51"/>
    </row>
    <row r="10" spans="1:26" ht="224.45" customHeight="1" x14ac:dyDescent="0.3">
      <c r="A10" s="108" t="s">
        <v>9</v>
      </c>
      <c r="B10" s="108" t="s">
        <v>99</v>
      </c>
      <c r="C10" s="108" t="s">
        <v>10</v>
      </c>
      <c r="D10" s="108">
        <v>1</v>
      </c>
      <c r="E10" s="108" t="s">
        <v>1298</v>
      </c>
      <c r="F10" s="108" t="s">
        <v>489</v>
      </c>
      <c r="G10" s="108" t="s">
        <v>837</v>
      </c>
      <c r="H10" s="108" t="s">
        <v>957</v>
      </c>
      <c r="I10" s="108" t="s">
        <v>958</v>
      </c>
      <c r="J10" s="108">
        <v>1</v>
      </c>
      <c r="K10" s="111" t="s">
        <v>265</v>
      </c>
      <c r="L10" s="123" t="s">
        <v>175</v>
      </c>
      <c r="M10" s="108" t="s">
        <v>149</v>
      </c>
      <c r="N10" s="112" t="s">
        <v>587</v>
      </c>
      <c r="O10" s="46"/>
      <c r="P10" s="46"/>
      <c r="Q10" s="46"/>
      <c r="R10" s="46"/>
      <c r="S10" s="46"/>
      <c r="T10" s="51"/>
      <c r="U10" s="51"/>
      <c r="V10" s="51"/>
      <c r="W10" s="51"/>
      <c r="X10" s="51"/>
      <c r="Y10" s="51"/>
      <c r="Z10" s="51"/>
    </row>
    <row r="11" spans="1:26" ht="229.5" x14ac:dyDescent="0.3">
      <c r="A11" s="108" t="s">
        <v>9</v>
      </c>
      <c r="B11" s="108" t="s">
        <v>99</v>
      </c>
      <c r="C11" s="108" t="s">
        <v>10</v>
      </c>
      <c r="D11" s="108">
        <v>1</v>
      </c>
      <c r="E11" s="108" t="s">
        <v>1299</v>
      </c>
      <c r="F11" s="108" t="s">
        <v>1265</v>
      </c>
      <c r="G11" s="108" t="s">
        <v>838</v>
      </c>
      <c r="H11" s="108" t="s">
        <v>858</v>
      </c>
      <c r="I11" s="108" t="s">
        <v>565</v>
      </c>
      <c r="J11" s="108">
        <v>1</v>
      </c>
      <c r="K11" s="111" t="s">
        <v>330</v>
      </c>
      <c r="L11" s="123" t="s">
        <v>175</v>
      </c>
      <c r="M11" s="108" t="s">
        <v>150</v>
      </c>
      <c r="N11" s="112" t="s">
        <v>588</v>
      </c>
      <c r="O11" s="46"/>
      <c r="P11" s="46"/>
      <c r="Q11" s="46"/>
      <c r="R11" s="46"/>
      <c r="S11" s="46"/>
      <c r="T11" s="51"/>
      <c r="U11" s="51"/>
      <c r="V11" s="51"/>
      <c r="W11" s="51"/>
      <c r="X11" s="51"/>
      <c r="Y11" s="51"/>
      <c r="Z11" s="51"/>
    </row>
    <row r="12" spans="1:26" ht="135" x14ac:dyDescent="0.3">
      <c r="A12" s="108" t="s">
        <v>9</v>
      </c>
      <c r="B12" s="108" t="s">
        <v>99</v>
      </c>
      <c r="C12" s="108" t="s">
        <v>10</v>
      </c>
      <c r="D12" s="108">
        <v>1</v>
      </c>
      <c r="E12" s="108" t="s">
        <v>1300</v>
      </c>
      <c r="F12" s="108" t="s">
        <v>1242</v>
      </c>
      <c r="G12" s="108" t="s">
        <v>840</v>
      </c>
      <c r="H12" s="108" t="s">
        <v>920</v>
      </c>
      <c r="I12" s="108" t="s">
        <v>843</v>
      </c>
      <c r="J12" s="108">
        <v>1</v>
      </c>
      <c r="K12" s="111" t="s">
        <v>328</v>
      </c>
      <c r="L12" s="123" t="s">
        <v>175</v>
      </c>
      <c r="M12" s="108" t="s">
        <v>115</v>
      </c>
      <c r="N12" s="112" t="s">
        <v>590</v>
      </c>
      <c r="O12" s="46"/>
      <c r="P12" s="46"/>
      <c r="Q12" s="46"/>
      <c r="R12" s="46"/>
      <c r="S12" s="46"/>
      <c r="T12" s="51"/>
      <c r="U12" s="51"/>
      <c r="V12" s="51"/>
      <c r="W12" s="51"/>
      <c r="X12" s="51"/>
      <c r="Y12" s="51"/>
      <c r="Z12" s="51"/>
    </row>
    <row r="13" spans="1:26" ht="195" customHeight="1" x14ac:dyDescent="0.3">
      <c r="A13" s="108" t="s">
        <v>9</v>
      </c>
      <c r="B13" s="108" t="s">
        <v>99</v>
      </c>
      <c r="C13" s="108" t="s">
        <v>10</v>
      </c>
      <c r="D13" s="108">
        <v>1</v>
      </c>
      <c r="E13" s="108" t="s">
        <v>1301</v>
      </c>
      <c r="F13" s="108" t="s">
        <v>1242</v>
      </c>
      <c r="G13" s="108" t="s">
        <v>839</v>
      </c>
      <c r="H13" s="108" t="s">
        <v>921</v>
      </c>
      <c r="I13" s="108" t="s">
        <v>107</v>
      </c>
      <c r="J13" s="108">
        <v>1</v>
      </c>
      <c r="K13" s="111" t="s">
        <v>303</v>
      </c>
      <c r="L13" s="123" t="s">
        <v>1591</v>
      </c>
      <c r="M13" s="108" t="s">
        <v>151</v>
      </c>
      <c r="N13" s="112" t="s">
        <v>590</v>
      </c>
      <c r="O13" s="46" t="s">
        <v>166</v>
      </c>
      <c r="P13" s="46" t="s">
        <v>216</v>
      </c>
      <c r="Q13" s="46"/>
      <c r="R13" s="46"/>
      <c r="S13" s="46"/>
      <c r="T13" s="51"/>
      <c r="U13" s="51"/>
      <c r="V13" s="51"/>
      <c r="W13" s="51"/>
      <c r="X13" s="51"/>
      <c r="Y13" s="51"/>
      <c r="Z13" s="51"/>
    </row>
    <row r="14" spans="1:26" ht="135" x14ac:dyDescent="0.3">
      <c r="A14" s="108" t="s">
        <v>9</v>
      </c>
      <c r="B14" s="108" t="s">
        <v>99</v>
      </c>
      <c r="C14" s="108" t="s">
        <v>10</v>
      </c>
      <c r="D14" s="108">
        <v>1</v>
      </c>
      <c r="E14" s="108" t="s">
        <v>1302</v>
      </c>
      <c r="F14" s="108" t="s">
        <v>1242</v>
      </c>
      <c r="G14" s="108" t="s">
        <v>841</v>
      </c>
      <c r="H14" s="108" t="s">
        <v>922</v>
      </c>
      <c r="I14" s="108" t="s">
        <v>1536</v>
      </c>
      <c r="J14" s="108">
        <v>1</v>
      </c>
      <c r="K14" s="111" t="s">
        <v>337</v>
      </c>
      <c r="L14" s="123" t="s">
        <v>1596</v>
      </c>
      <c r="M14" s="108" t="s">
        <v>116</v>
      </c>
      <c r="N14" s="112" t="s">
        <v>590</v>
      </c>
      <c r="O14" s="46"/>
      <c r="P14" s="46"/>
      <c r="Q14" s="46"/>
      <c r="R14" s="46"/>
      <c r="S14" s="46"/>
      <c r="T14" s="51"/>
      <c r="U14" s="51"/>
      <c r="V14" s="51"/>
      <c r="W14" s="51"/>
      <c r="X14" s="51"/>
      <c r="Y14" s="51"/>
      <c r="Z14" s="51"/>
    </row>
    <row r="15" spans="1:26" ht="135" x14ac:dyDescent="0.3">
      <c r="A15" s="108" t="s">
        <v>9</v>
      </c>
      <c r="B15" s="108" t="s">
        <v>99</v>
      </c>
      <c r="C15" s="108" t="s">
        <v>10</v>
      </c>
      <c r="D15" s="108">
        <v>1</v>
      </c>
      <c r="E15" s="108" t="s">
        <v>1303</v>
      </c>
      <c r="F15" s="108" t="s">
        <v>1242</v>
      </c>
      <c r="G15" s="108" t="s">
        <v>842</v>
      </c>
      <c r="H15" s="108" t="s">
        <v>923</v>
      </c>
      <c r="I15" s="108" t="s">
        <v>1537</v>
      </c>
      <c r="J15" s="108">
        <v>1</v>
      </c>
      <c r="K15" s="111" t="s">
        <v>353</v>
      </c>
      <c r="L15" s="123" t="s">
        <v>175</v>
      </c>
      <c r="M15" s="108" t="s">
        <v>117</v>
      </c>
      <c r="N15" s="112" t="s">
        <v>590</v>
      </c>
      <c r="O15" s="46"/>
      <c r="P15" s="46"/>
      <c r="Q15" s="46"/>
      <c r="R15" s="46"/>
      <c r="S15" s="46"/>
      <c r="T15" s="51"/>
      <c r="U15" s="51"/>
      <c r="V15" s="51"/>
      <c r="W15" s="51"/>
      <c r="X15" s="51"/>
      <c r="Y15" s="51"/>
      <c r="Z15" s="51"/>
    </row>
    <row r="16" spans="1:26" ht="243" x14ac:dyDescent="0.3">
      <c r="A16" s="108" t="s">
        <v>9</v>
      </c>
      <c r="B16" s="108" t="s">
        <v>99</v>
      </c>
      <c r="C16" s="108" t="s">
        <v>10</v>
      </c>
      <c r="D16" s="108">
        <v>1</v>
      </c>
      <c r="E16" s="108" t="s">
        <v>1304</v>
      </c>
      <c r="F16" s="108" t="s">
        <v>1242</v>
      </c>
      <c r="G16" s="108" t="s">
        <v>844</v>
      </c>
      <c r="H16" s="108" t="s">
        <v>1509</v>
      </c>
      <c r="I16" s="108" t="s">
        <v>557</v>
      </c>
      <c r="J16" s="108">
        <v>1</v>
      </c>
      <c r="K16" s="111" t="s">
        <v>331</v>
      </c>
      <c r="L16" s="123" t="s">
        <v>175</v>
      </c>
      <c r="M16" s="108" t="s">
        <v>160</v>
      </c>
      <c r="N16" s="112" t="s">
        <v>590</v>
      </c>
      <c r="O16" s="46"/>
      <c r="P16" s="46"/>
      <c r="Q16" s="46"/>
      <c r="R16" s="46"/>
      <c r="S16" s="46"/>
      <c r="T16" s="51"/>
      <c r="U16" s="51"/>
      <c r="V16" s="51"/>
      <c r="W16" s="51"/>
      <c r="X16" s="51"/>
      <c r="Y16" s="51"/>
      <c r="Z16" s="51"/>
    </row>
    <row r="17" spans="1:26" ht="409.5" x14ac:dyDescent="0.3">
      <c r="A17" s="108" t="s">
        <v>9</v>
      </c>
      <c r="B17" s="108" t="s">
        <v>99</v>
      </c>
      <c r="C17" s="108" t="s">
        <v>10</v>
      </c>
      <c r="D17" s="108">
        <v>1</v>
      </c>
      <c r="E17" s="108" t="s">
        <v>1305</v>
      </c>
      <c r="F17" s="108" t="s">
        <v>1242</v>
      </c>
      <c r="G17" s="108" t="s">
        <v>845</v>
      </c>
      <c r="H17" s="108" t="s">
        <v>860</v>
      </c>
      <c r="I17" s="108" t="s">
        <v>558</v>
      </c>
      <c r="J17" s="108">
        <v>1</v>
      </c>
      <c r="K17" s="111" t="s">
        <v>279</v>
      </c>
      <c r="L17" s="123" t="s">
        <v>175</v>
      </c>
      <c r="M17" s="108" t="s">
        <v>134</v>
      </c>
      <c r="N17" s="112" t="s">
        <v>590</v>
      </c>
      <c r="O17" s="46"/>
      <c r="P17" s="46"/>
      <c r="Q17" s="46"/>
      <c r="R17" s="46"/>
      <c r="S17" s="46"/>
      <c r="T17" s="51"/>
      <c r="U17" s="51"/>
      <c r="V17" s="51"/>
      <c r="W17" s="51"/>
      <c r="X17" s="51"/>
      <c r="Y17" s="51"/>
      <c r="Z17" s="51"/>
    </row>
    <row r="18" spans="1:26" ht="135" x14ac:dyDescent="0.3">
      <c r="A18" s="108" t="s">
        <v>9</v>
      </c>
      <c r="B18" s="108" t="s">
        <v>99</v>
      </c>
      <c r="C18" s="108" t="s">
        <v>10</v>
      </c>
      <c r="D18" s="108">
        <v>1</v>
      </c>
      <c r="E18" s="108" t="s">
        <v>1306</v>
      </c>
      <c r="F18" s="108" t="s">
        <v>1282</v>
      </c>
      <c r="G18" s="108" t="s">
        <v>846</v>
      </c>
      <c r="H18" s="108" t="s">
        <v>924</v>
      </c>
      <c r="I18" s="108" t="s">
        <v>559</v>
      </c>
      <c r="J18" s="108">
        <v>1</v>
      </c>
      <c r="K18" s="111" t="s">
        <v>280</v>
      </c>
      <c r="L18" s="123" t="s">
        <v>1596</v>
      </c>
      <c r="M18" s="108" t="s">
        <v>119</v>
      </c>
      <c r="N18" s="112" t="s">
        <v>590</v>
      </c>
      <c r="O18" s="46"/>
      <c r="P18" s="46"/>
      <c r="Q18" s="46"/>
      <c r="R18" s="46"/>
      <c r="S18" s="46"/>
      <c r="T18" s="51"/>
      <c r="U18" s="51"/>
      <c r="V18" s="51"/>
      <c r="W18" s="51"/>
      <c r="X18" s="51"/>
      <c r="Y18" s="51"/>
      <c r="Z18" s="51"/>
    </row>
    <row r="19" spans="1:26" ht="135" x14ac:dyDescent="0.3">
      <c r="A19" s="108" t="s">
        <v>9</v>
      </c>
      <c r="B19" s="108" t="s">
        <v>99</v>
      </c>
      <c r="C19" s="108" t="s">
        <v>10</v>
      </c>
      <c r="D19" s="108">
        <v>1</v>
      </c>
      <c r="E19" s="108" t="s">
        <v>1307</v>
      </c>
      <c r="F19" s="108" t="s">
        <v>1242</v>
      </c>
      <c r="G19" s="108" t="s">
        <v>847</v>
      </c>
      <c r="H19" s="108" t="s">
        <v>903</v>
      </c>
      <c r="I19" s="108" t="s">
        <v>560</v>
      </c>
      <c r="J19" s="108">
        <v>1</v>
      </c>
      <c r="K19" s="111" t="s">
        <v>285</v>
      </c>
      <c r="L19" s="123" t="s">
        <v>175</v>
      </c>
      <c r="M19" s="108" t="s">
        <v>236</v>
      </c>
      <c r="N19" s="112" t="s">
        <v>590</v>
      </c>
      <c r="O19" s="46" t="s">
        <v>223</v>
      </c>
      <c r="P19" s="46" t="s">
        <v>226</v>
      </c>
      <c r="Q19" s="46"/>
      <c r="R19" s="46"/>
      <c r="S19" s="46"/>
      <c r="T19" s="51"/>
      <c r="U19" s="51"/>
      <c r="V19" s="51"/>
      <c r="W19" s="51"/>
      <c r="X19" s="51"/>
      <c r="Y19" s="51"/>
      <c r="Z19" s="51"/>
    </row>
    <row r="20" spans="1:26" ht="149.25" customHeight="1" x14ac:dyDescent="0.3">
      <c r="A20" s="108" t="s">
        <v>9</v>
      </c>
      <c r="B20" s="108" t="s">
        <v>99</v>
      </c>
      <c r="C20" s="108" t="s">
        <v>10</v>
      </c>
      <c r="D20" s="108">
        <v>1</v>
      </c>
      <c r="E20" s="108" t="s">
        <v>1308</v>
      </c>
      <c r="F20" s="108" t="s">
        <v>1242</v>
      </c>
      <c r="G20" s="108" t="s">
        <v>848</v>
      </c>
      <c r="H20" s="108" t="s">
        <v>856</v>
      </c>
      <c r="I20" s="108" t="s">
        <v>561</v>
      </c>
      <c r="J20" s="108">
        <v>1</v>
      </c>
      <c r="K20" s="111" t="s">
        <v>316</v>
      </c>
      <c r="L20" s="123" t="s">
        <v>175</v>
      </c>
      <c r="M20" s="108" t="s">
        <v>153</v>
      </c>
      <c r="N20" s="112" t="s">
        <v>590</v>
      </c>
      <c r="O20" s="46"/>
      <c r="P20" s="46"/>
      <c r="Q20" s="46"/>
      <c r="R20" s="46"/>
      <c r="S20" s="46"/>
      <c r="T20" s="51"/>
      <c r="U20" s="51"/>
      <c r="V20" s="51"/>
      <c r="W20" s="51"/>
      <c r="X20" s="51"/>
      <c r="Y20" s="51"/>
      <c r="Z20" s="51"/>
    </row>
    <row r="21" spans="1:26" ht="146.25" customHeight="1" x14ac:dyDescent="0.3">
      <c r="A21" s="108" t="s">
        <v>9</v>
      </c>
      <c r="B21" s="108" t="s">
        <v>99</v>
      </c>
      <c r="C21" s="108" t="s">
        <v>10</v>
      </c>
      <c r="D21" s="108">
        <v>1</v>
      </c>
      <c r="E21" s="108" t="s">
        <v>1309</v>
      </c>
      <c r="F21" s="108" t="s">
        <v>1242</v>
      </c>
      <c r="G21" s="108" t="s">
        <v>849</v>
      </c>
      <c r="H21" s="108" t="s">
        <v>925</v>
      </c>
      <c r="I21" s="108" t="s">
        <v>562</v>
      </c>
      <c r="J21" s="108">
        <v>1</v>
      </c>
      <c r="K21" s="111" t="s">
        <v>318</v>
      </c>
      <c r="L21" s="123" t="s">
        <v>175</v>
      </c>
      <c r="M21" s="108" t="s">
        <v>152</v>
      </c>
      <c r="N21" s="112" t="s">
        <v>590</v>
      </c>
      <c r="O21" s="46"/>
      <c r="P21" s="46"/>
      <c r="Q21" s="46"/>
      <c r="R21" s="46"/>
      <c r="S21" s="46"/>
      <c r="T21" s="51"/>
      <c r="U21" s="51"/>
      <c r="V21" s="51"/>
      <c r="W21" s="51"/>
      <c r="X21" s="51"/>
      <c r="Y21" s="51"/>
      <c r="Z21" s="51"/>
    </row>
    <row r="22" spans="1:26" ht="162" x14ac:dyDescent="0.3">
      <c r="A22" s="108" t="s">
        <v>9</v>
      </c>
      <c r="B22" s="108" t="s">
        <v>99</v>
      </c>
      <c r="C22" s="108" t="s">
        <v>10</v>
      </c>
      <c r="D22" s="108">
        <v>1</v>
      </c>
      <c r="E22" s="108" t="s">
        <v>1310</v>
      </c>
      <c r="F22" s="108" t="s">
        <v>1242</v>
      </c>
      <c r="G22" s="108" t="s">
        <v>796</v>
      </c>
      <c r="H22" s="108" t="s">
        <v>857</v>
      </c>
      <c r="I22" s="108" t="s">
        <v>563</v>
      </c>
      <c r="J22" s="108">
        <v>1</v>
      </c>
      <c r="K22" s="111" t="s">
        <v>322</v>
      </c>
      <c r="L22" s="123" t="s">
        <v>1588</v>
      </c>
      <c r="M22" s="108" t="s">
        <v>123</v>
      </c>
      <c r="N22" s="112" t="s">
        <v>590</v>
      </c>
      <c r="O22" s="46"/>
      <c r="P22" s="46"/>
      <c r="Q22" s="46"/>
      <c r="R22" s="46"/>
      <c r="S22" s="46"/>
      <c r="T22" s="51"/>
      <c r="U22" s="51"/>
      <c r="V22" s="51"/>
      <c r="W22" s="51"/>
      <c r="X22" s="51"/>
      <c r="Y22" s="51"/>
      <c r="Z22" s="51"/>
    </row>
    <row r="23" spans="1:26" ht="216" customHeight="1" x14ac:dyDescent="0.3">
      <c r="A23" s="108" t="s">
        <v>9</v>
      </c>
      <c r="B23" s="108" t="s">
        <v>99</v>
      </c>
      <c r="C23" s="108" t="s">
        <v>10</v>
      </c>
      <c r="D23" s="108">
        <v>1</v>
      </c>
      <c r="E23" s="108" t="s">
        <v>1311</v>
      </c>
      <c r="F23" s="108" t="s">
        <v>1242</v>
      </c>
      <c r="G23" s="108" t="s">
        <v>1379</v>
      </c>
      <c r="H23" s="108" t="s">
        <v>908</v>
      </c>
      <c r="I23" s="108" t="s">
        <v>564</v>
      </c>
      <c r="J23" s="108">
        <v>1</v>
      </c>
      <c r="K23" s="111" t="s">
        <v>335</v>
      </c>
      <c r="L23" s="123" t="s">
        <v>175</v>
      </c>
      <c r="M23" s="108" t="s">
        <v>237</v>
      </c>
      <c r="N23" s="112" t="s">
        <v>590</v>
      </c>
      <c r="O23" s="46"/>
      <c r="P23" s="46" t="s">
        <v>218</v>
      </c>
      <c r="Q23" s="46"/>
      <c r="R23" s="46"/>
      <c r="S23" s="46"/>
      <c r="T23" s="51"/>
      <c r="U23" s="51"/>
      <c r="V23" s="51"/>
      <c r="W23" s="51"/>
      <c r="X23" s="51"/>
      <c r="Y23" s="51"/>
      <c r="Z23" s="51"/>
    </row>
    <row r="24" spans="1:26" ht="216" x14ac:dyDescent="0.3">
      <c r="A24" s="108" t="s">
        <v>9</v>
      </c>
      <c r="B24" s="108" t="s">
        <v>99</v>
      </c>
      <c r="C24" s="108" t="s">
        <v>10</v>
      </c>
      <c r="D24" s="108">
        <v>1</v>
      </c>
      <c r="E24" s="108" t="s">
        <v>1312</v>
      </c>
      <c r="F24" s="108" t="s">
        <v>1267</v>
      </c>
      <c r="G24" s="108" t="s">
        <v>1380</v>
      </c>
      <c r="H24" s="108" t="s">
        <v>850</v>
      </c>
      <c r="I24" s="108" t="s">
        <v>851</v>
      </c>
      <c r="J24" s="108">
        <v>1</v>
      </c>
      <c r="K24" s="111" t="s">
        <v>274</v>
      </c>
      <c r="L24" s="123" t="s">
        <v>1587</v>
      </c>
      <c r="M24" s="108" t="s">
        <v>433</v>
      </c>
      <c r="N24" s="112" t="s">
        <v>589</v>
      </c>
      <c r="O24" s="46"/>
      <c r="P24" s="46"/>
      <c r="Q24" s="46"/>
      <c r="R24" s="46"/>
      <c r="S24" s="46"/>
      <c r="T24" s="51"/>
      <c r="U24" s="51"/>
      <c r="V24" s="51"/>
      <c r="W24" s="51"/>
      <c r="X24" s="51"/>
      <c r="Y24" s="51"/>
      <c r="Z24" s="51"/>
    </row>
    <row r="25" spans="1:26" ht="270" x14ac:dyDescent="0.3">
      <c r="A25" s="108" t="s">
        <v>9</v>
      </c>
      <c r="B25" s="108" t="s">
        <v>99</v>
      </c>
      <c r="C25" s="108" t="s">
        <v>10</v>
      </c>
      <c r="D25" s="108">
        <v>1</v>
      </c>
      <c r="E25" s="108" t="s">
        <v>1313</v>
      </c>
      <c r="F25" s="108" t="s">
        <v>1266</v>
      </c>
      <c r="G25" s="108" t="s">
        <v>1381</v>
      </c>
      <c r="H25" s="108" t="s">
        <v>850</v>
      </c>
      <c r="I25" s="108" t="s">
        <v>851</v>
      </c>
      <c r="J25" s="108">
        <v>1</v>
      </c>
      <c r="K25" s="111" t="s">
        <v>325</v>
      </c>
      <c r="L25" s="123" t="s">
        <v>1597</v>
      </c>
      <c r="M25" s="108" t="s">
        <v>434</v>
      </c>
      <c r="N25" s="112" t="s">
        <v>589</v>
      </c>
      <c r="O25" s="46"/>
      <c r="P25" s="46"/>
      <c r="Q25" s="46"/>
      <c r="R25" s="46"/>
      <c r="S25" s="46"/>
      <c r="T25" s="51"/>
      <c r="U25" s="51"/>
      <c r="V25" s="51"/>
      <c r="W25" s="51"/>
      <c r="X25" s="51"/>
      <c r="Y25" s="51"/>
      <c r="Z25" s="51"/>
    </row>
    <row r="26" spans="1:26" customFormat="1" ht="248.25" customHeight="1" x14ac:dyDescent="0.3">
      <c r="A26" s="108" t="s">
        <v>9</v>
      </c>
      <c r="B26" s="108" t="s">
        <v>99</v>
      </c>
      <c r="C26" s="108" t="s">
        <v>10</v>
      </c>
      <c r="D26" s="108">
        <v>1</v>
      </c>
      <c r="E26" s="108" t="s">
        <v>1314</v>
      </c>
      <c r="F26" s="108" t="s">
        <v>938</v>
      </c>
      <c r="G26" s="108" t="s">
        <v>1382</v>
      </c>
      <c r="H26" s="108" t="s">
        <v>514</v>
      </c>
      <c r="I26" s="108" t="s">
        <v>1658</v>
      </c>
      <c r="J26" s="124">
        <v>1</v>
      </c>
      <c r="K26" s="111" t="s">
        <v>975</v>
      </c>
      <c r="L26" s="123" t="s">
        <v>175</v>
      </c>
      <c r="M26" s="108" t="s">
        <v>471</v>
      </c>
      <c r="N26" s="112" t="s">
        <v>589</v>
      </c>
      <c r="O26" s="33"/>
      <c r="P26" s="33"/>
      <c r="Q26" s="33"/>
      <c r="R26" s="97"/>
    </row>
    <row r="27" spans="1:26" ht="243" x14ac:dyDescent="0.3">
      <c r="A27" s="108" t="s">
        <v>9</v>
      </c>
      <c r="B27" s="108" t="s">
        <v>99</v>
      </c>
      <c r="C27" s="108" t="s">
        <v>10</v>
      </c>
      <c r="D27" s="108">
        <v>1</v>
      </c>
      <c r="E27" s="108" t="s">
        <v>1315</v>
      </c>
      <c r="F27" s="108" t="s">
        <v>1259</v>
      </c>
      <c r="G27" s="108" t="s">
        <v>1383</v>
      </c>
      <c r="H27" s="108" t="s">
        <v>863</v>
      </c>
      <c r="I27" s="108" t="s">
        <v>532</v>
      </c>
      <c r="J27" s="108">
        <v>1</v>
      </c>
      <c r="K27" s="111" t="s">
        <v>341</v>
      </c>
      <c r="L27" s="123" t="s">
        <v>175</v>
      </c>
      <c r="M27" s="108" t="s">
        <v>154</v>
      </c>
      <c r="N27" s="112" t="s">
        <v>591</v>
      </c>
      <c r="O27" s="46"/>
      <c r="P27" s="46"/>
      <c r="Q27" s="46"/>
      <c r="R27" s="46"/>
      <c r="S27" s="46"/>
      <c r="T27" s="51"/>
      <c r="U27" s="51"/>
      <c r="V27" s="51"/>
      <c r="W27" s="51"/>
      <c r="X27" s="51"/>
      <c r="Y27" s="51"/>
      <c r="Z27" s="51"/>
    </row>
    <row r="28" spans="1:26" ht="409.5" x14ac:dyDescent="0.3">
      <c r="A28" s="108" t="s">
        <v>9</v>
      </c>
      <c r="B28" s="125" t="s">
        <v>100</v>
      </c>
      <c r="C28" s="108" t="s">
        <v>10</v>
      </c>
      <c r="D28" s="108">
        <v>1</v>
      </c>
      <c r="E28" s="108" t="s">
        <v>1316</v>
      </c>
      <c r="F28" s="108" t="s">
        <v>1260</v>
      </c>
      <c r="G28" s="108" t="s">
        <v>1384</v>
      </c>
      <c r="H28" s="108" t="s">
        <v>891</v>
      </c>
      <c r="I28" s="108" t="s">
        <v>1385</v>
      </c>
      <c r="J28" s="108">
        <v>1</v>
      </c>
      <c r="K28" s="111" t="s">
        <v>307</v>
      </c>
      <c r="L28" s="123" t="s">
        <v>175</v>
      </c>
      <c r="M28" s="108" t="s">
        <v>125</v>
      </c>
      <c r="N28" s="112" t="s">
        <v>576</v>
      </c>
      <c r="O28" s="46" t="s">
        <v>167</v>
      </c>
      <c r="P28" s="46" t="s">
        <v>96</v>
      </c>
      <c r="Q28" s="46"/>
      <c r="R28" s="46"/>
      <c r="S28" s="46"/>
      <c r="T28" s="51"/>
      <c r="U28" s="51"/>
      <c r="V28" s="51"/>
      <c r="W28" s="51"/>
      <c r="X28" s="51"/>
      <c r="Y28" s="51"/>
      <c r="Z28" s="51"/>
    </row>
    <row r="29" spans="1:26" ht="175.5" x14ac:dyDescent="0.3">
      <c r="A29" s="108" t="s">
        <v>9</v>
      </c>
      <c r="B29" s="108" t="s">
        <v>100</v>
      </c>
      <c r="C29" s="108" t="s">
        <v>175</v>
      </c>
      <c r="D29" s="108">
        <v>1</v>
      </c>
      <c r="E29" s="108" t="s">
        <v>1317</v>
      </c>
      <c r="F29" s="108" t="s">
        <v>572</v>
      </c>
      <c r="G29" s="108" t="s">
        <v>781</v>
      </c>
      <c r="H29" s="108" t="s">
        <v>988</v>
      </c>
      <c r="I29" s="108" t="s">
        <v>1538</v>
      </c>
      <c r="J29" s="108">
        <v>0</v>
      </c>
      <c r="K29" s="111"/>
      <c r="L29" s="123" t="s">
        <v>103</v>
      </c>
      <c r="M29" s="108" t="s">
        <v>126</v>
      </c>
      <c r="N29" s="112" t="s">
        <v>576</v>
      </c>
      <c r="O29" s="46"/>
      <c r="P29" s="46"/>
      <c r="Q29" s="46"/>
      <c r="R29" s="46"/>
      <c r="S29" s="46"/>
      <c r="T29" s="51"/>
      <c r="U29" s="51"/>
      <c r="V29" s="51"/>
      <c r="W29" s="51"/>
      <c r="X29" s="51"/>
      <c r="Y29" s="51"/>
      <c r="Z29" s="51"/>
    </row>
    <row r="30" spans="1:26" customFormat="1" ht="140.25" customHeight="1" x14ac:dyDescent="0.3">
      <c r="A30" s="108" t="s">
        <v>9</v>
      </c>
      <c r="B30" s="125" t="s">
        <v>100</v>
      </c>
      <c r="C30" s="108" t="s">
        <v>10</v>
      </c>
      <c r="D30" s="108">
        <v>1</v>
      </c>
      <c r="E30" s="108" t="s">
        <v>1318</v>
      </c>
      <c r="F30" s="108" t="s">
        <v>519</v>
      </c>
      <c r="G30" s="108" t="s">
        <v>524</v>
      </c>
      <c r="H30" s="108" t="s">
        <v>990</v>
      </c>
      <c r="I30" s="108" t="s">
        <v>567</v>
      </c>
      <c r="J30" s="108">
        <v>0</v>
      </c>
      <c r="K30" s="111" t="s">
        <v>305</v>
      </c>
      <c r="L30" s="123" t="s">
        <v>104</v>
      </c>
      <c r="M30" s="108" t="s">
        <v>171</v>
      </c>
      <c r="N30" s="112" t="s">
        <v>576</v>
      </c>
      <c r="O30" s="46" t="s">
        <v>179</v>
      </c>
      <c r="P30" s="46" t="s">
        <v>174</v>
      </c>
      <c r="Q30" s="46"/>
      <c r="R30" s="46"/>
      <c r="S30" s="46"/>
      <c r="T30" s="47"/>
      <c r="U30" s="47"/>
      <c r="V30" s="47"/>
      <c r="W30" s="47"/>
      <c r="X30" s="47"/>
      <c r="Y30" s="47"/>
      <c r="Z30" s="47"/>
    </row>
    <row r="31" spans="1:26" ht="409.5" x14ac:dyDescent="0.3">
      <c r="A31" s="108" t="s">
        <v>9</v>
      </c>
      <c r="B31" s="125" t="s">
        <v>100</v>
      </c>
      <c r="C31" s="108" t="s">
        <v>10</v>
      </c>
      <c r="D31" s="108">
        <v>1</v>
      </c>
      <c r="E31" s="108" t="s">
        <v>1319</v>
      </c>
      <c r="F31" s="108" t="s">
        <v>1243</v>
      </c>
      <c r="G31" s="108" t="s">
        <v>1659</v>
      </c>
      <c r="H31" s="108" t="s">
        <v>892</v>
      </c>
      <c r="I31" s="108" t="s">
        <v>1660</v>
      </c>
      <c r="J31" s="108">
        <v>1</v>
      </c>
      <c r="K31" s="111" t="s">
        <v>273</v>
      </c>
      <c r="L31" s="123" t="s">
        <v>175</v>
      </c>
      <c r="M31" s="108" t="s">
        <v>428</v>
      </c>
      <c r="N31" s="112" t="s">
        <v>576</v>
      </c>
      <c r="O31" s="46"/>
      <c r="P31" s="46" t="s">
        <v>429</v>
      </c>
      <c r="Q31" s="46"/>
      <c r="R31" s="46"/>
      <c r="S31" s="46"/>
      <c r="T31" s="51"/>
      <c r="U31" s="51"/>
      <c r="V31" s="51"/>
      <c r="W31" s="51"/>
      <c r="X31" s="51"/>
      <c r="Y31" s="51"/>
      <c r="Z31" s="51"/>
    </row>
    <row r="32" spans="1:26" ht="189" x14ac:dyDescent="0.3">
      <c r="A32" s="108" t="s">
        <v>9</v>
      </c>
      <c r="B32" s="125" t="s">
        <v>100</v>
      </c>
      <c r="C32" s="108" t="s">
        <v>10</v>
      </c>
      <c r="D32" s="108">
        <v>1</v>
      </c>
      <c r="E32" s="108" t="s">
        <v>1320</v>
      </c>
      <c r="F32" s="108" t="s">
        <v>484</v>
      </c>
      <c r="G32" s="108" t="s">
        <v>571</v>
      </c>
      <c r="H32" s="108" t="s">
        <v>886</v>
      </c>
      <c r="I32" s="108" t="s">
        <v>1539</v>
      </c>
      <c r="J32" s="108">
        <v>1</v>
      </c>
      <c r="K32" s="111" t="s">
        <v>294</v>
      </c>
      <c r="L32" s="123" t="s">
        <v>175</v>
      </c>
      <c r="M32" s="108" t="s">
        <v>155</v>
      </c>
      <c r="N32" s="112" t="s">
        <v>576</v>
      </c>
      <c r="O32" s="46"/>
      <c r="P32" s="46"/>
      <c r="Q32" s="46"/>
      <c r="R32" s="46"/>
      <c r="S32" s="46"/>
      <c r="T32" s="51"/>
      <c r="U32" s="51"/>
      <c r="V32" s="51"/>
      <c r="W32" s="51"/>
      <c r="X32" s="51"/>
      <c r="Y32" s="51"/>
      <c r="Z32" s="51"/>
    </row>
    <row r="33" spans="1:26" ht="103.5" customHeight="1" x14ac:dyDescent="0.3">
      <c r="A33" s="108" t="s">
        <v>9</v>
      </c>
      <c r="B33" s="108" t="s">
        <v>100</v>
      </c>
      <c r="C33" s="108" t="s">
        <v>10</v>
      </c>
      <c r="D33" s="108">
        <v>1</v>
      </c>
      <c r="E33" s="108" t="s">
        <v>1321</v>
      </c>
      <c r="F33" s="108" t="s">
        <v>1261</v>
      </c>
      <c r="G33" s="108" t="s">
        <v>516</v>
      </c>
      <c r="H33" s="108" t="s">
        <v>93</v>
      </c>
      <c r="I33" s="108" t="s">
        <v>520</v>
      </c>
      <c r="J33" s="108">
        <v>0</v>
      </c>
      <c r="K33" s="111"/>
      <c r="L33" s="123" t="s">
        <v>103</v>
      </c>
      <c r="M33" s="108" t="s">
        <v>132</v>
      </c>
      <c r="N33" s="112" t="s">
        <v>576</v>
      </c>
      <c r="O33" s="33"/>
      <c r="P33" s="33" t="s">
        <v>439</v>
      </c>
      <c r="Q33" s="46"/>
      <c r="R33" s="46"/>
      <c r="S33" s="46"/>
      <c r="T33" s="51"/>
      <c r="U33" s="51"/>
      <c r="V33" s="51"/>
      <c r="W33" s="51"/>
      <c r="X33" s="51"/>
      <c r="Y33" s="51"/>
      <c r="Z33" s="51"/>
    </row>
    <row r="34" spans="1:26" ht="256.5" x14ac:dyDescent="0.3">
      <c r="A34" s="108" t="s">
        <v>9</v>
      </c>
      <c r="B34" s="125" t="s">
        <v>100</v>
      </c>
      <c r="C34" s="108" t="s">
        <v>10</v>
      </c>
      <c r="D34" s="108">
        <v>1</v>
      </c>
      <c r="E34" s="108" t="s">
        <v>1322</v>
      </c>
      <c r="F34" s="108" t="s">
        <v>1262</v>
      </c>
      <c r="G34" s="108" t="s">
        <v>852</v>
      </c>
      <c r="H34" s="108" t="s">
        <v>893</v>
      </c>
      <c r="I34" s="108" t="s">
        <v>1386</v>
      </c>
      <c r="J34" s="108">
        <v>1</v>
      </c>
      <c r="K34" s="111" t="s">
        <v>309</v>
      </c>
      <c r="L34" s="123" t="s">
        <v>1598</v>
      </c>
      <c r="M34" s="108" t="s">
        <v>129</v>
      </c>
      <c r="N34" s="112" t="s">
        <v>593</v>
      </c>
      <c r="O34" s="46"/>
      <c r="P34" s="46"/>
      <c r="Q34" s="46"/>
      <c r="R34" s="46"/>
      <c r="S34" s="46"/>
      <c r="T34" s="51"/>
      <c r="U34" s="51"/>
      <c r="V34" s="51"/>
      <c r="W34" s="51"/>
      <c r="X34" s="51"/>
      <c r="Y34" s="51"/>
      <c r="Z34" s="51"/>
    </row>
    <row r="35" spans="1:26" ht="216" x14ac:dyDescent="0.3">
      <c r="A35" s="108" t="s">
        <v>9</v>
      </c>
      <c r="B35" s="125" t="s">
        <v>100</v>
      </c>
      <c r="C35" s="108" t="s">
        <v>10</v>
      </c>
      <c r="D35" s="108">
        <v>1</v>
      </c>
      <c r="E35" s="108" t="s">
        <v>1323</v>
      </c>
      <c r="F35" s="108" t="s">
        <v>942</v>
      </c>
      <c r="G35" s="108" t="s">
        <v>1387</v>
      </c>
      <c r="H35" s="108" t="s">
        <v>894</v>
      </c>
      <c r="I35" s="108" t="s">
        <v>1661</v>
      </c>
      <c r="J35" s="108">
        <v>1</v>
      </c>
      <c r="K35" s="111" t="s">
        <v>270</v>
      </c>
      <c r="L35" s="123" t="s">
        <v>175</v>
      </c>
      <c r="M35" s="121" t="s">
        <v>192</v>
      </c>
      <c r="N35" s="122" t="s">
        <v>594</v>
      </c>
      <c r="O35" s="46"/>
      <c r="P35" s="46"/>
      <c r="Q35" s="46"/>
      <c r="R35" s="46"/>
      <c r="S35" s="46"/>
      <c r="T35" s="51"/>
      <c r="U35" s="51"/>
      <c r="V35" s="51"/>
      <c r="W35" s="51"/>
      <c r="X35" s="51"/>
      <c r="Y35" s="51"/>
      <c r="Z35" s="51"/>
    </row>
    <row r="36" spans="1:26" ht="243" x14ac:dyDescent="0.3">
      <c r="A36" s="108" t="s">
        <v>9</v>
      </c>
      <c r="B36" s="125" t="s">
        <v>100</v>
      </c>
      <c r="C36" s="108" t="s">
        <v>10</v>
      </c>
      <c r="D36" s="108">
        <v>1</v>
      </c>
      <c r="E36" s="108" t="s">
        <v>1333</v>
      </c>
      <c r="F36" s="108" t="s">
        <v>1244</v>
      </c>
      <c r="G36" s="108" t="s">
        <v>1388</v>
      </c>
      <c r="H36" s="108" t="s">
        <v>895</v>
      </c>
      <c r="I36" s="108" t="s">
        <v>1662</v>
      </c>
      <c r="J36" s="108">
        <v>1</v>
      </c>
      <c r="K36" s="111" t="s">
        <v>348</v>
      </c>
      <c r="L36" s="123" t="s">
        <v>175</v>
      </c>
      <c r="M36" s="108" t="s">
        <v>231</v>
      </c>
      <c r="N36" s="112" t="s">
        <v>594</v>
      </c>
      <c r="O36" s="46"/>
      <c r="P36" s="46"/>
      <c r="Q36" s="46"/>
      <c r="R36" s="46"/>
      <c r="S36" s="46"/>
      <c r="T36" s="51"/>
      <c r="U36" s="51"/>
      <c r="V36" s="51"/>
      <c r="W36" s="51"/>
      <c r="X36" s="51"/>
      <c r="Y36" s="51"/>
      <c r="Z36" s="51"/>
    </row>
    <row r="37" spans="1:26" ht="252" customHeight="1" x14ac:dyDescent="0.3">
      <c r="A37" s="108" t="s">
        <v>9</v>
      </c>
      <c r="B37" s="125" t="s">
        <v>100</v>
      </c>
      <c r="C37" s="108" t="s">
        <v>10</v>
      </c>
      <c r="D37" s="108">
        <v>1</v>
      </c>
      <c r="E37" s="108" t="s">
        <v>1325</v>
      </c>
      <c r="F37" s="108" t="s">
        <v>1245</v>
      </c>
      <c r="G37" s="108" t="s">
        <v>853</v>
      </c>
      <c r="H37" s="108" t="s">
        <v>896</v>
      </c>
      <c r="I37" s="108" t="s">
        <v>1510</v>
      </c>
      <c r="J37" s="108">
        <v>1</v>
      </c>
      <c r="K37" s="111" t="s">
        <v>342</v>
      </c>
      <c r="L37" s="123" t="s">
        <v>1599</v>
      </c>
      <c r="M37" s="121" t="s">
        <v>186</v>
      </c>
      <c r="N37" s="122" t="s">
        <v>595</v>
      </c>
      <c r="O37" s="46"/>
      <c r="P37" s="46" t="s">
        <v>191</v>
      </c>
      <c r="Q37" s="46"/>
      <c r="R37" s="46"/>
      <c r="S37" s="46"/>
      <c r="T37" s="51"/>
      <c r="U37" s="51"/>
      <c r="V37" s="51"/>
      <c r="W37" s="51"/>
      <c r="X37" s="51"/>
      <c r="Y37" s="51"/>
      <c r="Z37" s="51"/>
    </row>
    <row r="38" spans="1:26" ht="162" x14ac:dyDescent="0.3">
      <c r="A38" s="108" t="s">
        <v>9</v>
      </c>
      <c r="B38" s="125" t="s">
        <v>100</v>
      </c>
      <c r="C38" s="108" t="s">
        <v>10</v>
      </c>
      <c r="D38" s="108">
        <v>1</v>
      </c>
      <c r="E38" s="108" t="s">
        <v>1326</v>
      </c>
      <c r="F38" s="108" t="s">
        <v>1246</v>
      </c>
      <c r="G38" s="108" t="s">
        <v>1389</v>
      </c>
      <c r="H38" s="108" t="s">
        <v>1390</v>
      </c>
      <c r="I38" s="108" t="s">
        <v>1391</v>
      </c>
      <c r="J38" s="108">
        <v>1</v>
      </c>
      <c r="K38" s="111" t="s">
        <v>976</v>
      </c>
      <c r="L38" s="123" t="s">
        <v>1598</v>
      </c>
      <c r="M38" s="108" t="s">
        <v>444</v>
      </c>
      <c r="N38" s="112" t="s">
        <v>595</v>
      </c>
      <c r="O38" s="46"/>
      <c r="P38" s="46" t="s">
        <v>445</v>
      </c>
      <c r="Q38" s="46"/>
      <c r="R38" s="46"/>
      <c r="S38" s="46"/>
      <c r="T38" s="51"/>
      <c r="U38" s="51"/>
      <c r="V38" s="51"/>
      <c r="W38" s="51"/>
      <c r="X38" s="51"/>
      <c r="Y38" s="51"/>
      <c r="Z38" s="51"/>
    </row>
    <row r="39" spans="1:26" ht="175.5" x14ac:dyDescent="0.3">
      <c r="A39" s="108" t="s">
        <v>9</v>
      </c>
      <c r="B39" s="125" t="s">
        <v>100</v>
      </c>
      <c r="C39" s="108" t="s">
        <v>10</v>
      </c>
      <c r="D39" s="108">
        <v>1</v>
      </c>
      <c r="E39" s="108" t="s">
        <v>1327</v>
      </c>
      <c r="F39" s="108" t="s">
        <v>740</v>
      </c>
      <c r="G39" s="108" t="s">
        <v>1511</v>
      </c>
      <c r="H39" s="108" t="s">
        <v>862</v>
      </c>
      <c r="I39" s="108" t="s">
        <v>566</v>
      </c>
      <c r="J39" s="108">
        <v>1</v>
      </c>
      <c r="K39" s="111" t="s">
        <v>350</v>
      </c>
      <c r="L39" s="123" t="s">
        <v>175</v>
      </c>
      <c r="M39" s="108" t="s">
        <v>156</v>
      </c>
      <c r="N39" s="112" t="s">
        <v>596</v>
      </c>
      <c r="O39" s="46"/>
      <c r="P39" s="46"/>
      <c r="Q39" s="46"/>
      <c r="R39" s="46"/>
      <c r="S39" s="46"/>
      <c r="T39" s="51"/>
      <c r="U39" s="51"/>
      <c r="V39" s="51"/>
      <c r="W39" s="51"/>
      <c r="X39" s="51"/>
      <c r="Y39" s="51"/>
      <c r="Z39" s="51"/>
    </row>
    <row r="40" spans="1:26" ht="199.5" customHeight="1" x14ac:dyDescent="0.3">
      <c r="A40" s="108" t="s">
        <v>9</v>
      </c>
      <c r="B40" s="108" t="s">
        <v>106</v>
      </c>
      <c r="C40" s="108" t="s">
        <v>175</v>
      </c>
      <c r="D40" s="108">
        <v>1</v>
      </c>
      <c r="E40" s="108" t="s">
        <v>1328</v>
      </c>
      <c r="F40" s="108" t="s">
        <v>943</v>
      </c>
      <c r="G40" s="108" t="s">
        <v>855</v>
      </c>
      <c r="H40" s="108" t="s">
        <v>94</v>
      </c>
      <c r="I40" s="108" t="s">
        <v>854</v>
      </c>
      <c r="J40" s="108">
        <v>0</v>
      </c>
      <c r="K40" s="111"/>
      <c r="L40" s="123" t="s">
        <v>103</v>
      </c>
      <c r="M40" s="108" t="s">
        <v>132</v>
      </c>
      <c r="N40" s="112" t="s">
        <v>577</v>
      </c>
      <c r="O40" s="46"/>
      <c r="P40" s="46" t="s">
        <v>97</v>
      </c>
      <c r="Q40" s="46"/>
      <c r="R40" s="46"/>
      <c r="S40" s="46"/>
      <c r="T40" s="51"/>
      <c r="U40" s="51"/>
      <c r="V40" s="51"/>
      <c r="W40" s="51"/>
      <c r="X40" s="51"/>
      <c r="Y40" s="51"/>
      <c r="Z40" s="51"/>
    </row>
    <row r="41" spans="1:26" ht="180" customHeight="1" x14ac:dyDescent="0.3">
      <c r="A41" s="108" t="s">
        <v>9</v>
      </c>
      <c r="B41" s="108" t="s">
        <v>106</v>
      </c>
      <c r="C41" s="108" t="s">
        <v>10</v>
      </c>
      <c r="D41" s="108">
        <v>1</v>
      </c>
      <c r="E41" s="108" t="s">
        <v>1664</v>
      </c>
      <c r="F41" s="108" t="s">
        <v>1663</v>
      </c>
      <c r="G41" s="108" t="s">
        <v>861</v>
      </c>
      <c r="H41" s="108" t="s">
        <v>95</v>
      </c>
      <c r="I41" s="108" t="s">
        <v>770</v>
      </c>
      <c r="J41" s="108">
        <v>0</v>
      </c>
      <c r="K41" s="111" t="s">
        <v>301</v>
      </c>
      <c r="L41" s="123" t="s">
        <v>104</v>
      </c>
      <c r="M41" s="108" t="s">
        <v>215</v>
      </c>
      <c r="N41" s="112" t="s">
        <v>577</v>
      </c>
      <c r="O41" s="46"/>
      <c r="P41" s="46"/>
      <c r="Q41" s="46"/>
      <c r="R41" s="46"/>
      <c r="S41" s="46"/>
      <c r="T41" s="51"/>
      <c r="U41" s="51"/>
      <c r="V41" s="51"/>
      <c r="W41" s="51"/>
      <c r="X41" s="51"/>
      <c r="Y41" s="51"/>
      <c r="Z41" s="51"/>
    </row>
    <row r="42" spans="1:26" ht="180" customHeight="1" x14ac:dyDescent="0.3">
      <c r="A42" s="108" t="s">
        <v>9</v>
      </c>
      <c r="B42" s="108" t="s">
        <v>106</v>
      </c>
      <c r="C42" s="108" t="s">
        <v>10</v>
      </c>
      <c r="D42" s="108">
        <v>1</v>
      </c>
      <c r="E42" s="108" t="s">
        <v>1330</v>
      </c>
      <c r="F42" s="108" t="s">
        <v>1263</v>
      </c>
      <c r="G42" s="108" t="s">
        <v>1512</v>
      </c>
      <c r="H42" s="108" t="s">
        <v>952</v>
      </c>
      <c r="I42" s="108" t="s">
        <v>776</v>
      </c>
      <c r="J42" s="108">
        <v>0</v>
      </c>
      <c r="K42" s="111" t="s">
        <v>977</v>
      </c>
      <c r="L42" s="123" t="s">
        <v>104</v>
      </c>
      <c r="M42" s="108" t="s">
        <v>994</v>
      </c>
      <c r="N42" s="112"/>
      <c r="O42" s="46"/>
      <c r="P42" s="46"/>
      <c r="Q42" s="46"/>
      <c r="R42" s="46"/>
      <c r="S42" s="46"/>
      <c r="T42" s="51"/>
      <c r="U42" s="51"/>
      <c r="V42" s="51"/>
      <c r="W42" s="51"/>
      <c r="X42" s="51"/>
      <c r="Y42" s="51"/>
      <c r="Z42" s="51"/>
    </row>
    <row r="43" spans="1:26" ht="175.5" x14ac:dyDescent="0.3">
      <c r="A43" s="108" t="s">
        <v>9</v>
      </c>
      <c r="B43" s="108" t="s">
        <v>106</v>
      </c>
      <c r="C43" s="108" t="s">
        <v>10</v>
      </c>
      <c r="D43" s="108">
        <v>1</v>
      </c>
      <c r="E43" s="108" t="s">
        <v>1331</v>
      </c>
      <c r="F43" s="108" t="s">
        <v>943</v>
      </c>
      <c r="G43" s="108" t="s">
        <v>1513</v>
      </c>
      <c r="H43" s="108" t="s">
        <v>1392</v>
      </c>
      <c r="I43" s="108" t="s">
        <v>1540</v>
      </c>
      <c r="J43" s="108">
        <v>1</v>
      </c>
      <c r="K43" s="111" t="s">
        <v>479</v>
      </c>
      <c r="L43" s="123" t="s">
        <v>1598</v>
      </c>
      <c r="M43" s="108" t="s">
        <v>440</v>
      </c>
      <c r="N43" s="112" t="s">
        <v>598</v>
      </c>
      <c r="O43" s="46" t="s">
        <v>234</v>
      </c>
      <c r="P43" s="46" t="s">
        <v>456</v>
      </c>
      <c r="Q43" s="46"/>
      <c r="R43" s="46"/>
      <c r="S43" s="46"/>
      <c r="T43" s="51"/>
      <c r="U43" s="51"/>
      <c r="V43" s="51"/>
      <c r="W43" s="51"/>
      <c r="X43" s="51"/>
      <c r="Y43" s="51"/>
      <c r="Z43" s="51"/>
    </row>
    <row r="44" spans="1:26" customFormat="1" ht="108.75" customHeight="1" x14ac:dyDescent="0.3">
      <c r="A44" s="108" t="s">
        <v>9</v>
      </c>
      <c r="B44" s="131" t="s">
        <v>1446</v>
      </c>
      <c r="C44" s="108" t="s">
        <v>10</v>
      </c>
      <c r="D44" s="108">
        <v>1</v>
      </c>
      <c r="E44" s="130" t="s">
        <v>1434</v>
      </c>
      <c r="F44" s="131" t="s">
        <v>23</v>
      </c>
      <c r="G44" s="131" t="s">
        <v>1135</v>
      </c>
      <c r="H44" s="131" t="s">
        <v>1195</v>
      </c>
      <c r="I44" s="131" t="s">
        <v>1136</v>
      </c>
      <c r="J44" s="131">
        <v>0</v>
      </c>
      <c r="K44" s="133"/>
      <c r="L44" s="108" t="s">
        <v>1600</v>
      </c>
      <c r="M44" s="108" t="s">
        <v>132</v>
      </c>
      <c r="N44" s="112" t="s">
        <v>1449</v>
      </c>
      <c r="O44" s="108"/>
      <c r="P44" s="99"/>
      <c r="Q44" s="47"/>
      <c r="R44" s="47"/>
      <c r="S44" s="47"/>
      <c r="T44" s="47"/>
      <c r="U44" s="47"/>
    </row>
    <row r="45" spans="1:26" customFormat="1" ht="99" customHeight="1" x14ac:dyDescent="0.3">
      <c r="A45" s="108" t="s">
        <v>9</v>
      </c>
      <c r="B45" s="131" t="s">
        <v>1446</v>
      </c>
      <c r="C45" s="108" t="s">
        <v>10</v>
      </c>
      <c r="D45" s="108">
        <v>1</v>
      </c>
      <c r="E45" s="130" t="s">
        <v>1435</v>
      </c>
      <c r="F45" s="131" t="s">
        <v>24</v>
      </c>
      <c r="G45" s="131" t="s">
        <v>1138</v>
      </c>
      <c r="H45" s="131" t="s">
        <v>1188</v>
      </c>
      <c r="I45" s="131" t="s">
        <v>1139</v>
      </c>
      <c r="J45" s="131">
        <v>0</v>
      </c>
      <c r="K45" s="133"/>
      <c r="L45" s="108" t="s">
        <v>1600</v>
      </c>
      <c r="M45" s="108" t="s">
        <v>132</v>
      </c>
      <c r="N45" s="112" t="s">
        <v>1450</v>
      </c>
      <c r="O45" s="108"/>
      <c r="P45" s="99"/>
      <c r="Q45" s="47"/>
      <c r="R45" s="47"/>
      <c r="S45" s="47"/>
      <c r="T45" s="47"/>
      <c r="U45" s="47"/>
    </row>
    <row r="46" spans="1:26" customFormat="1" ht="83.25" customHeight="1" x14ac:dyDescent="0.3">
      <c r="A46" s="108" t="s">
        <v>9</v>
      </c>
      <c r="B46" s="131" t="s">
        <v>1446</v>
      </c>
      <c r="C46" s="108" t="s">
        <v>10</v>
      </c>
      <c r="D46" s="108">
        <v>1</v>
      </c>
      <c r="E46" s="130" t="s">
        <v>1436</v>
      </c>
      <c r="F46" s="131" t="s">
        <v>1142</v>
      </c>
      <c r="G46" s="131" t="s">
        <v>1143</v>
      </c>
      <c r="H46" s="131" t="s">
        <v>1189</v>
      </c>
      <c r="I46" s="131" t="s">
        <v>1144</v>
      </c>
      <c r="J46" s="131">
        <v>0</v>
      </c>
      <c r="K46" s="133"/>
      <c r="L46" s="108" t="s">
        <v>1600</v>
      </c>
      <c r="M46" s="108" t="s">
        <v>132</v>
      </c>
      <c r="N46" s="112" t="s">
        <v>1451</v>
      </c>
      <c r="O46" s="108"/>
      <c r="P46" s="99"/>
      <c r="Q46" s="47"/>
      <c r="R46" s="47"/>
      <c r="S46" s="47"/>
      <c r="T46" s="47"/>
      <c r="U46" s="47"/>
    </row>
    <row r="47" spans="1:26" ht="120" customHeight="1" x14ac:dyDescent="0.3">
      <c r="A47" s="108" t="s">
        <v>9</v>
      </c>
      <c r="B47" s="108" t="s">
        <v>997</v>
      </c>
      <c r="C47" s="108" t="s">
        <v>10</v>
      </c>
      <c r="D47" s="108">
        <v>1</v>
      </c>
      <c r="E47" s="130" t="s">
        <v>1437</v>
      </c>
      <c r="F47" s="108" t="s">
        <v>1247</v>
      </c>
      <c r="G47" s="108" t="s">
        <v>995</v>
      </c>
      <c r="H47" s="108" t="s">
        <v>963</v>
      </c>
      <c r="I47" s="108" t="s">
        <v>949</v>
      </c>
      <c r="J47" s="108">
        <v>0</v>
      </c>
      <c r="K47" s="111" t="s">
        <v>1491</v>
      </c>
      <c r="L47" s="126" t="s">
        <v>961</v>
      </c>
      <c r="M47" s="108" t="s">
        <v>994</v>
      </c>
      <c r="N47" s="127" t="s">
        <v>986</v>
      </c>
      <c r="O47" s="49"/>
      <c r="P47" s="49"/>
      <c r="Q47" s="49"/>
      <c r="R47" s="49"/>
      <c r="S47" s="49"/>
      <c r="T47" s="51"/>
      <c r="U47" s="51"/>
      <c r="V47" s="51"/>
      <c r="W47" s="51"/>
      <c r="X47" s="51"/>
      <c r="Y47" s="51"/>
      <c r="Z47" s="51"/>
    </row>
    <row r="48" spans="1:26" ht="120" customHeight="1" x14ac:dyDescent="0.3">
      <c r="A48" s="108" t="s">
        <v>9</v>
      </c>
      <c r="B48" s="108" t="s">
        <v>997</v>
      </c>
      <c r="C48" s="108" t="s">
        <v>10</v>
      </c>
      <c r="D48" s="108">
        <v>1</v>
      </c>
      <c r="E48" s="130" t="s">
        <v>1438</v>
      </c>
      <c r="F48" s="108" t="s">
        <v>947</v>
      </c>
      <c r="G48" s="108" t="s">
        <v>782</v>
      </c>
      <c r="H48" s="108" t="s">
        <v>495</v>
      </c>
      <c r="I48" s="108" t="s">
        <v>950</v>
      </c>
      <c r="J48" s="108">
        <v>0</v>
      </c>
      <c r="K48" s="111"/>
      <c r="L48" s="108" t="s">
        <v>103</v>
      </c>
      <c r="M48" s="108" t="s">
        <v>132</v>
      </c>
      <c r="N48" s="127" t="s">
        <v>1453</v>
      </c>
      <c r="O48" s="49"/>
      <c r="P48" s="49"/>
      <c r="Q48" s="49"/>
      <c r="R48" s="49"/>
      <c r="S48" s="49"/>
      <c r="T48" s="51"/>
      <c r="U48" s="51"/>
      <c r="V48" s="51"/>
      <c r="W48" s="51"/>
      <c r="X48" s="51"/>
      <c r="Y48" s="51"/>
      <c r="Z48" s="51"/>
    </row>
    <row r="49" spans="1:26" x14ac:dyDescent="0.3">
      <c r="A49" s="51"/>
      <c r="B49" s="102"/>
      <c r="C49" s="51"/>
      <c r="E49" s="48"/>
      <c r="F49" s="51"/>
      <c r="G49" s="51"/>
      <c r="H49" s="51"/>
      <c r="I49" s="51"/>
      <c r="J49" s="51"/>
      <c r="K49" s="51"/>
      <c r="L49" s="106"/>
      <c r="M49" s="51"/>
      <c r="N49" s="94"/>
      <c r="O49" s="51"/>
      <c r="P49" s="51"/>
      <c r="Q49" s="51"/>
      <c r="R49" s="51"/>
      <c r="S49" s="51"/>
      <c r="T49" s="51"/>
      <c r="U49" s="51"/>
      <c r="V49" s="51"/>
      <c r="W49" s="51"/>
      <c r="X49" s="51"/>
      <c r="Y49" s="51"/>
      <c r="Z49" s="51"/>
    </row>
    <row r="50" spans="1:26" x14ac:dyDescent="0.3">
      <c r="A50" s="51"/>
      <c r="B50" s="102"/>
      <c r="C50" s="51"/>
      <c r="E50" s="48"/>
      <c r="F50" s="51"/>
      <c r="G50" s="51"/>
      <c r="H50" s="51"/>
      <c r="I50" s="51"/>
      <c r="J50" s="51"/>
      <c r="K50" s="51"/>
      <c r="L50" s="106"/>
      <c r="M50" s="51"/>
      <c r="N50" s="94"/>
      <c r="O50" s="51"/>
      <c r="P50" s="51"/>
      <c r="Q50" s="51"/>
      <c r="R50" s="51"/>
      <c r="S50" s="51"/>
      <c r="T50" s="51"/>
      <c r="U50" s="51"/>
      <c r="V50" s="51"/>
      <c r="W50" s="51"/>
      <c r="X50" s="51"/>
      <c r="Y50" s="51"/>
      <c r="Z50" s="51"/>
    </row>
    <row r="51" spans="1:26" x14ac:dyDescent="0.3">
      <c r="A51" s="51"/>
      <c r="B51" s="102"/>
      <c r="C51" s="51"/>
      <c r="E51" s="48"/>
      <c r="F51" s="51"/>
      <c r="G51" s="51"/>
      <c r="H51" s="51"/>
      <c r="I51" s="51"/>
      <c r="J51" s="51"/>
      <c r="K51" s="51"/>
      <c r="L51" s="106"/>
      <c r="M51" s="51"/>
      <c r="N51" s="94"/>
      <c r="O51" s="51"/>
      <c r="P51" s="51"/>
      <c r="Q51" s="51"/>
      <c r="R51" s="51"/>
      <c r="S51" s="51"/>
      <c r="T51" s="51"/>
      <c r="U51" s="51"/>
      <c r="V51" s="51"/>
      <c r="W51" s="51"/>
      <c r="X51" s="51"/>
      <c r="Y51" s="51"/>
      <c r="Z51" s="51"/>
    </row>
    <row r="52" spans="1:26" x14ac:dyDescent="0.3">
      <c r="A52" s="51"/>
      <c r="B52" s="102"/>
      <c r="C52" s="51"/>
      <c r="E52" s="48"/>
      <c r="F52" s="51"/>
      <c r="G52" s="51"/>
      <c r="H52" s="51"/>
      <c r="I52" s="51"/>
      <c r="J52" s="51"/>
      <c r="K52" s="51"/>
      <c r="L52" s="106"/>
      <c r="M52" s="51"/>
      <c r="N52" s="94"/>
      <c r="O52" s="51"/>
      <c r="P52" s="51"/>
      <c r="Q52" s="51"/>
      <c r="R52" s="51"/>
      <c r="S52" s="51"/>
      <c r="T52" s="51"/>
      <c r="U52" s="51"/>
      <c r="V52" s="51"/>
      <c r="W52" s="51"/>
      <c r="X52" s="51"/>
      <c r="Y52" s="51"/>
      <c r="Z52" s="51"/>
    </row>
    <row r="53" spans="1:26" x14ac:dyDescent="0.3">
      <c r="A53" s="51"/>
      <c r="B53" s="102"/>
      <c r="C53" s="51"/>
      <c r="E53" s="48"/>
      <c r="F53" s="51"/>
      <c r="G53" s="51"/>
      <c r="H53" s="51"/>
      <c r="I53" s="51"/>
      <c r="J53" s="51"/>
      <c r="K53" s="51"/>
      <c r="L53" s="106"/>
      <c r="M53" s="51"/>
      <c r="N53" s="94"/>
      <c r="O53" s="51"/>
      <c r="P53" s="51"/>
      <c r="Q53" s="51"/>
      <c r="R53" s="51"/>
      <c r="S53" s="51"/>
      <c r="T53" s="51"/>
      <c r="U53" s="51"/>
      <c r="V53" s="51"/>
      <c r="W53" s="51"/>
      <c r="X53" s="51"/>
      <c r="Y53" s="51"/>
      <c r="Z53" s="51"/>
    </row>
    <row r="54" spans="1:26" x14ac:dyDescent="0.3">
      <c r="A54" s="51"/>
      <c r="B54" s="102"/>
      <c r="C54" s="51"/>
      <c r="E54" s="48"/>
      <c r="F54" s="51"/>
      <c r="G54" s="51"/>
      <c r="H54" s="51"/>
      <c r="I54" s="51"/>
      <c r="J54" s="51"/>
      <c r="K54" s="51"/>
      <c r="L54" s="106"/>
      <c r="M54" s="51"/>
      <c r="N54" s="94"/>
      <c r="O54" s="51"/>
      <c r="P54" s="51"/>
      <c r="Q54" s="51"/>
      <c r="R54" s="51"/>
      <c r="S54" s="51"/>
      <c r="T54" s="51"/>
      <c r="U54" s="51"/>
      <c r="V54" s="51"/>
      <c r="W54" s="51"/>
      <c r="X54" s="51"/>
      <c r="Y54" s="51"/>
      <c r="Z54" s="51"/>
    </row>
    <row r="55" spans="1:26" x14ac:dyDescent="0.3">
      <c r="A55" s="51"/>
      <c r="B55" s="102"/>
      <c r="C55" s="51"/>
      <c r="E55" s="51"/>
      <c r="F55" s="51"/>
      <c r="G55" s="51"/>
      <c r="H55" s="51"/>
      <c r="I55" s="51"/>
      <c r="J55" s="51"/>
      <c r="K55" s="51"/>
      <c r="L55" s="106"/>
      <c r="M55" s="51"/>
      <c r="N55" s="94"/>
      <c r="O55" s="51"/>
      <c r="P55" s="51"/>
      <c r="Q55" s="51"/>
      <c r="R55" s="51"/>
      <c r="S55" s="51"/>
      <c r="T55" s="51"/>
      <c r="U55" s="51"/>
      <c r="V55" s="51"/>
      <c r="W55" s="51"/>
      <c r="X55" s="51"/>
      <c r="Y55" s="51"/>
      <c r="Z55" s="51"/>
    </row>
    <row r="56" spans="1:26" x14ac:dyDescent="0.3">
      <c r="A56" s="51"/>
      <c r="B56" s="102"/>
      <c r="C56" s="51"/>
      <c r="E56" s="51"/>
      <c r="F56" s="51"/>
      <c r="G56" s="51"/>
      <c r="H56" s="51"/>
      <c r="I56" s="51"/>
      <c r="J56" s="51"/>
      <c r="K56" s="51"/>
      <c r="L56" s="106"/>
      <c r="M56" s="51"/>
      <c r="N56" s="94"/>
      <c r="O56" s="51"/>
      <c r="P56" s="51"/>
      <c r="Q56" s="51"/>
      <c r="R56" s="51"/>
      <c r="S56" s="51"/>
      <c r="T56" s="51"/>
      <c r="U56" s="51"/>
      <c r="V56" s="51"/>
      <c r="W56" s="51"/>
      <c r="X56" s="51"/>
      <c r="Y56" s="51"/>
      <c r="Z56" s="51"/>
    </row>
    <row r="57" spans="1:26" x14ac:dyDescent="0.3">
      <c r="A57" s="51"/>
      <c r="B57" s="102"/>
      <c r="C57" s="51"/>
      <c r="E57" s="51"/>
      <c r="F57" s="51"/>
      <c r="G57" s="51"/>
      <c r="H57" s="51"/>
      <c r="I57" s="51"/>
      <c r="J57" s="51"/>
      <c r="K57" s="51"/>
      <c r="L57" s="106"/>
      <c r="M57" s="51"/>
      <c r="N57" s="94"/>
      <c r="O57" s="51"/>
      <c r="P57" s="51"/>
      <c r="Q57" s="51"/>
      <c r="R57" s="51"/>
      <c r="S57" s="51"/>
      <c r="T57" s="51"/>
      <c r="U57" s="51"/>
      <c r="V57" s="51"/>
      <c r="W57" s="51"/>
      <c r="X57" s="51"/>
      <c r="Y57" s="51"/>
      <c r="Z57" s="51"/>
    </row>
    <row r="58" spans="1:26" x14ac:dyDescent="0.3">
      <c r="A58" s="51"/>
      <c r="B58" s="102"/>
      <c r="C58" s="51"/>
      <c r="E58" s="51"/>
      <c r="F58" s="51"/>
      <c r="G58" s="51"/>
      <c r="H58" s="51"/>
      <c r="I58" s="51"/>
      <c r="J58" s="51"/>
      <c r="K58" s="51"/>
      <c r="L58" s="106"/>
      <c r="M58" s="51"/>
      <c r="N58" s="94"/>
      <c r="O58" s="51"/>
      <c r="P58" s="51"/>
      <c r="Q58" s="51"/>
      <c r="R58" s="51"/>
      <c r="S58" s="51"/>
      <c r="T58" s="51"/>
      <c r="U58" s="51"/>
      <c r="V58" s="51"/>
      <c r="W58" s="51"/>
      <c r="X58" s="51"/>
      <c r="Y58" s="51"/>
      <c r="Z58" s="51"/>
    </row>
    <row r="59" spans="1:26" x14ac:dyDescent="0.3">
      <c r="A59" s="51"/>
      <c r="B59" s="102"/>
      <c r="C59" s="51"/>
      <c r="E59" s="51"/>
      <c r="F59" s="51"/>
      <c r="G59" s="51"/>
      <c r="H59" s="51"/>
      <c r="I59" s="51"/>
      <c r="J59" s="51"/>
      <c r="K59" s="51"/>
      <c r="L59" s="106"/>
      <c r="M59" s="51"/>
      <c r="N59" s="94"/>
      <c r="O59" s="51"/>
      <c r="P59" s="51"/>
      <c r="Q59" s="51"/>
      <c r="R59" s="51"/>
      <c r="S59" s="51"/>
      <c r="T59" s="51"/>
      <c r="U59" s="51"/>
      <c r="V59" s="51"/>
      <c r="W59" s="51"/>
      <c r="X59" s="51"/>
      <c r="Y59" s="51"/>
      <c r="Z59" s="51"/>
    </row>
    <row r="60" spans="1:26" x14ac:dyDescent="0.3">
      <c r="A60" s="51"/>
      <c r="B60" s="102"/>
      <c r="C60" s="51"/>
      <c r="E60" s="51"/>
      <c r="F60" s="51"/>
      <c r="G60" s="51"/>
      <c r="H60" s="51"/>
      <c r="I60" s="51"/>
      <c r="J60" s="51"/>
      <c r="K60" s="51"/>
      <c r="L60" s="106"/>
      <c r="M60" s="51"/>
      <c r="N60" s="94"/>
      <c r="O60" s="51"/>
      <c r="P60" s="51"/>
      <c r="Q60" s="51"/>
      <c r="R60" s="51"/>
      <c r="S60" s="51"/>
      <c r="T60" s="51"/>
      <c r="U60" s="51"/>
      <c r="V60" s="51"/>
      <c r="W60" s="51"/>
      <c r="X60" s="51"/>
      <c r="Y60" s="51"/>
      <c r="Z60" s="51"/>
    </row>
    <row r="61" spans="1:26" x14ac:dyDescent="0.3">
      <c r="A61" s="51"/>
      <c r="B61" s="102"/>
      <c r="C61" s="51"/>
      <c r="E61" s="51"/>
      <c r="F61" s="51"/>
      <c r="G61" s="51"/>
      <c r="H61" s="51"/>
      <c r="I61" s="51"/>
      <c r="J61" s="51"/>
      <c r="K61" s="51"/>
      <c r="L61" s="106"/>
      <c r="M61" s="51"/>
      <c r="N61" s="94"/>
      <c r="O61" s="51"/>
      <c r="P61" s="51"/>
      <c r="Q61" s="51"/>
      <c r="R61" s="51"/>
      <c r="S61" s="51"/>
      <c r="T61" s="51"/>
      <c r="U61" s="51"/>
      <c r="V61" s="51"/>
      <c r="W61" s="51"/>
      <c r="X61" s="51"/>
      <c r="Y61" s="51"/>
      <c r="Z61" s="51"/>
    </row>
    <row r="62" spans="1:26" x14ac:dyDescent="0.3">
      <c r="A62" s="51"/>
      <c r="B62" s="102"/>
      <c r="C62" s="51"/>
      <c r="E62" s="51"/>
      <c r="F62" s="51"/>
      <c r="G62" s="51"/>
      <c r="H62" s="51"/>
      <c r="I62" s="51"/>
      <c r="J62" s="51"/>
      <c r="K62" s="51"/>
      <c r="L62" s="106"/>
      <c r="M62" s="51"/>
      <c r="N62" s="94"/>
      <c r="O62" s="51"/>
      <c r="P62" s="51"/>
      <c r="Q62" s="51"/>
      <c r="R62" s="51"/>
      <c r="S62" s="51"/>
      <c r="T62" s="51"/>
      <c r="U62" s="51"/>
      <c r="V62" s="51"/>
      <c r="W62" s="51"/>
      <c r="X62" s="51"/>
      <c r="Y62" s="51"/>
      <c r="Z62" s="51"/>
    </row>
    <row r="63" spans="1:26" x14ac:dyDescent="0.3">
      <c r="A63" s="51"/>
      <c r="B63" s="102"/>
      <c r="C63" s="51"/>
      <c r="E63" s="51"/>
      <c r="F63" s="51"/>
      <c r="G63" s="51"/>
      <c r="H63" s="51"/>
      <c r="I63" s="51"/>
      <c r="J63" s="51"/>
      <c r="K63" s="51"/>
      <c r="L63" s="106"/>
      <c r="M63" s="51"/>
      <c r="N63" s="94"/>
      <c r="O63" s="51"/>
      <c r="P63" s="51"/>
      <c r="Q63" s="51"/>
      <c r="R63" s="51"/>
      <c r="S63" s="51"/>
      <c r="T63" s="51"/>
      <c r="U63" s="51"/>
      <c r="V63" s="51"/>
      <c r="W63" s="51"/>
      <c r="X63" s="51"/>
      <c r="Y63" s="51"/>
      <c r="Z63" s="51"/>
    </row>
    <row r="64" spans="1:26" x14ac:dyDescent="0.3">
      <c r="A64" s="51"/>
      <c r="B64" s="102"/>
      <c r="C64" s="51"/>
      <c r="E64" s="51"/>
      <c r="F64" s="51"/>
      <c r="G64" s="51"/>
      <c r="H64" s="51"/>
      <c r="I64" s="51"/>
      <c r="J64" s="51"/>
      <c r="K64" s="51"/>
      <c r="L64" s="106"/>
      <c r="M64" s="51"/>
      <c r="N64" s="94"/>
      <c r="O64" s="51"/>
      <c r="P64" s="51"/>
      <c r="Q64" s="51"/>
      <c r="R64" s="51"/>
      <c r="S64" s="51"/>
      <c r="T64" s="51"/>
      <c r="U64" s="51"/>
      <c r="V64" s="51"/>
      <c r="W64" s="51"/>
      <c r="X64" s="51"/>
      <c r="Y64" s="51"/>
      <c r="Z64" s="51"/>
    </row>
    <row r="65" spans="1:26" x14ac:dyDescent="0.3">
      <c r="A65" s="51"/>
      <c r="B65" s="102"/>
      <c r="C65" s="51"/>
      <c r="E65" s="51"/>
      <c r="F65" s="51"/>
      <c r="G65" s="51"/>
      <c r="H65" s="51"/>
      <c r="I65" s="51"/>
      <c r="J65" s="51"/>
      <c r="K65" s="51"/>
      <c r="L65" s="106"/>
      <c r="M65" s="51"/>
      <c r="N65" s="94"/>
      <c r="O65" s="51"/>
      <c r="P65" s="51"/>
      <c r="Q65" s="51"/>
      <c r="R65" s="51"/>
      <c r="S65" s="51"/>
      <c r="T65" s="51"/>
      <c r="U65" s="51"/>
      <c r="V65" s="51"/>
      <c r="W65" s="51"/>
      <c r="X65" s="51"/>
      <c r="Y65" s="51"/>
      <c r="Z65" s="51"/>
    </row>
    <row r="66" spans="1:26" x14ac:dyDescent="0.3">
      <c r="A66" s="51"/>
      <c r="B66" s="102"/>
      <c r="C66" s="51"/>
      <c r="E66" s="51"/>
      <c r="F66" s="51"/>
      <c r="G66" s="51"/>
      <c r="H66" s="51"/>
      <c r="I66" s="51"/>
      <c r="J66" s="51"/>
      <c r="K66" s="51"/>
      <c r="L66" s="106"/>
      <c r="M66" s="51"/>
      <c r="N66" s="94"/>
      <c r="O66" s="51"/>
      <c r="P66" s="51"/>
      <c r="Q66" s="51"/>
      <c r="R66" s="51"/>
      <c r="S66" s="51"/>
      <c r="T66" s="51"/>
      <c r="U66" s="51"/>
      <c r="V66" s="51"/>
      <c r="W66" s="51"/>
      <c r="X66" s="51"/>
      <c r="Y66" s="51"/>
      <c r="Z66" s="51"/>
    </row>
    <row r="67" spans="1:26" x14ac:dyDescent="0.3">
      <c r="A67" s="51"/>
      <c r="B67" s="102"/>
      <c r="C67" s="51"/>
      <c r="E67" s="51"/>
      <c r="F67" s="51"/>
      <c r="G67" s="51"/>
      <c r="H67" s="51"/>
      <c r="I67" s="51"/>
      <c r="J67" s="51"/>
      <c r="K67" s="51"/>
      <c r="L67" s="106"/>
      <c r="M67" s="51"/>
      <c r="N67" s="94"/>
      <c r="O67" s="51"/>
      <c r="P67" s="51"/>
      <c r="Q67" s="51"/>
      <c r="R67" s="51"/>
      <c r="S67" s="51"/>
      <c r="T67" s="51"/>
      <c r="U67" s="51"/>
      <c r="V67" s="51"/>
      <c r="W67" s="51"/>
      <c r="X67" s="51"/>
      <c r="Y67" s="51"/>
      <c r="Z67" s="51"/>
    </row>
    <row r="68" spans="1:26" x14ac:dyDescent="0.3">
      <c r="A68" s="51"/>
      <c r="B68" s="102"/>
      <c r="C68" s="51"/>
      <c r="E68" s="51"/>
      <c r="F68" s="51"/>
      <c r="G68" s="51"/>
      <c r="H68" s="51"/>
      <c r="I68" s="51"/>
      <c r="J68" s="51"/>
      <c r="K68" s="51"/>
      <c r="L68" s="106"/>
      <c r="M68" s="51"/>
      <c r="N68" s="94"/>
      <c r="O68" s="51"/>
      <c r="P68" s="51"/>
      <c r="Q68" s="51"/>
      <c r="R68" s="51"/>
      <c r="S68" s="51"/>
      <c r="T68" s="51"/>
      <c r="U68" s="51"/>
      <c r="V68" s="51"/>
      <c r="W68" s="51"/>
      <c r="X68" s="51"/>
      <c r="Y68" s="51"/>
      <c r="Z68" s="51"/>
    </row>
    <row r="69" spans="1:26" x14ac:dyDescent="0.3">
      <c r="A69" s="51"/>
      <c r="B69" s="102"/>
      <c r="C69" s="51"/>
      <c r="E69" s="51"/>
      <c r="F69" s="51"/>
      <c r="G69" s="51"/>
      <c r="H69" s="51"/>
      <c r="I69" s="51"/>
      <c r="J69" s="51"/>
      <c r="K69" s="51"/>
      <c r="L69" s="106"/>
      <c r="M69" s="51"/>
      <c r="N69" s="94"/>
      <c r="O69" s="51"/>
      <c r="P69" s="51"/>
      <c r="Q69" s="51"/>
      <c r="R69" s="51"/>
      <c r="S69" s="51"/>
      <c r="T69" s="51"/>
      <c r="U69" s="51"/>
      <c r="V69" s="51"/>
      <c r="W69" s="51"/>
      <c r="X69" s="51"/>
      <c r="Y69" s="51"/>
      <c r="Z69" s="51"/>
    </row>
    <row r="70" spans="1:26" x14ac:dyDescent="0.3">
      <c r="A70" s="51"/>
      <c r="B70" s="102"/>
      <c r="C70" s="51"/>
      <c r="E70" s="51"/>
      <c r="F70" s="51"/>
      <c r="G70" s="51"/>
      <c r="H70" s="51"/>
      <c r="I70" s="51"/>
      <c r="J70" s="51"/>
      <c r="K70" s="51"/>
      <c r="L70" s="106"/>
      <c r="M70" s="51"/>
      <c r="N70" s="94"/>
      <c r="O70" s="51"/>
      <c r="P70" s="51"/>
      <c r="Q70" s="51"/>
      <c r="R70" s="51"/>
      <c r="S70" s="51"/>
      <c r="T70" s="51"/>
      <c r="U70" s="51"/>
      <c r="V70" s="51"/>
      <c r="W70" s="51"/>
      <c r="X70" s="51"/>
      <c r="Y70" s="51"/>
      <c r="Z70" s="51"/>
    </row>
    <row r="71" spans="1:26" x14ac:dyDescent="0.3">
      <c r="A71" s="51"/>
      <c r="B71" s="102"/>
      <c r="C71" s="51"/>
      <c r="E71" s="51"/>
      <c r="F71" s="51"/>
      <c r="G71" s="51"/>
      <c r="H71" s="51"/>
      <c r="I71" s="51"/>
      <c r="J71" s="51"/>
      <c r="K71" s="51"/>
      <c r="L71" s="106"/>
      <c r="M71" s="51"/>
      <c r="N71" s="94"/>
      <c r="O71" s="51"/>
      <c r="P71" s="51"/>
      <c r="Q71" s="51"/>
      <c r="R71" s="51"/>
      <c r="S71" s="51"/>
      <c r="T71" s="51"/>
      <c r="U71" s="51"/>
      <c r="V71" s="51"/>
      <c r="W71" s="51"/>
      <c r="X71" s="51"/>
      <c r="Y71" s="51"/>
      <c r="Z71" s="51"/>
    </row>
    <row r="72" spans="1:26" x14ac:dyDescent="0.3">
      <c r="A72" s="51"/>
      <c r="B72" s="102"/>
      <c r="C72" s="51"/>
      <c r="E72" s="51"/>
      <c r="F72" s="51"/>
      <c r="G72" s="51"/>
      <c r="H72" s="51"/>
      <c r="I72" s="51"/>
      <c r="J72" s="51"/>
      <c r="K72" s="51"/>
      <c r="L72" s="106"/>
      <c r="M72" s="51"/>
      <c r="N72" s="94"/>
      <c r="O72" s="51"/>
      <c r="P72" s="51"/>
      <c r="Q72" s="51"/>
      <c r="R72" s="51"/>
      <c r="S72" s="51"/>
      <c r="T72" s="51"/>
      <c r="U72" s="51"/>
      <c r="V72" s="51"/>
      <c r="W72" s="51"/>
      <c r="X72" s="51"/>
      <c r="Y72" s="51"/>
      <c r="Z72" s="51"/>
    </row>
    <row r="73" spans="1:26" x14ac:dyDescent="0.3">
      <c r="A73" s="51"/>
      <c r="B73" s="102"/>
      <c r="C73" s="51"/>
      <c r="E73" s="51"/>
      <c r="F73" s="51"/>
      <c r="G73" s="51"/>
      <c r="H73" s="51"/>
      <c r="I73" s="51"/>
      <c r="J73" s="51"/>
      <c r="K73" s="51"/>
      <c r="L73" s="106"/>
      <c r="M73" s="51"/>
      <c r="N73" s="94"/>
      <c r="O73" s="51"/>
      <c r="P73" s="51"/>
      <c r="Q73" s="51"/>
      <c r="R73" s="51"/>
      <c r="S73" s="51"/>
      <c r="T73" s="51"/>
      <c r="U73" s="51"/>
      <c r="V73" s="51"/>
      <c r="W73" s="51"/>
      <c r="X73" s="51"/>
      <c r="Y73" s="51"/>
      <c r="Z73" s="51"/>
    </row>
    <row r="74" spans="1:26" x14ac:dyDescent="0.3">
      <c r="A74" s="51"/>
      <c r="B74" s="102"/>
      <c r="C74" s="51"/>
      <c r="E74" s="51"/>
      <c r="F74" s="51"/>
      <c r="G74" s="51"/>
      <c r="H74" s="51"/>
      <c r="I74" s="51"/>
      <c r="J74" s="51"/>
      <c r="K74" s="51"/>
      <c r="L74" s="106"/>
      <c r="M74" s="51"/>
      <c r="N74" s="94"/>
      <c r="O74" s="51"/>
      <c r="P74" s="51"/>
      <c r="Q74" s="51"/>
      <c r="R74" s="51"/>
      <c r="S74" s="51"/>
      <c r="T74" s="51"/>
      <c r="U74" s="51"/>
      <c r="V74" s="51"/>
      <c r="W74" s="51"/>
      <c r="X74" s="51"/>
      <c r="Y74" s="51"/>
      <c r="Z74" s="51"/>
    </row>
    <row r="75" spans="1:26" x14ac:dyDescent="0.3">
      <c r="A75" s="51"/>
      <c r="B75" s="102"/>
      <c r="C75" s="51"/>
      <c r="E75" s="51"/>
      <c r="F75" s="51"/>
      <c r="G75" s="51"/>
      <c r="H75" s="51"/>
      <c r="I75" s="51"/>
      <c r="J75" s="51"/>
      <c r="K75" s="51"/>
      <c r="L75" s="106"/>
      <c r="M75" s="51"/>
      <c r="N75" s="94"/>
      <c r="O75" s="51"/>
      <c r="P75" s="51"/>
      <c r="Q75" s="51"/>
      <c r="R75" s="51"/>
      <c r="S75" s="51"/>
      <c r="T75" s="51"/>
      <c r="U75" s="51"/>
      <c r="V75" s="51"/>
      <c r="W75" s="51"/>
      <c r="X75" s="51"/>
      <c r="Y75" s="51"/>
      <c r="Z75" s="51"/>
    </row>
    <row r="76" spans="1:26" x14ac:dyDescent="0.3">
      <c r="A76" s="51"/>
      <c r="B76" s="102"/>
      <c r="C76" s="51"/>
      <c r="E76" s="51"/>
      <c r="F76" s="51"/>
      <c r="G76" s="51"/>
      <c r="H76" s="51"/>
      <c r="I76" s="51"/>
      <c r="J76" s="51"/>
      <c r="K76" s="51"/>
      <c r="L76" s="106"/>
      <c r="M76" s="51"/>
      <c r="N76" s="94"/>
      <c r="O76" s="51"/>
      <c r="P76" s="51"/>
      <c r="Q76" s="51"/>
      <c r="R76" s="51"/>
      <c r="S76" s="51"/>
      <c r="T76" s="51"/>
      <c r="U76" s="51"/>
      <c r="V76" s="51"/>
      <c r="W76" s="51"/>
      <c r="X76" s="51"/>
      <c r="Y76" s="51"/>
      <c r="Z76" s="51"/>
    </row>
    <row r="77" spans="1:26" x14ac:dyDescent="0.3">
      <c r="A77" s="51"/>
      <c r="B77" s="102"/>
      <c r="C77" s="51"/>
      <c r="E77" s="51"/>
      <c r="F77" s="51"/>
      <c r="G77" s="51"/>
      <c r="H77" s="51"/>
      <c r="I77" s="51"/>
      <c r="J77" s="51"/>
      <c r="K77" s="51"/>
      <c r="L77" s="106"/>
      <c r="M77" s="51"/>
      <c r="N77" s="94"/>
      <c r="O77" s="51"/>
      <c r="P77" s="51"/>
      <c r="Q77" s="51"/>
      <c r="R77" s="51"/>
      <c r="S77" s="51"/>
      <c r="T77" s="51"/>
      <c r="U77" s="51"/>
      <c r="V77" s="51"/>
      <c r="W77" s="51"/>
      <c r="X77" s="51"/>
      <c r="Y77" s="51"/>
      <c r="Z77" s="51"/>
    </row>
    <row r="78" spans="1:26" x14ac:dyDescent="0.3">
      <c r="A78" s="51"/>
      <c r="B78" s="102"/>
      <c r="C78" s="51"/>
      <c r="E78" s="51"/>
      <c r="F78" s="51"/>
      <c r="G78" s="51"/>
      <c r="H78" s="51"/>
      <c r="I78" s="51"/>
      <c r="J78" s="51"/>
      <c r="K78" s="51"/>
      <c r="L78" s="106"/>
      <c r="M78" s="51"/>
      <c r="N78" s="94"/>
      <c r="O78" s="51"/>
      <c r="P78" s="51"/>
      <c r="Q78" s="51"/>
      <c r="R78" s="51"/>
      <c r="S78" s="51"/>
      <c r="T78" s="51"/>
      <c r="U78" s="51"/>
      <c r="V78" s="51"/>
      <c r="W78" s="51"/>
      <c r="X78" s="51"/>
      <c r="Y78" s="51"/>
      <c r="Z78" s="51"/>
    </row>
    <row r="79" spans="1:26" x14ac:dyDescent="0.3">
      <c r="A79" s="51"/>
      <c r="B79" s="102"/>
      <c r="C79" s="51"/>
      <c r="E79" s="51"/>
      <c r="F79" s="51"/>
      <c r="G79" s="51"/>
      <c r="H79" s="51"/>
      <c r="I79" s="51"/>
      <c r="J79" s="51"/>
      <c r="K79" s="51"/>
      <c r="L79" s="106"/>
      <c r="M79" s="51"/>
      <c r="N79" s="94"/>
      <c r="O79" s="51"/>
      <c r="P79" s="51"/>
      <c r="Q79" s="51"/>
      <c r="R79" s="51"/>
      <c r="S79" s="51"/>
      <c r="T79" s="51"/>
      <c r="U79" s="51"/>
      <c r="V79" s="51"/>
      <c r="W79" s="51"/>
      <c r="X79" s="51"/>
      <c r="Y79" s="51"/>
      <c r="Z79" s="51"/>
    </row>
    <row r="80" spans="1:26" x14ac:dyDescent="0.3">
      <c r="A80" s="51"/>
      <c r="B80" s="102"/>
      <c r="C80" s="51"/>
      <c r="E80" s="51"/>
      <c r="F80" s="51"/>
      <c r="G80" s="51"/>
      <c r="H80" s="51"/>
      <c r="I80" s="51"/>
      <c r="J80" s="51"/>
      <c r="K80" s="51"/>
      <c r="L80" s="106"/>
      <c r="M80" s="51"/>
      <c r="N80" s="94"/>
      <c r="O80" s="51"/>
      <c r="P80" s="51"/>
      <c r="Q80" s="51"/>
      <c r="R80" s="51"/>
      <c r="S80" s="51"/>
      <c r="T80" s="51"/>
      <c r="U80" s="51"/>
      <c r="V80" s="51"/>
      <c r="W80" s="51"/>
      <c r="X80" s="51"/>
      <c r="Y80" s="51"/>
      <c r="Z80" s="51"/>
    </row>
    <row r="81" spans="1:26" x14ac:dyDescent="0.3">
      <c r="A81" s="51"/>
      <c r="B81" s="102"/>
      <c r="C81" s="51"/>
      <c r="E81" s="51"/>
      <c r="F81" s="51"/>
      <c r="G81" s="51"/>
      <c r="H81" s="51"/>
      <c r="I81" s="51"/>
      <c r="J81" s="51"/>
      <c r="K81" s="51"/>
      <c r="L81" s="106"/>
      <c r="M81" s="51"/>
      <c r="N81" s="94"/>
      <c r="O81" s="51"/>
      <c r="P81" s="51"/>
      <c r="Q81" s="51"/>
      <c r="R81" s="51"/>
      <c r="S81" s="51"/>
      <c r="T81" s="51"/>
      <c r="U81" s="51"/>
      <c r="V81" s="51"/>
      <c r="W81" s="51"/>
      <c r="X81" s="51"/>
      <c r="Y81" s="51"/>
      <c r="Z81" s="51"/>
    </row>
    <row r="82" spans="1:26" x14ac:dyDescent="0.3">
      <c r="A82" s="51"/>
      <c r="B82" s="102"/>
      <c r="C82" s="51"/>
      <c r="E82" s="51"/>
      <c r="F82" s="51"/>
      <c r="G82" s="51"/>
      <c r="H82" s="51"/>
      <c r="I82" s="51"/>
      <c r="J82" s="51"/>
      <c r="K82" s="51"/>
      <c r="L82" s="106"/>
      <c r="M82" s="51"/>
      <c r="N82" s="94"/>
      <c r="O82" s="51"/>
      <c r="P82" s="51"/>
      <c r="Q82" s="51"/>
      <c r="R82" s="51"/>
      <c r="S82" s="51"/>
      <c r="T82" s="51"/>
      <c r="U82" s="51"/>
      <c r="V82" s="51"/>
      <c r="W82" s="51"/>
      <c r="X82" s="51"/>
      <c r="Y82" s="51"/>
      <c r="Z82" s="51"/>
    </row>
    <row r="83" spans="1:26" x14ac:dyDescent="0.3">
      <c r="A83" s="51"/>
      <c r="B83" s="102"/>
      <c r="C83" s="51"/>
      <c r="E83" s="51"/>
      <c r="F83" s="51"/>
      <c r="G83" s="51"/>
      <c r="H83" s="51"/>
      <c r="I83" s="51"/>
      <c r="J83" s="51"/>
      <c r="K83" s="51"/>
      <c r="L83" s="106"/>
      <c r="M83" s="51"/>
      <c r="N83" s="94"/>
      <c r="O83" s="51"/>
      <c r="P83" s="51"/>
      <c r="Q83" s="51"/>
      <c r="R83" s="51"/>
      <c r="S83" s="51"/>
      <c r="T83" s="51"/>
      <c r="U83" s="51"/>
      <c r="V83" s="51"/>
      <c r="W83" s="51"/>
      <c r="X83" s="51"/>
      <c r="Y83" s="51"/>
      <c r="Z83" s="51"/>
    </row>
    <row r="84" spans="1:26" x14ac:dyDescent="0.3">
      <c r="A84" s="51"/>
      <c r="B84" s="102"/>
      <c r="C84" s="51"/>
      <c r="E84" s="51"/>
      <c r="F84" s="51"/>
      <c r="G84" s="51"/>
      <c r="H84" s="51"/>
      <c r="I84" s="51"/>
      <c r="J84" s="51"/>
      <c r="K84" s="51"/>
      <c r="L84" s="106"/>
      <c r="M84" s="51"/>
      <c r="N84" s="94"/>
      <c r="O84" s="51"/>
      <c r="P84" s="51"/>
      <c r="Q84" s="51"/>
      <c r="R84" s="51"/>
      <c r="S84" s="51"/>
      <c r="T84" s="51"/>
      <c r="U84" s="51"/>
      <c r="V84" s="51"/>
      <c r="W84" s="51"/>
      <c r="X84" s="51"/>
      <c r="Y84" s="51"/>
      <c r="Z84" s="51"/>
    </row>
    <row r="85" spans="1:26" x14ac:dyDescent="0.3">
      <c r="A85" s="51"/>
      <c r="B85" s="102"/>
      <c r="C85" s="51"/>
      <c r="E85" s="51"/>
      <c r="F85" s="51"/>
      <c r="G85" s="51"/>
      <c r="H85" s="51"/>
      <c r="I85" s="51"/>
      <c r="J85" s="51"/>
      <c r="K85" s="51"/>
      <c r="L85" s="106"/>
      <c r="M85" s="51"/>
      <c r="N85" s="94"/>
      <c r="O85" s="51"/>
      <c r="P85" s="51"/>
      <c r="Q85" s="51"/>
      <c r="R85" s="51"/>
      <c r="S85" s="51"/>
      <c r="T85" s="51"/>
      <c r="U85" s="51"/>
      <c r="V85" s="51"/>
      <c r="W85" s="51"/>
      <c r="X85" s="51"/>
      <c r="Y85" s="51"/>
      <c r="Z85" s="51"/>
    </row>
    <row r="86" spans="1:26" x14ac:dyDescent="0.3">
      <c r="A86" s="51"/>
      <c r="B86" s="102"/>
      <c r="C86" s="51"/>
      <c r="E86" s="51"/>
      <c r="F86" s="51"/>
      <c r="G86" s="51"/>
      <c r="H86" s="51"/>
      <c r="I86" s="51"/>
      <c r="J86" s="51"/>
      <c r="K86" s="51"/>
      <c r="L86" s="106"/>
      <c r="M86" s="51"/>
      <c r="N86" s="94"/>
      <c r="O86" s="51"/>
      <c r="P86" s="51"/>
      <c r="Q86" s="51"/>
      <c r="R86" s="51"/>
      <c r="S86" s="51"/>
      <c r="T86" s="51"/>
      <c r="U86" s="51"/>
      <c r="V86" s="51"/>
      <c r="W86" s="51"/>
      <c r="X86" s="51"/>
      <c r="Y86" s="51"/>
      <c r="Z86" s="51"/>
    </row>
    <row r="87" spans="1:26" x14ac:dyDescent="0.3">
      <c r="A87" s="51"/>
      <c r="B87" s="102"/>
      <c r="C87" s="51"/>
      <c r="E87" s="51"/>
      <c r="F87" s="51"/>
      <c r="G87" s="51"/>
      <c r="H87" s="51"/>
      <c r="I87" s="51"/>
      <c r="J87" s="51"/>
      <c r="K87" s="51"/>
      <c r="L87" s="106"/>
      <c r="M87" s="51"/>
      <c r="N87" s="94"/>
      <c r="O87" s="51"/>
      <c r="P87" s="51"/>
      <c r="Q87" s="51"/>
      <c r="R87" s="51"/>
      <c r="S87" s="51"/>
      <c r="T87" s="51"/>
      <c r="U87" s="51"/>
      <c r="V87" s="51"/>
      <c r="W87" s="51"/>
      <c r="X87" s="51"/>
      <c r="Y87" s="51"/>
      <c r="Z87" s="51"/>
    </row>
    <row r="88" spans="1:26" x14ac:dyDescent="0.3">
      <c r="A88" s="51"/>
      <c r="B88" s="102"/>
      <c r="C88" s="51"/>
      <c r="E88" s="51"/>
      <c r="F88" s="51"/>
      <c r="G88" s="51"/>
      <c r="H88" s="51"/>
      <c r="I88" s="51"/>
      <c r="J88" s="51"/>
      <c r="K88" s="51"/>
      <c r="L88" s="106"/>
      <c r="M88" s="51"/>
      <c r="N88" s="94"/>
      <c r="O88" s="51"/>
      <c r="P88" s="51"/>
      <c r="Q88" s="51"/>
      <c r="R88" s="51"/>
      <c r="S88" s="51"/>
      <c r="T88" s="51"/>
      <c r="U88" s="51"/>
      <c r="V88" s="51"/>
      <c r="W88" s="51"/>
      <c r="X88" s="51"/>
      <c r="Y88" s="51"/>
      <c r="Z88" s="51"/>
    </row>
    <row r="89" spans="1:26" x14ac:dyDescent="0.3">
      <c r="A89" s="51"/>
      <c r="B89" s="102"/>
      <c r="C89" s="51"/>
      <c r="E89" s="51"/>
      <c r="F89" s="51"/>
      <c r="G89" s="51"/>
      <c r="H89" s="51"/>
      <c r="I89" s="51"/>
      <c r="J89" s="51"/>
      <c r="K89" s="51"/>
      <c r="L89" s="106"/>
      <c r="M89" s="51"/>
      <c r="N89" s="94"/>
      <c r="O89" s="51"/>
      <c r="P89" s="51"/>
      <c r="Q89" s="51"/>
      <c r="R89" s="51"/>
      <c r="S89" s="51"/>
      <c r="T89" s="51"/>
      <c r="U89" s="51"/>
      <c r="V89" s="51"/>
      <c r="W89" s="51"/>
      <c r="X89" s="51"/>
      <c r="Y89" s="51"/>
      <c r="Z89" s="51"/>
    </row>
    <row r="90" spans="1:26" x14ac:dyDescent="0.3">
      <c r="A90" s="51"/>
      <c r="B90" s="102"/>
      <c r="C90" s="51"/>
      <c r="E90" s="51"/>
      <c r="F90" s="51"/>
      <c r="G90" s="51"/>
      <c r="H90" s="51"/>
      <c r="I90" s="51"/>
      <c r="J90" s="51"/>
      <c r="K90" s="51"/>
      <c r="L90" s="106"/>
      <c r="M90" s="51"/>
      <c r="N90" s="94"/>
      <c r="O90" s="51"/>
      <c r="P90" s="51"/>
      <c r="Q90" s="51"/>
      <c r="R90" s="51"/>
      <c r="S90" s="51"/>
      <c r="T90" s="51"/>
      <c r="U90" s="51"/>
      <c r="V90" s="51"/>
      <c r="W90" s="51"/>
      <c r="X90" s="51"/>
      <c r="Y90" s="51"/>
      <c r="Z90" s="51"/>
    </row>
    <row r="91" spans="1:26" x14ac:dyDescent="0.3">
      <c r="A91" s="51"/>
      <c r="B91" s="102"/>
      <c r="C91" s="51"/>
      <c r="E91" s="51"/>
      <c r="F91" s="51"/>
      <c r="G91" s="51"/>
      <c r="H91" s="51"/>
      <c r="I91" s="51"/>
      <c r="J91" s="51"/>
      <c r="K91" s="51"/>
      <c r="L91" s="106"/>
      <c r="M91" s="51"/>
      <c r="N91" s="94"/>
      <c r="O91" s="51"/>
      <c r="P91" s="51"/>
      <c r="Q91" s="51"/>
      <c r="R91" s="51"/>
      <c r="S91" s="51"/>
      <c r="T91" s="51"/>
      <c r="U91" s="51"/>
      <c r="V91" s="51"/>
      <c r="W91" s="51"/>
      <c r="X91" s="51"/>
      <c r="Y91" s="51"/>
      <c r="Z91" s="51"/>
    </row>
    <row r="92" spans="1:26" x14ac:dyDescent="0.3">
      <c r="A92" s="51"/>
      <c r="B92" s="102"/>
      <c r="C92" s="51"/>
      <c r="E92" s="51"/>
      <c r="F92" s="51"/>
      <c r="G92" s="51"/>
      <c r="H92" s="51"/>
      <c r="I92" s="51"/>
      <c r="J92" s="51"/>
      <c r="K92" s="51"/>
      <c r="L92" s="106"/>
      <c r="M92" s="51"/>
      <c r="N92" s="94"/>
      <c r="O92" s="51"/>
      <c r="P92" s="51"/>
      <c r="Q92" s="51"/>
      <c r="R92" s="51"/>
      <c r="S92" s="51"/>
      <c r="T92" s="51"/>
      <c r="U92" s="51"/>
      <c r="V92" s="51"/>
      <c r="W92" s="51"/>
      <c r="X92" s="51"/>
      <c r="Y92" s="51"/>
      <c r="Z92" s="51"/>
    </row>
    <row r="93" spans="1:26" x14ac:dyDescent="0.3">
      <c r="A93" s="51"/>
      <c r="B93" s="102"/>
      <c r="C93" s="51"/>
      <c r="E93" s="51"/>
      <c r="F93" s="51"/>
      <c r="G93" s="51"/>
      <c r="H93" s="51"/>
      <c r="I93" s="51"/>
      <c r="J93" s="51"/>
      <c r="K93" s="51"/>
      <c r="L93" s="106"/>
      <c r="M93" s="51"/>
      <c r="N93" s="94"/>
      <c r="O93" s="51"/>
      <c r="P93" s="51"/>
      <c r="Q93" s="51"/>
      <c r="R93" s="51"/>
      <c r="S93" s="51"/>
      <c r="T93" s="51"/>
      <c r="U93" s="51"/>
      <c r="V93" s="51"/>
      <c r="W93" s="51"/>
      <c r="X93" s="51"/>
      <c r="Y93" s="51"/>
      <c r="Z93" s="51"/>
    </row>
    <row r="94" spans="1:26" x14ac:dyDescent="0.3">
      <c r="A94" s="51"/>
      <c r="B94" s="102"/>
      <c r="C94" s="51"/>
      <c r="E94" s="51"/>
      <c r="F94" s="51"/>
      <c r="G94" s="51"/>
      <c r="H94" s="51"/>
      <c r="I94" s="51"/>
      <c r="J94" s="51"/>
      <c r="K94" s="51"/>
      <c r="L94" s="106"/>
      <c r="M94" s="51"/>
      <c r="N94" s="94"/>
      <c r="O94" s="51"/>
      <c r="P94" s="51"/>
      <c r="Q94" s="51"/>
      <c r="R94" s="51"/>
      <c r="S94" s="51"/>
      <c r="T94" s="51"/>
      <c r="U94" s="51"/>
      <c r="V94" s="51"/>
      <c r="W94" s="51"/>
      <c r="X94" s="51"/>
      <c r="Y94" s="51"/>
      <c r="Z94" s="51"/>
    </row>
    <row r="95" spans="1:26" x14ac:dyDescent="0.3">
      <c r="A95" s="51"/>
      <c r="B95" s="102"/>
      <c r="C95" s="51"/>
      <c r="E95" s="51"/>
      <c r="F95" s="51"/>
      <c r="G95" s="51"/>
      <c r="H95" s="51"/>
      <c r="I95" s="51"/>
      <c r="J95" s="51"/>
      <c r="K95" s="51"/>
      <c r="L95" s="106"/>
      <c r="M95" s="51"/>
      <c r="N95" s="94"/>
      <c r="O95" s="51"/>
      <c r="P95" s="51"/>
      <c r="Q95" s="51"/>
      <c r="R95" s="51"/>
      <c r="S95" s="51"/>
      <c r="T95" s="51"/>
      <c r="U95" s="51"/>
      <c r="V95" s="51"/>
      <c r="W95" s="51"/>
      <c r="X95" s="51"/>
      <c r="Y95" s="51"/>
      <c r="Z95" s="51"/>
    </row>
    <row r="96" spans="1:26" x14ac:dyDescent="0.3">
      <c r="A96" s="51"/>
      <c r="B96" s="102"/>
      <c r="C96" s="51"/>
      <c r="E96" s="51"/>
      <c r="F96" s="51"/>
      <c r="G96" s="51"/>
      <c r="H96" s="51"/>
      <c r="I96" s="51"/>
      <c r="J96" s="51"/>
      <c r="K96" s="51"/>
      <c r="L96" s="106"/>
      <c r="M96" s="51"/>
      <c r="N96" s="94"/>
      <c r="O96" s="51"/>
      <c r="P96" s="51"/>
      <c r="Q96" s="51"/>
      <c r="R96" s="51"/>
      <c r="S96" s="51"/>
      <c r="T96" s="51"/>
      <c r="U96" s="51"/>
      <c r="V96" s="51"/>
      <c r="W96" s="51"/>
      <c r="X96" s="51"/>
      <c r="Y96" s="51"/>
      <c r="Z96" s="51"/>
    </row>
    <row r="97" spans="1:26" x14ac:dyDescent="0.3">
      <c r="A97" s="51"/>
      <c r="B97" s="102"/>
      <c r="C97" s="51"/>
      <c r="E97" s="51"/>
      <c r="F97" s="51"/>
      <c r="G97" s="51"/>
      <c r="H97" s="51"/>
      <c r="I97" s="51"/>
      <c r="J97" s="51"/>
      <c r="K97" s="51"/>
      <c r="L97" s="106"/>
      <c r="M97" s="51"/>
      <c r="N97" s="94"/>
      <c r="O97" s="51"/>
      <c r="P97" s="51"/>
      <c r="Q97" s="51"/>
      <c r="R97" s="51"/>
      <c r="S97" s="51"/>
      <c r="T97" s="51"/>
      <c r="U97" s="51"/>
      <c r="V97" s="51"/>
      <c r="W97" s="51"/>
      <c r="X97" s="51"/>
      <c r="Y97" s="51"/>
      <c r="Z97" s="51"/>
    </row>
    <row r="98" spans="1:26" x14ac:dyDescent="0.3">
      <c r="A98" s="51"/>
      <c r="B98" s="102"/>
      <c r="C98" s="51"/>
      <c r="E98" s="51"/>
      <c r="F98" s="51"/>
      <c r="G98" s="51"/>
      <c r="H98" s="51"/>
      <c r="I98" s="51"/>
      <c r="J98" s="51"/>
      <c r="K98" s="51"/>
      <c r="L98" s="106"/>
      <c r="M98" s="51"/>
      <c r="N98" s="94"/>
      <c r="O98" s="51"/>
      <c r="P98" s="51"/>
      <c r="Q98" s="51"/>
      <c r="R98" s="51"/>
      <c r="S98" s="51"/>
      <c r="T98" s="51"/>
      <c r="U98" s="51"/>
      <c r="V98" s="51"/>
      <c r="W98" s="51"/>
      <c r="X98" s="51"/>
      <c r="Y98" s="51"/>
      <c r="Z98" s="51"/>
    </row>
    <row r="99" spans="1:26" x14ac:dyDescent="0.3">
      <c r="A99" s="51"/>
      <c r="B99" s="102"/>
      <c r="C99" s="51"/>
      <c r="E99" s="51"/>
      <c r="F99" s="51"/>
      <c r="G99" s="51"/>
      <c r="H99" s="51"/>
      <c r="I99" s="51"/>
      <c r="J99" s="51"/>
      <c r="K99" s="51"/>
      <c r="L99" s="106"/>
      <c r="M99" s="51"/>
      <c r="N99" s="94"/>
      <c r="O99" s="51"/>
      <c r="P99" s="51"/>
      <c r="Q99" s="51"/>
      <c r="R99" s="51"/>
      <c r="S99" s="51"/>
      <c r="T99" s="51"/>
      <c r="U99" s="51"/>
      <c r="V99" s="51"/>
      <c r="W99" s="51"/>
      <c r="X99" s="51"/>
      <c r="Y99" s="51"/>
      <c r="Z99" s="51"/>
    </row>
    <row r="100" spans="1:26" x14ac:dyDescent="0.3">
      <c r="A100" s="51"/>
      <c r="B100" s="102"/>
      <c r="C100" s="51"/>
      <c r="E100" s="51"/>
      <c r="F100" s="51"/>
      <c r="G100" s="51"/>
      <c r="H100" s="51"/>
      <c r="I100" s="51"/>
      <c r="J100" s="51"/>
      <c r="K100" s="51"/>
      <c r="L100" s="106"/>
      <c r="M100" s="51"/>
      <c r="N100" s="94"/>
      <c r="O100" s="51"/>
      <c r="P100" s="51"/>
      <c r="Q100" s="51"/>
      <c r="R100" s="51"/>
      <c r="S100" s="51"/>
      <c r="T100" s="51"/>
      <c r="U100" s="51"/>
      <c r="V100" s="51"/>
      <c r="W100" s="51"/>
      <c r="X100" s="51"/>
      <c r="Y100" s="51"/>
      <c r="Z100" s="51"/>
    </row>
    <row r="101" spans="1:26" x14ac:dyDescent="0.3">
      <c r="A101" s="51"/>
      <c r="B101" s="102"/>
      <c r="C101" s="51"/>
      <c r="E101" s="51"/>
      <c r="F101" s="51"/>
      <c r="G101" s="51"/>
      <c r="H101" s="51"/>
      <c r="I101" s="51"/>
      <c r="J101" s="51"/>
      <c r="K101" s="51"/>
      <c r="L101" s="106"/>
      <c r="M101" s="51"/>
      <c r="N101" s="94"/>
      <c r="O101" s="51"/>
      <c r="P101" s="51"/>
      <c r="Q101" s="51"/>
      <c r="R101" s="51"/>
      <c r="S101" s="51"/>
      <c r="T101" s="51"/>
      <c r="U101" s="51"/>
      <c r="V101" s="51"/>
      <c r="W101" s="51"/>
      <c r="X101" s="51"/>
      <c r="Y101" s="51"/>
      <c r="Z101" s="51"/>
    </row>
    <row r="102" spans="1:26" x14ac:dyDescent="0.3">
      <c r="A102" s="51"/>
      <c r="B102" s="102"/>
      <c r="C102" s="51"/>
      <c r="E102" s="51"/>
      <c r="F102" s="51"/>
      <c r="G102" s="51"/>
      <c r="H102" s="51"/>
      <c r="I102" s="51"/>
      <c r="J102" s="51"/>
      <c r="K102" s="51"/>
      <c r="L102" s="106"/>
      <c r="M102" s="51"/>
      <c r="N102" s="94"/>
      <c r="O102" s="51"/>
      <c r="P102" s="51"/>
      <c r="Q102" s="51"/>
      <c r="R102" s="51"/>
      <c r="S102" s="51"/>
      <c r="T102" s="51"/>
      <c r="U102" s="51"/>
      <c r="V102" s="51"/>
      <c r="W102" s="51"/>
      <c r="X102" s="51"/>
      <c r="Y102" s="51"/>
      <c r="Z102" s="51"/>
    </row>
    <row r="103" spans="1:26" x14ac:dyDescent="0.3">
      <c r="A103" s="51"/>
      <c r="B103" s="102"/>
      <c r="C103" s="51"/>
      <c r="E103" s="51"/>
      <c r="F103" s="51"/>
      <c r="G103" s="51"/>
      <c r="H103" s="51"/>
      <c r="I103" s="51"/>
      <c r="J103" s="51"/>
      <c r="K103" s="51"/>
      <c r="L103" s="106"/>
      <c r="M103" s="51"/>
      <c r="N103" s="94"/>
      <c r="O103" s="51"/>
      <c r="P103" s="51"/>
      <c r="Q103" s="51"/>
      <c r="R103" s="51"/>
      <c r="S103" s="51"/>
      <c r="T103" s="51"/>
      <c r="U103" s="51"/>
      <c r="V103" s="51"/>
      <c r="W103" s="51"/>
      <c r="X103" s="51"/>
      <c r="Y103" s="51"/>
      <c r="Z103" s="51"/>
    </row>
    <row r="104" spans="1:26" x14ac:dyDescent="0.3">
      <c r="A104" s="51"/>
      <c r="B104" s="102"/>
      <c r="C104" s="51"/>
      <c r="E104" s="51"/>
      <c r="F104" s="51"/>
      <c r="G104" s="51"/>
      <c r="H104" s="51"/>
      <c r="I104" s="51"/>
      <c r="J104" s="51"/>
      <c r="K104" s="51"/>
      <c r="L104" s="106"/>
      <c r="M104" s="51"/>
      <c r="N104" s="94"/>
      <c r="O104" s="51"/>
      <c r="P104" s="51"/>
      <c r="Q104" s="51"/>
      <c r="R104" s="51"/>
      <c r="S104" s="51"/>
      <c r="T104" s="51"/>
      <c r="U104" s="51"/>
      <c r="V104" s="51"/>
      <c r="W104" s="51"/>
      <c r="X104" s="51"/>
      <c r="Y104" s="51"/>
      <c r="Z104" s="51"/>
    </row>
    <row r="105" spans="1:26" x14ac:dyDescent="0.3">
      <c r="A105" s="51"/>
      <c r="B105" s="102"/>
      <c r="C105" s="51"/>
      <c r="E105" s="51"/>
      <c r="F105" s="51"/>
      <c r="G105" s="51"/>
      <c r="H105" s="51"/>
      <c r="I105" s="51"/>
      <c r="J105" s="51"/>
      <c r="K105" s="51"/>
      <c r="L105" s="106"/>
      <c r="M105" s="51"/>
      <c r="N105" s="94"/>
      <c r="O105" s="51"/>
      <c r="P105" s="51"/>
      <c r="Q105" s="51"/>
      <c r="R105" s="51"/>
      <c r="S105" s="51"/>
      <c r="T105" s="51"/>
      <c r="U105" s="51"/>
      <c r="V105" s="51"/>
      <c r="W105" s="51"/>
      <c r="X105" s="51"/>
      <c r="Y105" s="51"/>
      <c r="Z105" s="51"/>
    </row>
    <row r="106" spans="1:26" x14ac:dyDescent="0.3">
      <c r="A106" s="51"/>
      <c r="B106" s="102"/>
      <c r="C106" s="51"/>
      <c r="E106" s="51"/>
      <c r="F106" s="51"/>
      <c r="G106" s="51"/>
      <c r="H106" s="51"/>
      <c r="I106" s="51"/>
      <c r="J106" s="51"/>
      <c r="K106" s="51"/>
      <c r="L106" s="106"/>
      <c r="M106" s="51"/>
      <c r="N106" s="94"/>
      <c r="O106" s="51"/>
      <c r="P106" s="51"/>
      <c r="Q106" s="51"/>
      <c r="R106" s="51"/>
      <c r="S106" s="51"/>
      <c r="T106" s="51"/>
      <c r="U106" s="51"/>
      <c r="V106" s="51"/>
      <c r="W106" s="51"/>
      <c r="X106" s="51"/>
      <c r="Y106" s="51"/>
      <c r="Z106" s="51"/>
    </row>
    <row r="107" spans="1:26" x14ac:dyDescent="0.3">
      <c r="A107" s="51"/>
      <c r="B107" s="102"/>
      <c r="C107" s="51"/>
      <c r="E107" s="51"/>
      <c r="F107" s="51"/>
      <c r="G107" s="51"/>
      <c r="H107" s="51"/>
      <c r="I107" s="51"/>
      <c r="J107" s="51"/>
      <c r="K107" s="51"/>
      <c r="L107" s="106"/>
      <c r="M107" s="51"/>
      <c r="N107" s="94"/>
      <c r="O107" s="51"/>
      <c r="P107" s="51"/>
      <c r="Q107" s="51"/>
      <c r="R107" s="51"/>
      <c r="S107" s="51"/>
      <c r="T107" s="51"/>
      <c r="U107" s="51"/>
      <c r="V107" s="51"/>
      <c r="W107" s="51"/>
      <c r="X107" s="51"/>
      <c r="Y107" s="51"/>
      <c r="Z107" s="51"/>
    </row>
    <row r="108" spans="1:26" x14ac:dyDescent="0.3">
      <c r="A108" s="51"/>
      <c r="B108" s="102"/>
      <c r="C108" s="51"/>
      <c r="E108" s="51"/>
      <c r="F108" s="51"/>
      <c r="G108" s="51"/>
      <c r="H108" s="51"/>
      <c r="I108" s="51"/>
      <c r="J108" s="51"/>
      <c r="K108" s="51"/>
      <c r="L108" s="106"/>
      <c r="M108" s="51"/>
      <c r="N108" s="94"/>
      <c r="O108" s="51"/>
      <c r="P108" s="51"/>
      <c r="Q108" s="51"/>
      <c r="R108" s="51"/>
      <c r="S108" s="51"/>
      <c r="T108" s="51"/>
      <c r="U108" s="51"/>
      <c r="V108" s="51"/>
      <c r="W108" s="51"/>
      <c r="X108" s="51"/>
      <c r="Y108" s="51"/>
      <c r="Z108" s="51"/>
    </row>
    <row r="109" spans="1:26" x14ac:dyDescent="0.3">
      <c r="A109" s="51"/>
      <c r="B109" s="102"/>
      <c r="C109" s="51"/>
      <c r="E109" s="51"/>
      <c r="F109" s="51"/>
      <c r="G109" s="51"/>
      <c r="H109" s="51"/>
      <c r="I109" s="51"/>
      <c r="J109" s="51"/>
      <c r="K109" s="51"/>
      <c r="L109" s="106"/>
      <c r="M109" s="51"/>
      <c r="N109" s="94"/>
      <c r="O109" s="51"/>
      <c r="P109" s="51"/>
      <c r="Q109" s="51"/>
      <c r="R109" s="51"/>
      <c r="S109" s="51"/>
      <c r="T109" s="51"/>
      <c r="U109" s="51"/>
      <c r="V109" s="51"/>
      <c r="W109" s="51"/>
      <c r="X109" s="51"/>
      <c r="Y109" s="51"/>
      <c r="Z109" s="51"/>
    </row>
    <row r="110" spans="1:26" x14ac:dyDescent="0.3">
      <c r="A110" s="51"/>
      <c r="B110" s="102"/>
      <c r="C110" s="51"/>
      <c r="E110" s="51"/>
      <c r="F110" s="51"/>
      <c r="G110" s="51"/>
      <c r="H110" s="51"/>
      <c r="I110" s="51"/>
      <c r="J110" s="51"/>
      <c r="K110" s="51"/>
      <c r="L110" s="106"/>
      <c r="M110" s="51"/>
      <c r="N110" s="94"/>
      <c r="O110" s="51"/>
      <c r="P110" s="51"/>
      <c r="Q110" s="51"/>
      <c r="R110" s="51"/>
      <c r="S110" s="51"/>
      <c r="T110" s="51"/>
      <c r="U110" s="51"/>
      <c r="V110" s="51"/>
      <c r="W110" s="51"/>
      <c r="X110" s="51"/>
      <c r="Y110" s="51"/>
      <c r="Z110" s="51"/>
    </row>
    <row r="111" spans="1:26" x14ac:dyDescent="0.3">
      <c r="A111" s="51"/>
      <c r="B111" s="102"/>
      <c r="C111" s="51"/>
      <c r="E111" s="51"/>
      <c r="F111" s="51"/>
      <c r="G111" s="51"/>
      <c r="H111" s="51"/>
      <c r="I111" s="51"/>
      <c r="J111" s="51"/>
      <c r="K111" s="51"/>
      <c r="L111" s="106"/>
      <c r="M111" s="51"/>
      <c r="N111" s="94"/>
      <c r="O111" s="51"/>
      <c r="P111" s="51"/>
      <c r="Q111" s="51"/>
      <c r="R111" s="51"/>
      <c r="S111" s="51"/>
      <c r="T111" s="51"/>
      <c r="U111" s="51"/>
      <c r="V111" s="51"/>
      <c r="W111" s="51"/>
      <c r="X111" s="51"/>
      <c r="Y111" s="51"/>
      <c r="Z111" s="51"/>
    </row>
    <row r="112" spans="1:26" x14ac:dyDescent="0.3">
      <c r="A112" s="51"/>
      <c r="B112" s="102"/>
      <c r="C112" s="51"/>
      <c r="E112" s="51"/>
      <c r="F112" s="51"/>
      <c r="G112" s="51"/>
      <c r="H112" s="51"/>
      <c r="I112" s="51"/>
      <c r="J112" s="51"/>
      <c r="K112" s="51"/>
      <c r="L112" s="106"/>
      <c r="M112" s="51"/>
      <c r="N112" s="94"/>
      <c r="O112" s="51"/>
      <c r="P112" s="51"/>
      <c r="Q112" s="51"/>
      <c r="R112" s="51"/>
      <c r="S112" s="51"/>
      <c r="T112" s="51"/>
      <c r="U112" s="51"/>
      <c r="V112" s="51"/>
      <c r="W112" s="51"/>
      <c r="X112" s="51"/>
      <c r="Y112" s="51"/>
      <c r="Z112" s="51"/>
    </row>
    <row r="113" spans="1:26" x14ac:dyDescent="0.3">
      <c r="A113" s="51"/>
      <c r="B113" s="102"/>
      <c r="C113" s="51"/>
      <c r="E113" s="51"/>
      <c r="F113" s="51"/>
      <c r="G113" s="51"/>
      <c r="H113" s="51"/>
      <c r="I113" s="51"/>
      <c r="J113" s="51"/>
      <c r="K113" s="51"/>
      <c r="L113" s="106"/>
      <c r="M113" s="51"/>
      <c r="N113" s="94"/>
      <c r="O113" s="51"/>
      <c r="P113" s="51"/>
      <c r="Q113" s="51"/>
      <c r="R113" s="51"/>
      <c r="S113" s="51"/>
      <c r="T113" s="51"/>
      <c r="U113" s="51"/>
      <c r="V113" s="51"/>
      <c r="W113" s="51"/>
      <c r="X113" s="51"/>
      <c r="Y113" s="51"/>
      <c r="Z113" s="51"/>
    </row>
    <row r="114" spans="1:26" x14ac:dyDescent="0.3">
      <c r="A114" s="51"/>
      <c r="B114" s="102"/>
      <c r="C114" s="51"/>
      <c r="E114" s="51"/>
      <c r="F114" s="51"/>
      <c r="G114" s="51"/>
      <c r="H114" s="51"/>
      <c r="I114" s="51"/>
      <c r="J114" s="51"/>
      <c r="K114" s="51"/>
      <c r="L114" s="106"/>
      <c r="M114" s="51"/>
      <c r="N114" s="94"/>
      <c r="O114" s="51"/>
      <c r="P114" s="51"/>
      <c r="Q114" s="51"/>
      <c r="R114" s="51"/>
      <c r="S114" s="51"/>
      <c r="T114" s="51"/>
      <c r="U114" s="51"/>
      <c r="V114" s="51"/>
      <c r="W114" s="51"/>
      <c r="X114" s="51"/>
      <c r="Y114" s="51"/>
      <c r="Z114" s="51"/>
    </row>
    <row r="115" spans="1:26" x14ac:dyDescent="0.3">
      <c r="A115" s="51"/>
      <c r="B115" s="102"/>
      <c r="C115" s="51"/>
      <c r="E115" s="51"/>
      <c r="F115" s="51"/>
      <c r="G115" s="51"/>
      <c r="H115" s="51"/>
      <c r="I115" s="51"/>
      <c r="J115" s="51"/>
      <c r="K115" s="51"/>
      <c r="L115" s="106"/>
      <c r="M115" s="51"/>
      <c r="N115" s="94"/>
      <c r="O115" s="51"/>
      <c r="P115" s="51"/>
      <c r="Q115" s="51"/>
      <c r="R115" s="51"/>
      <c r="S115" s="51"/>
      <c r="T115" s="51"/>
      <c r="U115" s="51"/>
      <c r="V115" s="51"/>
      <c r="W115" s="51"/>
      <c r="X115" s="51"/>
      <c r="Y115" s="51"/>
      <c r="Z115" s="51"/>
    </row>
    <row r="116" spans="1:26" x14ac:dyDescent="0.3">
      <c r="A116" s="51"/>
      <c r="B116" s="102"/>
      <c r="C116" s="51"/>
      <c r="E116" s="51"/>
      <c r="F116" s="51"/>
      <c r="G116" s="51"/>
      <c r="H116" s="51"/>
      <c r="I116" s="51"/>
      <c r="J116" s="51"/>
      <c r="K116" s="51"/>
      <c r="L116" s="106"/>
      <c r="M116" s="51"/>
      <c r="N116" s="94"/>
      <c r="O116" s="51"/>
      <c r="P116" s="51"/>
      <c r="Q116" s="51"/>
      <c r="R116" s="51"/>
      <c r="S116" s="51"/>
      <c r="T116" s="51"/>
      <c r="U116" s="51"/>
      <c r="V116" s="51"/>
      <c r="W116" s="51"/>
      <c r="X116" s="51"/>
      <c r="Y116" s="51"/>
      <c r="Z116" s="51"/>
    </row>
    <row r="117" spans="1:26" x14ac:dyDescent="0.3">
      <c r="A117" s="51"/>
      <c r="B117" s="102"/>
      <c r="C117" s="51"/>
      <c r="E117" s="51"/>
      <c r="F117" s="51"/>
      <c r="G117" s="51"/>
      <c r="H117" s="51"/>
      <c r="I117" s="51"/>
      <c r="J117" s="51"/>
      <c r="K117" s="51"/>
      <c r="L117" s="106"/>
      <c r="M117" s="51"/>
      <c r="N117" s="94"/>
      <c r="O117" s="51"/>
      <c r="P117" s="51"/>
      <c r="Q117" s="51"/>
      <c r="R117" s="51"/>
      <c r="S117" s="51"/>
      <c r="T117" s="51"/>
      <c r="U117" s="51"/>
      <c r="V117" s="51"/>
      <c r="W117" s="51"/>
      <c r="X117" s="51"/>
      <c r="Y117" s="51"/>
      <c r="Z117" s="51"/>
    </row>
    <row r="118" spans="1:26" x14ac:dyDescent="0.3">
      <c r="A118" s="51"/>
      <c r="B118" s="102"/>
      <c r="C118" s="51"/>
      <c r="E118" s="51"/>
      <c r="F118" s="51"/>
      <c r="G118" s="51"/>
      <c r="H118" s="51"/>
      <c r="I118" s="51"/>
      <c r="J118" s="51"/>
      <c r="K118" s="51"/>
      <c r="L118" s="106"/>
      <c r="M118" s="51"/>
      <c r="N118" s="94"/>
      <c r="O118" s="51"/>
      <c r="P118" s="51"/>
      <c r="Q118" s="51"/>
      <c r="R118" s="51"/>
      <c r="S118" s="51"/>
      <c r="T118" s="51"/>
      <c r="U118" s="51"/>
      <c r="V118" s="51"/>
      <c r="W118" s="51"/>
      <c r="X118" s="51"/>
      <c r="Y118" s="51"/>
      <c r="Z118" s="51"/>
    </row>
    <row r="119" spans="1:26" x14ac:dyDescent="0.3">
      <c r="A119" s="51"/>
      <c r="B119" s="102"/>
      <c r="C119" s="51"/>
      <c r="E119" s="51"/>
      <c r="F119" s="51"/>
      <c r="G119" s="51"/>
      <c r="H119" s="51"/>
      <c r="I119" s="51"/>
      <c r="J119" s="51"/>
      <c r="K119" s="51"/>
      <c r="L119" s="106"/>
      <c r="M119" s="51"/>
      <c r="N119" s="94"/>
      <c r="O119" s="51"/>
      <c r="P119" s="51"/>
      <c r="Q119" s="51"/>
      <c r="R119" s="51"/>
      <c r="S119" s="51"/>
      <c r="T119" s="51"/>
      <c r="U119" s="51"/>
      <c r="V119" s="51"/>
      <c r="W119" s="51"/>
      <c r="X119" s="51"/>
      <c r="Y119" s="51"/>
      <c r="Z119" s="51"/>
    </row>
    <row r="120" spans="1:26" x14ac:dyDescent="0.3">
      <c r="A120" s="51"/>
      <c r="B120" s="102"/>
      <c r="C120" s="51"/>
      <c r="E120" s="51"/>
      <c r="F120" s="51"/>
      <c r="G120" s="51"/>
      <c r="H120" s="51"/>
      <c r="I120" s="51"/>
      <c r="J120" s="51"/>
      <c r="K120" s="51"/>
      <c r="L120" s="106"/>
      <c r="M120" s="51"/>
      <c r="N120" s="94"/>
      <c r="O120" s="51"/>
      <c r="P120" s="51"/>
      <c r="Q120" s="51"/>
      <c r="R120" s="51"/>
      <c r="S120" s="51"/>
      <c r="T120" s="51"/>
      <c r="U120" s="51"/>
      <c r="V120" s="51"/>
      <c r="W120" s="51"/>
      <c r="X120" s="51"/>
      <c r="Y120" s="51"/>
      <c r="Z120" s="51"/>
    </row>
    <row r="121" spans="1:26" x14ac:dyDescent="0.3">
      <c r="A121" s="51"/>
      <c r="B121" s="102"/>
      <c r="C121" s="51"/>
      <c r="E121" s="51"/>
      <c r="F121" s="51"/>
      <c r="G121" s="51"/>
      <c r="H121" s="51"/>
      <c r="I121" s="51"/>
      <c r="J121" s="51"/>
      <c r="K121" s="51"/>
      <c r="L121" s="106"/>
      <c r="M121" s="51"/>
      <c r="N121" s="94"/>
      <c r="O121" s="51"/>
      <c r="P121" s="51"/>
      <c r="Q121" s="51"/>
      <c r="R121" s="51"/>
      <c r="S121" s="51"/>
      <c r="T121" s="51"/>
      <c r="U121" s="51"/>
      <c r="V121" s="51"/>
      <c r="W121" s="51"/>
      <c r="X121" s="51"/>
      <c r="Y121" s="51"/>
      <c r="Z121" s="51"/>
    </row>
    <row r="122" spans="1:26" x14ac:dyDescent="0.3">
      <c r="A122" s="51"/>
      <c r="B122" s="102"/>
      <c r="C122" s="51"/>
      <c r="E122" s="51"/>
      <c r="F122" s="51"/>
      <c r="G122" s="51"/>
      <c r="H122" s="51"/>
      <c r="I122" s="51"/>
      <c r="J122" s="51"/>
      <c r="K122" s="51"/>
      <c r="L122" s="106"/>
      <c r="M122" s="51"/>
      <c r="N122" s="94"/>
      <c r="O122" s="51"/>
      <c r="P122" s="51"/>
      <c r="Q122" s="51"/>
      <c r="R122" s="51"/>
      <c r="S122" s="51"/>
      <c r="T122" s="51"/>
      <c r="U122" s="51"/>
      <c r="V122" s="51"/>
      <c r="W122" s="51"/>
      <c r="X122" s="51"/>
      <c r="Y122" s="51"/>
      <c r="Z122" s="51"/>
    </row>
    <row r="123" spans="1:26" x14ac:dyDescent="0.3">
      <c r="A123" s="51"/>
      <c r="B123" s="102"/>
      <c r="C123" s="51"/>
      <c r="E123" s="51"/>
      <c r="F123" s="51"/>
      <c r="G123" s="51"/>
      <c r="H123" s="51"/>
      <c r="I123" s="51"/>
      <c r="J123" s="51"/>
      <c r="K123" s="51"/>
      <c r="L123" s="106"/>
      <c r="M123" s="51"/>
      <c r="N123" s="94"/>
      <c r="O123" s="51"/>
      <c r="P123" s="51"/>
      <c r="Q123" s="51"/>
      <c r="R123" s="51"/>
      <c r="S123" s="51"/>
      <c r="T123" s="51"/>
      <c r="U123" s="51"/>
      <c r="V123" s="51"/>
      <c r="W123" s="51"/>
      <c r="X123" s="51"/>
      <c r="Y123" s="51"/>
      <c r="Z123" s="51"/>
    </row>
    <row r="124" spans="1:26" x14ac:dyDescent="0.3">
      <c r="A124" s="51"/>
      <c r="B124" s="102"/>
      <c r="C124" s="51"/>
      <c r="E124" s="51"/>
      <c r="F124" s="51"/>
      <c r="G124" s="51"/>
      <c r="H124" s="51"/>
      <c r="I124" s="51"/>
      <c r="J124" s="51"/>
      <c r="K124" s="51"/>
      <c r="L124" s="106"/>
      <c r="M124" s="51"/>
      <c r="N124" s="94"/>
      <c r="O124" s="51"/>
      <c r="P124" s="51"/>
      <c r="Q124" s="51"/>
      <c r="R124" s="51"/>
      <c r="S124" s="51"/>
      <c r="T124" s="51"/>
      <c r="U124" s="51"/>
      <c r="V124" s="51"/>
      <c r="W124" s="51"/>
      <c r="X124" s="51"/>
      <c r="Y124" s="51"/>
      <c r="Z124" s="51"/>
    </row>
    <row r="125" spans="1:26" x14ac:dyDescent="0.3">
      <c r="A125" s="51"/>
      <c r="B125" s="102"/>
      <c r="C125" s="51"/>
      <c r="E125" s="51"/>
      <c r="F125" s="51"/>
      <c r="G125" s="51"/>
      <c r="H125" s="51"/>
      <c r="I125" s="51"/>
      <c r="J125" s="51"/>
      <c r="K125" s="51"/>
      <c r="L125" s="106"/>
      <c r="M125" s="51"/>
      <c r="N125" s="94"/>
      <c r="O125" s="51"/>
      <c r="P125" s="51"/>
      <c r="Q125" s="51"/>
      <c r="R125" s="51"/>
      <c r="S125" s="51"/>
      <c r="T125" s="51"/>
      <c r="U125" s="51"/>
      <c r="V125" s="51"/>
      <c r="W125" s="51"/>
      <c r="X125" s="51"/>
      <c r="Y125" s="51"/>
      <c r="Z125" s="51"/>
    </row>
    <row r="126" spans="1:26" x14ac:dyDescent="0.3">
      <c r="A126" s="51"/>
      <c r="B126" s="102"/>
      <c r="C126" s="51"/>
      <c r="E126" s="51"/>
      <c r="F126" s="51"/>
      <c r="G126" s="51"/>
      <c r="H126" s="51"/>
      <c r="I126" s="51"/>
      <c r="J126" s="51"/>
      <c r="K126" s="51"/>
      <c r="L126" s="106"/>
      <c r="M126" s="51"/>
      <c r="N126" s="94"/>
      <c r="O126" s="51"/>
      <c r="P126" s="51"/>
      <c r="Q126" s="51"/>
      <c r="R126" s="51"/>
      <c r="S126" s="51"/>
      <c r="T126" s="51"/>
      <c r="U126" s="51"/>
      <c r="V126" s="51"/>
      <c r="W126" s="51"/>
      <c r="X126" s="51"/>
      <c r="Y126" s="51"/>
      <c r="Z126" s="51"/>
    </row>
    <row r="127" spans="1:26" x14ac:dyDescent="0.3">
      <c r="A127" s="51"/>
      <c r="B127" s="102"/>
      <c r="C127" s="51"/>
      <c r="E127" s="51"/>
      <c r="F127" s="51"/>
      <c r="G127" s="51"/>
      <c r="H127" s="51"/>
      <c r="I127" s="51"/>
      <c r="J127" s="51"/>
      <c r="K127" s="51"/>
      <c r="L127" s="106"/>
      <c r="M127" s="51"/>
      <c r="N127" s="94"/>
      <c r="O127" s="51"/>
      <c r="P127" s="51"/>
      <c r="Q127" s="51"/>
      <c r="R127" s="51"/>
      <c r="S127" s="51"/>
      <c r="T127" s="51"/>
      <c r="U127" s="51"/>
      <c r="V127" s="51"/>
      <c r="W127" s="51"/>
      <c r="X127" s="51"/>
      <c r="Y127" s="51"/>
      <c r="Z127" s="51"/>
    </row>
    <row r="128" spans="1:26" x14ac:dyDescent="0.3">
      <c r="A128" s="51"/>
      <c r="B128" s="102"/>
      <c r="C128" s="51"/>
      <c r="E128" s="51"/>
      <c r="F128" s="51"/>
      <c r="G128" s="51"/>
      <c r="H128" s="51"/>
      <c r="I128" s="51"/>
      <c r="J128" s="51"/>
      <c r="K128" s="51"/>
      <c r="L128" s="106"/>
      <c r="M128" s="51"/>
      <c r="N128" s="94"/>
      <c r="O128" s="51"/>
      <c r="P128" s="51"/>
      <c r="Q128" s="51"/>
      <c r="R128" s="51"/>
      <c r="S128" s="51"/>
      <c r="T128" s="51"/>
      <c r="U128" s="51"/>
      <c r="V128" s="51"/>
      <c r="W128" s="51"/>
      <c r="X128" s="51"/>
      <c r="Y128" s="51"/>
      <c r="Z128" s="51"/>
    </row>
    <row r="129" spans="1:26" x14ac:dyDescent="0.3">
      <c r="A129" s="51"/>
      <c r="B129" s="102"/>
      <c r="C129" s="51"/>
      <c r="E129" s="51"/>
      <c r="F129" s="51"/>
      <c r="G129" s="51"/>
      <c r="H129" s="51"/>
      <c r="I129" s="51"/>
      <c r="J129" s="51"/>
      <c r="K129" s="51"/>
      <c r="L129" s="106"/>
      <c r="M129" s="51"/>
      <c r="N129" s="94"/>
      <c r="O129" s="51"/>
      <c r="P129" s="51"/>
      <c r="Q129" s="51"/>
      <c r="R129" s="51"/>
      <c r="S129" s="51"/>
      <c r="T129" s="51"/>
      <c r="U129" s="51"/>
      <c r="V129" s="51"/>
      <c r="W129" s="51"/>
      <c r="X129" s="51"/>
      <c r="Y129" s="51"/>
      <c r="Z129" s="51"/>
    </row>
    <row r="130" spans="1:26" x14ac:dyDescent="0.3">
      <c r="A130" s="51"/>
      <c r="B130" s="102"/>
      <c r="C130" s="51"/>
      <c r="E130" s="51"/>
      <c r="F130" s="51"/>
      <c r="G130" s="51"/>
      <c r="H130" s="51"/>
      <c r="I130" s="51"/>
      <c r="J130" s="51"/>
      <c r="K130" s="51"/>
      <c r="L130" s="106"/>
      <c r="M130" s="51"/>
      <c r="N130" s="94"/>
      <c r="O130" s="51"/>
      <c r="P130" s="51"/>
      <c r="Q130" s="51"/>
      <c r="R130" s="51"/>
      <c r="S130" s="51"/>
      <c r="T130" s="51"/>
      <c r="U130" s="51"/>
      <c r="V130" s="51"/>
      <c r="W130" s="51"/>
      <c r="X130" s="51"/>
      <c r="Y130" s="51"/>
      <c r="Z130" s="51"/>
    </row>
    <row r="131" spans="1:26" x14ac:dyDescent="0.3">
      <c r="A131" s="51"/>
      <c r="B131" s="102"/>
      <c r="C131" s="51"/>
      <c r="E131" s="51"/>
      <c r="F131" s="51"/>
      <c r="G131" s="51"/>
      <c r="H131" s="51"/>
      <c r="I131" s="51"/>
      <c r="J131" s="51"/>
      <c r="K131" s="51"/>
      <c r="L131" s="106"/>
      <c r="M131" s="51"/>
      <c r="N131" s="94"/>
      <c r="O131" s="51"/>
      <c r="P131" s="51"/>
      <c r="Q131" s="51"/>
      <c r="R131" s="51"/>
      <c r="S131" s="51"/>
      <c r="T131" s="51"/>
      <c r="U131" s="51"/>
      <c r="V131" s="51"/>
      <c r="W131" s="51"/>
      <c r="X131" s="51"/>
      <c r="Y131" s="51"/>
      <c r="Z131" s="51"/>
    </row>
    <row r="132" spans="1:26" x14ac:dyDescent="0.3">
      <c r="A132" s="51"/>
      <c r="B132" s="102"/>
      <c r="C132" s="51"/>
      <c r="E132" s="51"/>
      <c r="F132" s="51"/>
      <c r="G132" s="51"/>
      <c r="H132" s="51"/>
      <c r="I132" s="51"/>
      <c r="J132" s="51"/>
      <c r="K132" s="51"/>
      <c r="L132" s="106"/>
      <c r="M132" s="51"/>
      <c r="N132" s="94"/>
      <c r="O132" s="51"/>
      <c r="P132" s="51"/>
      <c r="Q132" s="51"/>
      <c r="R132" s="51"/>
      <c r="S132" s="51"/>
      <c r="T132" s="51"/>
      <c r="U132" s="51"/>
      <c r="V132" s="51"/>
      <c r="W132" s="51"/>
      <c r="X132" s="51"/>
      <c r="Y132" s="51"/>
      <c r="Z132" s="51"/>
    </row>
    <row r="133" spans="1:26" x14ac:dyDescent="0.3">
      <c r="A133" s="51"/>
      <c r="B133" s="102"/>
      <c r="C133" s="51"/>
      <c r="E133" s="51"/>
      <c r="F133" s="51"/>
      <c r="G133" s="51"/>
      <c r="H133" s="51"/>
      <c r="I133" s="51"/>
      <c r="J133" s="51"/>
      <c r="K133" s="51"/>
      <c r="L133" s="106"/>
      <c r="M133" s="51"/>
      <c r="N133" s="94"/>
      <c r="O133" s="51"/>
      <c r="P133" s="51"/>
      <c r="Q133" s="51"/>
      <c r="R133" s="51"/>
      <c r="S133" s="51"/>
      <c r="T133" s="51"/>
      <c r="U133" s="51"/>
      <c r="V133" s="51"/>
      <c r="W133" s="51"/>
      <c r="X133" s="51"/>
      <c r="Y133" s="51"/>
      <c r="Z133" s="51"/>
    </row>
    <row r="134" spans="1:26" x14ac:dyDescent="0.3">
      <c r="A134" s="51"/>
      <c r="B134" s="102"/>
      <c r="C134" s="51"/>
      <c r="E134" s="51"/>
      <c r="F134" s="51"/>
      <c r="G134" s="51"/>
      <c r="H134" s="51"/>
      <c r="I134" s="51"/>
      <c r="J134" s="51"/>
      <c r="K134" s="51"/>
      <c r="L134" s="106"/>
      <c r="M134" s="51"/>
      <c r="N134" s="94"/>
      <c r="O134" s="51"/>
      <c r="P134" s="51"/>
      <c r="Q134" s="51"/>
      <c r="R134" s="51"/>
      <c r="S134" s="51"/>
      <c r="T134" s="51"/>
      <c r="U134" s="51"/>
      <c r="V134" s="51"/>
      <c r="W134" s="51"/>
      <c r="X134" s="51"/>
      <c r="Y134" s="51"/>
      <c r="Z134" s="51"/>
    </row>
    <row r="135" spans="1:26" x14ac:dyDescent="0.3">
      <c r="A135" s="51"/>
      <c r="B135" s="102"/>
      <c r="C135" s="51"/>
      <c r="E135" s="51"/>
      <c r="F135" s="51"/>
      <c r="G135" s="51"/>
      <c r="H135" s="51"/>
      <c r="I135" s="51"/>
      <c r="J135" s="51"/>
      <c r="K135" s="51"/>
      <c r="L135" s="106"/>
      <c r="M135" s="51"/>
      <c r="N135" s="94"/>
      <c r="O135" s="51"/>
      <c r="P135" s="51"/>
      <c r="Q135" s="51"/>
      <c r="R135" s="51"/>
      <c r="S135" s="51"/>
      <c r="T135" s="51"/>
      <c r="U135" s="51"/>
      <c r="V135" s="51"/>
      <c r="W135" s="51"/>
      <c r="X135" s="51"/>
      <c r="Y135" s="51"/>
      <c r="Z135" s="51"/>
    </row>
    <row r="136" spans="1:26" x14ac:dyDescent="0.3">
      <c r="A136" s="51"/>
      <c r="B136" s="102"/>
      <c r="C136" s="51"/>
      <c r="E136" s="51"/>
      <c r="F136" s="51"/>
      <c r="G136" s="51"/>
      <c r="H136" s="51"/>
      <c r="I136" s="51"/>
      <c r="J136" s="51"/>
      <c r="K136" s="51"/>
      <c r="L136" s="106"/>
      <c r="M136" s="51"/>
      <c r="N136" s="94"/>
      <c r="O136" s="51"/>
      <c r="P136" s="51"/>
      <c r="Q136" s="51"/>
      <c r="R136" s="51"/>
      <c r="S136" s="51"/>
      <c r="T136" s="51"/>
      <c r="U136" s="51"/>
      <c r="V136" s="51"/>
      <c r="W136" s="51"/>
      <c r="X136" s="51"/>
      <c r="Y136" s="51"/>
      <c r="Z136" s="51"/>
    </row>
    <row r="137" spans="1:26" x14ac:dyDescent="0.3">
      <c r="A137" s="51"/>
      <c r="B137" s="102"/>
      <c r="C137" s="51"/>
      <c r="E137" s="51"/>
      <c r="F137" s="51"/>
      <c r="G137" s="51"/>
      <c r="H137" s="51"/>
      <c r="I137" s="51"/>
      <c r="J137" s="51"/>
      <c r="K137" s="51"/>
      <c r="L137" s="106"/>
      <c r="M137" s="51"/>
      <c r="N137" s="94"/>
      <c r="O137" s="51"/>
      <c r="P137" s="51"/>
      <c r="Q137" s="51"/>
      <c r="R137" s="51"/>
      <c r="S137" s="51"/>
      <c r="T137" s="51"/>
      <c r="U137" s="51"/>
      <c r="V137" s="51"/>
      <c r="W137" s="51"/>
      <c r="X137" s="51"/>
      <c r="Y137" s="51"/>
      <c r="Z137" s="51"/>
    </row>
    <row r="138" spans="1:26" x14ac:dyDescent="0.3">
      <c r="A138" s="51"/>
      <c r="B138" s="102"/>
      <c r="C138" s="51"/>
      <c r="E138" s="51"/>
      <c r="F138" s="51"/>
      <c r="G138" s="51"/>
      <c r="H138" s="51"/>
      <c r="I138" s="51"/>
      <c r="J138" s="51"/>
      <c r="K138" s="51"/>
      <c r="L138" s="106"/>
      <c r="M138" s="51"/>
      <c r="N138" s="94"/>
      <c r="O138" s="51"/>
      <c r="P138" s="51"/>
      <c r="Q138" s="51"/>
      <c r="R138" s="51"/>
      <c r="S138" s="51"/>
      <c r="T138" s="51"/>
      <c r="U138" s="51"/>
      <c r="V138" s="51"/>
      <c r="W138" s="51"/>
      <c r="X138" s="51"/>
      <c r="Y138" s="51"/>
      <c r="Z138" s="51"/>
    </row>
    <row r="139" spans="1:26" x14ac:dyDescent="0.3">
      <c r="A139" s="51"/>
      <c r="B139" s="102"/>
      <c r="C139" s="51"/>
      <c r="E139" s="51"/>
      <c r="F139" s="51"/>
      <c r="G139" s="51"/>
      <c r="H139" s="51"/>
      <c r="I139" s="51"/>
      <c r="J139" s="51"/>
      <c r="K139" s="51"/>
      <c r="L139" s="106"/>
      <c r="M139" s="51"/>
      <c r="N139" s="94"/>
      <c r="O139" s="51"/>
      <c r="P139" s="51"/>
      <c r="Q139" s="51"/>
      <c r="R139" s="51"/>
      <c r="S139" s="51"/>
      <c r="T139" s="51"/>
      <c r="U139" s="51"/>
      <c r="V139" s="51"/>
      <c r="W139" s="51"/>
      <c r="X139" s="51"/>
      <c r="Y139" s="51"/>
      <c r="Z139" s="51"/>
    </row>
    <row r="140" spans="1:26" x14ac:dyDescent="0.3">
      <c r="A140" s="51"/>
      <c r="B140" s="102"/>
      <c r="C140" s="51"/>
      <c r="E140" s="51"/>
      <c r="F140" s="51"/>
      <c r="G140" s="51"/>
      <c r="H140" s="51"/>
      <c r="I140" s="51"/>
      <c r="J140" s="51"/>
      <c r="K140" s="51"/>
      <c r="L140" s="106"/>
      <c r="M140" s="51"/>
      <c r="N140" s="94"/>
      <c r="O140" s="51"/>
      <c r="P140" s="51"/>
      <c r="Q140" s="51"/>
      <c r="R140" s="51"/>
      <c r="S140" s="51"/>
      <c r="T140" s="51"/>
      <c r="U140" s="51"/>
      <c r="V140" s="51"/>
      <c r="W140" s="51"/>
      <c r="X140" s="51"/>
      <c r="Y140" s="51"/>
      <c r="Z140" s="51"/>
    </row>
    <row r="141" spans="1:26" x14ac:dyDescent="0.3">
      <c r="A141" s="51"/>
      <c r="B141" s="102"/>
      <c r="C141" s="51"/>
      <c r="E141" s="51"/>
      <c r="F141" s="51"/>
      <c r="G141" s="51"/>
      <c r="H141" s="51"/>
      <c r="I141" s="51"/>
      <c r="J141" s="51"/>
      <c r="K141" s="51"/>
      <c r="L141" s="106"/>
      <c r="M141" s="51"/>
      <c r="N141" s="94"/>
      <c r="O141" s="51"/>
      <c r="P141" s="51"/>
      <c r="Q141" s="51"/>
      <c r="R141" s="51"/>
      <c r="S141" s="51"/>
      <c r="T141" s="51"/>
      <c r="U141" s="51"/>
      <c r="V141" s="51"/>
      <c r="W141" s="51"/>
      <c r="X141" s="51"/>
      <c r="Y141" s="51"/>
      <c r="Z141" s="51"/>
    </row>
    <row r="142" spans="1:26" x14ac:dyDescent="0.3">
      <c r="A142" s="51"/>
      <c r="B142" s="102"/>
      <c r="C142" s="51"/>
      <c r="E142" s="51"/>
      <c r="F142" s="51"/>
      <c r="G142" s="51"/>
      <c r="H142" s="51"/>
      <c r="I142" s="51"/>
      <c r="J142" s="51"/>
      <c r="K142" s="51"/>
      <c r="L142" s="106"/>
      <c r="M142" s="51"/>
      <c r="N142" s="94"/>
      <c r="O142" s="51"/>
      <c r="P142" s="51"/>
      <c r="Q142" s="51"/>
      <c r="R142" s="51"/>
      <c r="S142" s="51"/>
      <c r="T142" s="51"/>
      <c r="U142" s="51"/>
      <c r="V142" s="51"/>
      <c r="W142" s="51"/>
      <c r="X142" s="51"/>
      <c r="Y142" s="51"/>
      <c r="Z142" s="51"/>
    </row>
    <row r="143" spans="1:26" x14ac:dyDescent="0.3">
      <c r="A143" s="51"/>
      <c r="B143" s="102"/>
      <c r="C143" s="51"/>
      <c r="E143" s="51"/>
      <c r="F143" s="51"/>
      <c r="G143" s="51"/>
      <c r="H143" s="51"/>
      <c r="I143" s="51"/>
      <c r="J143" s="51"/>
      <c r="K143" s="51"/>
      <c r="L143" s="106"/>
      <c r="M143" s="51"/>
      <c r="N143" s="94"/>
      <c r="O143" s="51"/>
      <c r="P143" s="51"/>
      <c r="Q143" s="51"/>
      <c r="R143" s="51"/>
      <c r="S143" s="51"/>
      <c r="T143" s="51"/>
      <c r="U143" s="51"/>
      <c r="V143" s="51"/>
      <c r="W143" s="51"/>
      <c r="X143" s="51"/>
      <c r="Y143" s="51"/>
      <c r="Z143" s="51"/>
    </row>
    <row r="144" spans="1:26" x14ac:dyDescent="0.3">
      <c r="A144" s="51"/>
      <c r="B144" s="102"/>
      <c r="C144" s="51"/>
      <c r="E144" s="51"/>
      <c r="F144" s="51"/>
      <c r="G144" s="51"/>
      <c r="H144" s="51"/>
      <c r="I144" s="51"/>
      <c r="J144" s="51"/>
      <c r="K144" s="51"/>
      <c r="L144" s="106"/>
      <c r="M144" s="51"/>
      <c r="N144" s="94"/>
      <c r="O144" s="51"/>
      <c r="P144" s="51"/>
      <c r="Q144" s="51"/>
      <c r="R144" s="51"/>
      <c r="S144" s="51"/>
      <c r="T144" s="51"/>
      <c r="U144" s="51"/>
      <c r="V144" s="51"/>
      <c r="W144" s="51"/>
      <c r="X144" s="51"/>
      <c r="Y144" s="51"/>
      <c r="Z144" s="51"/>
    </row>
    <row r="145" spans="1:26" x14ac:dyDescent="0.3">
      <c r="A145" s="51"/>
      <c r="B145" s="102"/>
      <c r="C145" s="51"/>
      <c r="E145" s="51"/>
      <c r="F145" s="51"/>
      <c r="G145" s="51"/>
      <c r="H145" s="51"/>
      <c r="I145" s="51"/>
      <c r="J145" s="51"/>
      <c r="K145" s="51"/>
      <c r="L145" s="106"/>
      <c r="M145" s="51"/>
      <c r="N145" s="94"/>
      <c r="O145" s="51"/>
      <c r="P145" s="51"/>
      <c r="Q145" s="51"/>
      <c r="R145" s="51"/>
      <c r="S145" s="51"/>
      <c r="T145" s="51"/>
      <c r="U145" s="51"/>
      <c r="V145" s="51"/>
      <c r="W145" s="51"/>
      <c r="X145" s="51"/>
      <c r="Y145" s="51"/>
      <c r="Z145" s="51"/>
    </row>
    <row r="146" spans="1:26" x14ac:dyDescent="0.3">
      <c r="A146" s="51"/>
      <c r="B146" s="102"/>
      <c r="C146" s="51"/>
      <c r="E146" s="51"/>
      <c r="F146" s="51"/>
      <c r="G146" s="51"/>
      <c r="H146" s="51"/>
      <c r="I146" s="51"/>
      <c r="J146" s="51"/>
      <c r="K146" s="51"/>
      <c r="L146" s="106"/>
      <c r="M146" s="51"/>
      <c r="N146" s="94"/>
      <c r="O146" s="51"/>
      <c r="P146" s="51"/>
      <c r="Q146" s="51"/>
      <c r="R146" s="51"/>
      <c r="S146" s="51"/>
      <c r="T146" s="51"/>
      <c r="U146" s="51"/>
      <c r="V146" s="51"/>
      <c r="W146" s="51"/>
      <c r="X146" s="51"/>
      <c r="Y146" s="51"/>
      <c r="Z146" s="51"/>
    </row>
    <row r="147" spans="1:26" x14ac:dyDescent="0.3">
      <c r="A147" s="51"/>
      <c r="B147" s="102"/>
      <c r="C147" s="51"/>
      <c r="E147" s="51"/>
      <c r="F147" s="51"/>
      <c r="G147" s="51"/>
      <c r="H147" s="51"/>
      <c r="I147" s="51"/>
      <c r="J147" s="51"/>
      <c r="K147" s="51"/>
      <c r="L147" s="106"/>
      <c r="M147" s="51"/>
      <c r="N147" s="94"/>
      <c r="O147" s="51"/>
      <c r="P147" s="51"/>
      <c r="Q147" s="51"/>
      <c r="R147" s="51"/>
      <c r="S147" s="51"/>
      <c r="T147" s="51"/>
      <c r="U147" s="51"/>
      <c r="V147" s="51"/>
      <c r="W147" s="51"/>
      <c r="X147" s="51"/>
      <c r="Y147" s="51"/>
      <c r="Z147" s="51"/>
    </row>
    <row r="148" spans="1:26" x14ac:dyDescent="0.3">
      <c r="A148" s="51"/>
      <c r="B148" s="102"/>
      <c r="C148" s="51"/>
      <c r="E148" s="51"/>
      <c r="F148" s="51"/>
      <c r="G148" s="51"/>
      <c r="H148" s="51"/>
      <c r="I148" s="51"/>
      <c r="J148" s="51"/>
      <c r="K148" s="51"/>
      <c r="L148" s="106"/>
      <c r="M148" s="51"/>
      <c r="N148" s="94"/>
      <c r="O148" s="51"/>
      <c r="P148" s="51"/>
      <c r="Q148" s="51"/>
      <c r="R148" s="51"/>
      <c r="S148" s="51"/>
      <c r="T148" s="51"/>
      <c r="U148" s="51"/>
      <c r="V148" s="51"/>
      <c r="W148" s="51"/>
      <c r="X148" s="51"/>
      <c r="Y148" s="51"/>
      <c r="Z148" s="51"/>
    </row>
    <row r="149" spans="1:26" x14ac:dyDescent="0.3">
      <c r="A149" s="51"/>
      <c r="B149" s="102"/>
      <c r="C149" s="51"/>
      <c r="E149" s="51"/>
      <c r="F149" s="51"/>
      <c r="G149" s="51"/>
      <c r="H149" s="51"/>
      <c r="I149" s="51"/>
      <c r="J149" s="51"/>
      <c r="K149" s="51"/>
      <c r="L149" s="106"/>
      <c r="M149" s="51"/>
      <c r="N149" s="94"/>
      <c r="O149" s="51"/>
      <c r="P149" s="51"/>
      <c r="Q149" s="51"/>
      <c r="R149" s="51"/>
      <c r="S149" s="51"/>
      <c r="T149" s="51"/>
      <c r="U149" s="51"/>
      <c r="V149" s="51"/>
      <c r="W149" s="51"/>
      <c r="X149" s="51"/>
      <c r="Y149" s="51"/>
      <c r="Z149" s="51"/>
    </row>
    <row r="150" spans="1:26" x14ac:dyDescent="0.3">
      <c r="A150" s="51"/>
      <c r="B150" s="102"/>
      <c r="C150" s="51"/>
      <c r="E150" s="51"/>
      <c r="F150" s="51"/>
      <c r="G150" s="51"/>
      <c r="H150" s="51"/>
      <c r="I150" s="51"/>
      <c r="J150" s="51"/>
      <c r="K150" s="51"/>
      <c r="L150" s="106"/>
      <c r="M150" s="51"/>
      <c r="N150" s="94"/>
      <c r="O150" s="51"/>
      <c r="P150" s="51"/>
      <c r="Q150" s="51"/>
      <c r="R150" s="51"/>
      <c r="S150" s="51"/>
      <c r="T150" s="51"/>
      <c r="U150" s="51"/>
      <c r="V150" s="51"/>
      <c r="W150" s="51"/>
      <c r="X150" s="51"/>
      <c r="Y150" s="51"/>
      <c r="Z150" s="51"/>
    </row>
    <row r="151" spans="1:26" x14ac:dyDescent="0.3">
      <c r="A151" s="51"/>
      <c r="B151" s="102"/>
      <c r="C151" s="51"/>
      <c r="E151" s="51"/>
      <c r="F151" s="51"/>
      <c r="G151" s="51"/>
      <c r="H151" s="51"/>
      <c r="I151" s="51"/>
      <c r="J151" s="51"/>
      <c r="K151" s="51"/>
      <c r="L151" s="106"/>
      <c r="M151" s="51"/>
      <c r="N151" s="94"/>
      <c r="O151" s="51"/>
      <c r="P151" s="51"/>
      <c r="Q151" s="51"/>
      <c r="R151" s="51"/>
      <c r="S151" s="51"/>
      <c r="T151" s="51"/>
      <c r="U151" s="51"/>
      <c r="V151" s="51"/>
      <c r="W151" s="51"/>
      <c r="X151" s="51"/>
      <c r="Y151" s="51"/>
      <c r="Z151" s="51"/>
    </row>
    <row r="152" spans="1:26" x14ac:dyDescent="0.3">
      <c r="A152" s="51"/>
      <c r="B152" s="102"/>
      <c r="C152" s="51"/>
      <c r="E152" s="51"/>
      <c r="F152" s="51"/>
      <c r="G152" s="51"/>
      <c r="H152" s="51"/>
      <c r="I152" s="51"/>
      <c r="J152" s="51"/>
      <c r="K152" s="51"/>
      <c r="L152" s="106"/>
      <c r="M152" s="51"/>
      <c r="N152" s="94"/>
      <c r="O152" s="51"/>
      <c r="P152" s="51"/>
      <c r="Q152" s="51"/>
      <c r="R152" s="51"/>
      <c r="S152" s="51"/>
      <c r="T152" s="51"/>
      <c r="U152" s="51"/>
      <c r="V152" s="51"/>
      <c r="W152" s="51"/>
      <c r="X152" s="51"/>
      <c r="Y152" s="51"/>
      <c r="Z152" s="51"/>
    </row>
    <row r="153" spans="1:26" x14ac:dyDescent="0.3">
      <c r="A153" s="51"/>
      <c r="B153" s="102"/>
      <c r="C153" s="51"/>
      <c r="E153" s="51"/>
      <c r="F153" s="51"/>
      <c r="G153" s="51"/>
      <c r="H153" s="51"/>
      <c r="I153" s="51"/>
      <c r="J153" s="51"/>
      <c r="K153" s="51"/>
      <c r="L153" s="106"/>
      <c r="M153" s="51"/>
      <c r="N153" s="94"/>
      <c r="O153" s="51"/>
      <c r="P153" s="51"/>
      <c r="Q153" s="51"/>
      <c r="R153" s="51"/>
      <c r="S153" s="51"/>
      <c r="T153" s="51"/>
      <c r="U153" s="51"/>
      <c r="V153" s="51"/>
      <c r="W153" s="51"/>
      <c r="X153" s="51"/>
      <c r="Y153" s="51"/>
      <c r="Z153" s="51"/>
    </row>
    <row r="154" spans="1:26" x14ac:dyDescent="0.3">
      <c r="A154" s="51"/>
      <c r="B154" s="102"/>
      <c r="C154" s="51"/>
      <c r="E154" s="51"/>
      <c r="F154" s="51"/>
      <c r="G154" s="51"/>
      <c r="H154" s="51"/>
      <c r="I154" s="51"/>
      <c r="J154" s="51"/>
      <c r="K154" s="51"/>
      <c r="L154" s="106"/>
      <c r="M154" s="51"/>
      <c r="N154" s="94"/>
      <c r="O154" s="51"/>
      <c r="P154" s="51"/>
      <c r="Q154" s="51"/>
      <c r="R154" s="51"/>
      <c r="S154" s="51"/>
      <c r="T154" s="51"/>
      <c r="U154" s="51"/>
      <c r="V154" s="51"/>
      <c r="W154" s="51"/>
      <c r="X154" s="51"/>
      <c r="Y154" s="51"/>
      <c r="Z154" s="51"/>
    </row>
    <row r="155" spans="1:26" x14ac:dyDescent="0.3">
      <c r="A155" s="51"/>
      <c r="B155" s="102"/>
      <c r="C155" s="51"/>
      <c r="E155" s="51"/>
      <c r="F155" s="51"/>
      <c r="G155" s="51"/>
      <c r="H155" s="51"/>
      <c r="I155" s="51"/>
      <c r="J155" s="51"/>
      <c r="K155" s="51"/>
      <c r="L155" s="106"/>
      <c r="M155" s="51"/>
      <c r="N155" s="94"/>
      <c r="O155" s="51"/>
      <c r="P155" s="51"/>
      <c r="Q155" s="51"/>
      <c r="R155" s="51"/>
      <c r="S155" s="51"/>
      <c r="T155" s="51"/>
      <c r="U155" s="51"/>
      <c r="V155" s="51"/>
      <c r="W155" s="51"/>
      <c r="X155" s="51"/>
      <c r="Y155" s="51"/>
      <c r="Z155" s="51"/>
    </row>
    <row r="156" spans="1:26" x14ac:dyDescent="0.3">
      <c r="A156" s="51"/>
      <c r="B156" s="102"/>
      <c r="C156" s="51"/>
      <c r="E156" s="51"/>
      <c r="F156" s="51"/>
      <c r="G156" s="51"/>
      <c r="H156" s="51"/>
      <c r="I156" s="51"/>
      <c r="J156" s="51"/>
      <c r="K156" s="51"/>
      <c r="L156" s="106"/>
      <c r="M156" s="51"/>
      <c r="N156" s="94"/>
      <c r="O156" s="51"/>
      <c r="P156" s="51"/>
      <c r="Q156" s="51"/>
      <c r="R156" s="51"/>
      <c r="S156" s="51"/>
      <c r="T156" s="51"/>
      <c r="U156" s="51"/>
      <c r="V156" s="51"/>
      <c r="W156" s="51"/>
      <c r="X156" s="51"/>
      <c r="Y156" s="51"/>
      <c r="Z156" s="51"/>
    </row>
    <row r="157" spans="1:26" x14ac:dyDescent="0.3">
      <c r="A157" s="51"/>
      <c r="B157" s="102"/>
      <c r="C157" s="51"/>
      <c r="E157" s="51"/>
      <c r="F157" s="51"/>
      <c r="G157" s="51"/>
      <c r="H157" s="51"/>
      <c r="I157" s="51"/>
      <c r="J157" s="51"/>
      <c r="K157" s="51"/>
      <c r="L157" s="106"/>
      <c r="M157" s="51"/>
      <c r="N157" s="94"/>
      <c r="O157" s="51"/>
      <c r="P157" s="51"/>
      <c r="Q157" s="51"/>
      <c r="R157" s="51"/>
      <c r="S157" s="51"/>
      <c r="T157" s="51"/>
      <c r="U157" s="51"/>
      <c r="V157" s="51"/>
      <c r="W157" s="51"/>
      <c r="X157" s="51"/>
      <c r="Y157" s="51"/>
      <c r="Z157" s="51"/>
    </row>
    <row r="158" spans="1:26" x14ac:dyDescent="0.3">
      <c r="A158" s="51"/>
      <c r="B158" s="102"/>
      <c r="C158" s="51"/>
      <c r="E158" s="51"/>
      <c r="F158" s="51"/>
      <c r="G158" s="51"/>
      <c r="H158" s="51"/>
      <c r="I158" s="51"/>
      <c r="J158" s="51"/>
      <c r="K158" s="51"/>
      <c r="L158" s="106"/>
      <c r="M158" s="51"/>
      <c r="N158" s="94"/>
      <c r="O158" s="51"/>
      <c r="P158" s="51"/>
      <c r="Q158" s="51"/>
      <c r="R158" s="51"/>
      <c r="S158" s="51"/>
      <c r="T158" s="51"/>
      <c r="U158" s="51"/>
      <c r="V158" s="51"/>
      <c r="W158" s="51"/>
      <c r="X158" s="51"/>
      <c r="Y158" s="51"/>
      <c r="Z158" s="51"/>
    </row>
    <row r="159" spans="1:26" x14ac:dyDescent="0.3">
      <c r="A159" s="51"/>
      <c r="B159" s="102"/>
      <c r="C159" s="51"/>
      <c r="E159" s="51"/>
      <c r="F159" s="51"/>
      <c r="G159" s="51"/>
      <c r="H159" s="51"/>
      <c r="I159" s="51"/>
      <c r="J159" s="51"/>
      <c r="K159" s="51"/>
      <c r="L159" s="106"/>
      <c r="M159" s="51"/>
      <c r="N159" s="94"/>
      <c r="O159" s="51"/>
      <c r="P159" s="51"/>
      <c r="Q159" s="51"/>
      <c r="R159" s="51"/>
      <c r="S159" s="51"/>
      <c r="T159" s="51"/>
      <c r="U159" s="51"/>
      <c r="V159" s="51"/>
      <c r="W159" s="51"/>
      <c r="X159" s="51"/>
      <c r="Y159" s="51"/>
      <c r="Z159" s="51"/>
    </row>
    <row r="160" spans="1:26" x14ac:dyDescent="0.3">
      <c r="A160" s="51"/>
      <c r="B160" s="102"/>
      <c r="C160" s="51"/>
      <c r="E160" s="51"/>
      <c r="F160" s="51"/>
      <c r="G160" s="51"/>
      <c r="H160" s="51"/>
      <c r="I160" s="51"/>
      <c r="J160" s="51"/>
      <c r="K160" s="51"/>
      <c r="L160" s="106"/>
      <c r="M160" s="51"/>
      <c r="N160" s="94"/>
      <c r="O160" s="51"/>
      <c r="P160" s="51"/>
      <c r="Q160" s="51"/>
      <c r="R160" s="51"/>
      <c r="S160" s="51"/>
      <c r="T160" s="51"/>
      <c r="U160" s="51"/>
      <c r="V160" s="51"/>
      <c r="W160" s="51"/>
      <c r="X160" s="51"/>
      <c r="Y160" s="51"/>
      <c r="Z160" s="51"/>
    </row>
    <row r="161" spans="1:26" x14ac:dyDescent="0.3">
      <c r="A161" s="51"/>
      <c r="B161" s="102"/>
      <c r="C161" s="51"/>
      <c r="E161" s="51"/>
      <c r="F161" s="51"/>
      <c r="G161" s="51"/>
      <c r="H161" s="51"/>
      <c r="I161" s="51"/>
      <c r="J161" s="51"/>
      <c r="K161" s="51"/>
      <c r="L161" s="106"/>
      <c r="M161" s="51"/>
      <c r="N161" s="94"/>
      <c r="O161" s="51"/>
      <c r="P161" s="51"/>
      <c r="Q161" s="51"/>
      <c r="R161" s="51"/>
      <c r="S161" s="51"/>
      <c r="T161" s="51"/>
      <c r="U161" s="51"/>
      <c r="V161" s="51"/>
      <c r="W161" s="51"/>
      <c r="X161" s="51"/>
      <c r="Y161" s="51"/>
      <c r="Z161" s="51"/>
    </row>
    <row r="162" spans="1:26" x14ac:dyDescent="0.3">
      <c r="A162" s="51"/>
      <c r="B162" s="102"/>
      <c r="C162" s="51"/>
      <c r="E162" s="51"/>
      <c r="F162" s="51"/>
      <c r="G162" s="51"/>
      <c r="H162" s="51"/>
      <c r="I162" s="51"/>
      <c r="J162" s="51"/>
      <c r="K162" s="51"/>
      <c r="L162" s="106"/>
      <c r="M162" s="51"/>
      <c r="N162" s="94"/>
      <c r="O162" s="51"/>
      <c r="P162" s="51"/>
      <c r="Q162" s="51"/>
      <c r="R162" s="51"/>
      <c r="S162" s="51"/>
      <c r="T162" s="51"/>
      <c r="U162" s="51"/>
      <c r="V162" s="51"/>
      <c r="W162" s="51"/>
      <c r="X162" s="51"/>
      <c r="Y162" s="51"/>
      <c r="Z162" s="51"/>
    </row>
    <row r="163" spans="1:26" x14ac:dyDescent="0.3">
      <c r="A163" s="51"/>
      <c r="B163" s="102"/>
      <c r="C163" s="51"/>
      <c r="E163" s="51"/>
      <c r="F163" s="51"/>
      <c r="G163" s="51"/>
      <c r="H163" s="51"/>
      <c r="I163" s="51"/>
      <c r="J163" s="51"/>
      <c r="K163" s="51"/>
      <c r="L163" s="106"/>
      <c r="M163" s="51"/>
      <c r="N163" s="94"/>
      <c r="O163" s="51"/>
      <c r="P163" s="51"/>
      <c r="Q163" s="51"/>
      <c r="R163" s="51"/>
      <c r="S163" s="51"/>
      <c r="T163" s="51"/>
      <c r="U163" s="51"/>
      <c r="V163" s="51"/>
      <c r="W163" s="51"/>
      <c r="X163" s="51"/>
      <c r="Y163" s="51"/>
      <c r="Z163" s="51"/>
    </row>
    <row r="164" spans="1:26" x14ac:dyDescent="0.3">
      <c r="A164" s="51"/>
      <c r="B164" s="102"/>
      <c r="C164" s="51"/>
      <c r="E164" s="51"/>
      <c r="F164" s="51"/>
      <c r="G164" s="51"/>
      <c r="H164" s="51"/>
      <c r="I164" s="51"/>
      <c r="J164" s="51"/>
      <c r="K164" s="51"/>
      <c r="L164" s="106"/>
      <c r="M164" s="51"/>
      <c r="N164" s="94"/>
      <c r="O164" s="51"/>
      <c r="P164" s="51"/>
      <c r="Q164" s="51"/>
      <c r="R164" s="51"/>
      <c r="S164" s="51"/>
      <c r="T164" s="51"/>
      <c r="U164" s="51"/>
      <c r="V164" s="51"/>
      <c r="W164" s="51"/>
      <c r="X164" s="51"/>
      <c r="Y164" s="51"/>
      <c r="Z164" s="51"/>
    </row>
    <row r="165" spans="1:26" x14ac:dyDescent="0.3">
      <c r="A165" s="51"/>
      <c r="B165" s="102"/>
      <c r="C165" s="51"/>
      <c r="E165" s="51"/>
      <c r="F165" s="51"/>
      <c r="G165" s="51"/>
      <c r="H165" s="51"/>
      <c r="I165" s="51"/>
      <c r="J165" s="51"/>
      <c r="K165" s="51"/>
      <c r="L165" s="106"/>
      <c r="M165" s="51"/>
      <c r="N165" s="94"/>
      <c r="O165" s="51"/>
      <c r="P165" s="51"/>
      <c r="Q165" s="51"/>
      <c r="R165" s="51"/>
      <c r="S165" s="51"/>
      <c r="T165" s="51"/>
      <c r="U165" s="51"/>
      <c r="V165" s="51"/>
      <c r="W165" s="51"/>
      <c r="X165" s="51"/>
      <c r="Y165" s="51"/>
      <c r="Z165" s="51"/>
    </row>
    <row r="166" spans="1:26" x14ac:dyDescent="0.3">
      <c r="A166" s="51"/>
      <c r="B166" s="102"/>
      <c r="C166" s="51"/>
      <c r="E166" s="51"/>
      <c r="F166" s="51"/>
      <c r="G166" s="51"/>
      <c r="H166" s="51"/>
      <c r="I166" s="51"/>
      <c r="J166" s="51"/>
      <c r="K166" s="51"/>
      <c r="L166" s="106"/>
      <c r="M166" s="51"/>
      <c r="N166" s="94"/>
      <c r="O166" s="51"/>
      <c r="P166" s="51"/>
      <c r="Q166" s="51"/>
      <c r="R166" s="51"/>
      <c r="S166" s="51"/>
      <c r="T166" s="51"/>
      <c r="U166" s="51"/>
      <c r="V166" s="51"/>
      <c r="W166" s="51"/>
      <c r="X166" s="51"/>
      <c r="Y166" s="51"/>
      <c r="Z166" s="51"/>
    </row>
    <row r="167" spans="1:26" x14ac:dyDescent="0.3">
      <c r="A167" s="51"/>
      <c r="B167" s="102"/>
      <c r="C167" s="51"/>
      <c r="E167" s="51"/>
      <c r="F167" s="51"/>
      <c r="G167" s="51"/>
      <c r="H167" s="51"/>
      <c r="I167" s="51"/>
      <c r="J167" s="51"/>
      <c r="K167" s="51"/>
      <c r="L167" s="106"/>
      <c r="M167" s="51"/>
      <c r="N167" s="94"/>
      <c r="O167" s="51"/>
      <c r="P167" s="51"/>
      <c r="Q167" s="51"/>
      <c r="R167" s="51"/>
      <c r="S167" s="51"/>
      <c r="T167" s="51"/>
      <c r="U167" s="51"/>
      <c r="V167" s="51"/>
      <c r="W167" s="51"/>
      <c r="X167" s="51"/>
      <c r="Y167" s="51"/>
      <c r="Z167" s="51"/>
    </row>
    <row r="168" spans="1:26" x14ac:dyDescent="0.3">
      <c r="A168" s="51"/>
      <c r="B168" s="102"/>
      <c r="C168" s="51"/>
      <c r="E168" s="51"/>
      <c r="F168" s="51"/>
      <c r="G168" s="51"/>
      <c r="H168" s="51"/>
      <c r="I168" s="51"/>
      <c r="J168" s="51"/>
      <c r="K168" s="51"/>
      <c r="L168" s="106"/>
      <c r="M168" s="51"/>
      <c r="N168" s="94"/>
      <c r="O168" s="51"/>
      <c r="P168" s="51"/>
      <c r="Q168" s="51"/>
      <c r="R168" s="51"/>
      <c r="S168" s="51"/>
      <c r="T168" s="51"/>
      <c r="U168" s="51"/>
      <c r="V168" s="51"/>
      <c r="W168" s="51"/>
      <c r="X168" s="51"/>
      <c r="Y168" s="51"/>
      <c r="Z168" s="51"/>
    </row>
    <row r="169" spans="1:26" x14ac:dyDescent="0.3">
      <c r="A169" s="51"/>
      <c r="B169" s="102"/>
      <c r="C169" s="51"/>
      <c r="E169" s="51"/>
      <c r="F169" s="51"/>
      <c r="G169" s="51"/>
      <c r="H169" s="51"/>
      <c r="I169" s="51"/>
      <c r="J169" s="51"/>
      <c r="K169" s="51"/>
      <c r="L169" s="106"/>
      <c r="M169" s="51"/>
      <c r="N169" s="94"/>
      <c r="O169" s="51"/>
      <c r="P169" s="51"/>
      <c r="Q169" s="51"/>
      <c r="R169" s="51"/>
      <c r="S169" s="51"/>
      <c r="T169" s="51"/>
      <c r="U169" s="51"/>
      <c r="V169" s="51"/>
      <c r="W169" s="51"/>
      <c r="X169" s="51"/>
      <c r="Y169" s="51"/>
      <c r="Z169" s="51"/>
    </row>
    <row r="170" spans="1:26" x14ac:dyDescent="0.3">
      <c r="A170" s="51"/>
      <c r="B170" s="102"/>
      <c r="C170" s="51"/>
      <c r="E170" s="51"/>
      <c r="F170" s="51"/>
      <c r="G170" s="51"/>
      <c r="H170" s="51"/>
      <c r="I170" s="51"/>
      <c r="J170" s="51"/>
      <c r="K170" s="51"/>
      <c r="L170" s="106"/>
      <c r="M170" s="51"/>
      <c r="N170" s="94"/>
      <c r="O170" s="51"/>
      <c r="P170" s="51"/>
      <c r="Q170" s="51"/>
      <c r="R170" s="51"/>
      <c r="S170" s="51"/>
      <c r="T170" s="51"/>
      <c r="U170" s="51"/>
      <c r="V170" s="51"/>
      <c r="W170" s="51"/>
      <c r="X170" s="51"/>
      <c r="Y170" s="51"/>
      <c r="Z170" s="51"/>
    </row>
    <row r="171" spans="1:26" x14ac:dyDescent="0.3">
      <c r="A171" s="51"/>
      <c r="B171" s="102"/>
      <c r="C171" s="51"/>
      <c r="E171" s="51"/>
      <c r="F171" s="51"/>
      <c r="G171" s="51"/>
      <c r="H171" s="51"/>
      <c r="I171" s="51"/>
      <c r="J171" s="51"/>
      <c r="K171" s="51"/>
      <c r="L171" s="106"/>
      <c r="M171" s="51"/>
      <c r="N171" s="94"/>
      <c r="O171" s="51"/>
      <c r="P171" s="51"/>
      <c r="Q171" s="51"/>
      <c r="R171" s="51"/>
      <c r="S171" s="51"/>
      <c r="T171" s="51"/>
      <c r="U171" s="51"/>
      <c r="V171" s="51"/>
      <c r="W171" s="51"/>
      <c r="X171" s="51"/>
      <c r="Y171" s="51"/>
      <c r="Z171" s="51"/>
    </row>
    <row r="172" spans="1:26" x14ac:dyDescent="0.3">
      <c r="A172" s="51"/>
      <c r="B172" s="102"/>
      <c r="C172" s="51"/>
      <c r="E172" s="51"/>
      <c r="F172" s="51"/>
      <c r="G172" s="51"/>
      <c r="H172" s="51"/>
      <c r="I172" s="51"/>
      <c r="J172" s="51"/>
      <c r="K172" s="51"/>
      <c r="L172" s="106"/>
      <c r="M172" s="51"/>
      <c r="N172" s="94"/>
      <c r="O172" s="51"/>
      <c r="P172" s="51"/>
      <c r="Q172" s="51"/>
      <c r="R172" s="51"/>
      <c r="S172" s="51"/>
      <c r="T172" s="51"/>
      <c r="U172" s="51"/>
      <c r="V172" s="51"/>
      <c r="W172" s="51"/>
      <c r="X172" s="51"/>
      <c r="Y172" s="51"/>
      <c r="Z172" s="51"/>
    </row>
    <row r="173" spans="1:26" x14ac:dyDescent="0.3">
      <c r="A173" s="51"/>
      <c r="B173" s="102"/>
      <c r="C173" s="51"/>
      <c r="E173" s="51"/>
      <c r="F173" s="51"/>
      <c r="G173" s="51"/>
      <c r="H173" s="51"/>
      <c r="I173" s="51"/>
      <c r="J173" s="51"/>
      <c r="K173" s="51"/>
      <c r="L173" s="106"/>
      <c r="M173" s="51"/>
      <c r="N173" s="94"/>
      <c r="O173" s="51"/>
      <c r="P173" s="51"/>
      <c r="Q173" s="51"/>
      <c r="R173" s="51"/>
      <c r="S173" s="51"/>
      <c r="T173" s="51"/>
      <c r="U173" s="51"/>
      <c r="V173" s="51"/>
      <c r="W173" s="51"/>
      <c r="X173" s="51"/>
      <c r="Y173" s="51"/>
      <c r="Z173" s="51"/>
    </row>
    <row r="174" spans="1:26" x14ac:dyDescent="0.3">
      <c r="A174" s="51"/>
      <c r="B174" s="102"/>
      <c r="C174" s="51"/>
      <c r="E174" s="51"/>
      <c r="F174" s="51"/>
      <c r="G174" s="51"/>
      <c r="H174" s="51"/>
      <c r="I174" s="51"/>
      <c r="J174" s="51"/>
      <c r="K174" s="51"/>
      <c r="L174" s="106"/>
      <c r="M174" s="51"/>
      <c r="N174" s="94"/>
      <c r="O174" s="51"/>
      <c r="P174" s="51"/>
      <c r="Q174" s="51"/>
      <c r="R174" s="51"/>
      <c r="S174" s="51"/>
      <c r="T174" s="51"/>
      <c r="U174" s="51"/>
      <c r="V174" s="51"/>
      <c r="W174" s="51"/>
      <c r="X174" s="51"/>
      <c r="Y174" s="51"/>
      <c r="Z174" s="51"/>
    </row>
    <row r="175" spans="1:26" x14ac:dyDescent="0.3">
      <c r="A175" s="51"/>
      <c r="B175" s="102"/>
      <c r="C175" s="51"/>
      <c r="E175" s="51"/>
      <c r="F175" s="51"/>
      <c r="G175" s="51"/>
      <c r="H175" s="51"/>
      <c r="I175" s="51"/>
      <c r="J175" s="51"/>
      <c r="K175" s="51"/>
      <c r="L175" s="106"/>
      <c r="M175" s="51"/>
      <c r="N175" s="94"/>
      <c r="O175" s="51"/>
      <c r="P175" s="51"/>
      <c r="Q175" s="51"/>
      <c r="R175" s="51"/>
      <c r="S175" s="51"/>
      <c r="T175" s="51"/>
      <c r="U175" s="51"/>
      <c r="V175" s="51"/>
      <c r="W175" s="51"/>
      <c r="X175" s="51"/>
      <c r="Y175" s="51"/>
      <c r="Z175" s="51"/>
    </row>
    <row r="176" spans="1:26" x14ac:dyDescent="0.3">
      <c r="A176" s="51"/>
      <c r="B176" s="102"/>
      <c r="C176" s="51"/>
      <c r="E176" s="51"/>
      <c r="F176" s="51"/>
      <c r="G176" s="51"/>
      <c r="H176" s="51"/>
      <c r="I176" s="51"/>
      <c r="J176" s="51"/>
      <c r="K176" s="51"/>
      <c r="L176" s="106"/>
      <c r="M176" s="51"/>
      <c r="N176" s="94"/>
      <c r="O176" s="51"/>
      <c r="P176" s="51"/>
      <c r="Q176" s="51"/>
      <c r="R176" s="51"/>
      <c r="S176" s="51"/>
      <c r="T176" s="51"/>
      <c r="U176" s="51"/>
      <c r="V176" s="51"/>
      <c r="W176" s="51"/>
      <c r="X176" s="51"/>
      <c r="Y176" s="51"/>
      <c r="Z176" s="51"/>
    </row>
    <row r="177" spans="1:26" x14ac:dyDescent="0.3">
      <c r="A177" s="51"/>
      <c r="B177" s="102"/>
      <c r="C177" s="51"/>
      <c r="E177" s="51"/>
      <c r="F177" s="51"/>
      <c r="G177" s="51"/>
      <c r="H177" s="51"/>
      <c r="I177" s="51"/>
      <c r="J177" s="51"/>
      <c r="K177" s="51"/>
      <c r="L177" s="106"/>
      <c r="M177" s="51"/>
      <c r="N177" s="94"/>
      <c r="O177" s="51"/>
      <c r="P177" s="51"/>
      <c r="Q177" s="51"/>
      <c r="R177" s="51"/>
      <c r="S177" s="51"/>
      <c r="T177" s="51"/>
      <c r="U177" s="51"/>
      <c r="V177" s="51"/>
      <c r="W177" s="51"/>
      <c r="X177" s="51"/>
      <c r="Y177" s="51"/>
      <c r="Z177" s="51"/>
    </row>
    <row r="178" spans="1:26" x14ac:dyDescent="0.3">
      <c r="A178" s="51"/>
      <c r="B178" s="102"/>
      <c r="C178" s="51"/>
      <c r="E178" s="51"/>
      <c r="F178" s="51"/>
      <c r="G178" s="51"/>
      <c r="H178" s="51"/>
      <c r="I178" s="51"/>
      <c r="J178" s="51"/>
      <c r="K178" s="51"/>
      <c r="L178" s="106"/>
      <c r="M178" s="51"/>
      <c r="N178" s="94"/>
      <c r="O178" s="51"/>
      <c r="P178" s="51"/>
      <c r="Q178" s="51"/>
      <c r="R178" s="51"/>
      <c r="S178" s="51"/>
      <c r="T178" s="51"/>
      <c r="U178" s="51"/>
      <c r="V178" s="51"/>
      <c r="W178" s="51"/>
      <c r="X178" s="51"/>
      <c r="Y178" s="51"/>
      <c r="Z178" s="51"/>
    </row>
    <row r="179" spans="1:26" x14ac:dyDescent="0.3">
      <c r="A179" s="51"/>
      <c r="B179" s="102"/>
      <c r="C179" s="51"/>
      <c r="E179" s="51"/>
      <c r="F179" s="51"/>
      <c r="G179" s="51"/>
      <c r="H179" s="51"/>
      <c r="I179" s="51"/>
      <c r="J179" s="51"/>
      <c r="K179" s="51"/>
      <c r="L179" s="106"/>
      <c r="M179" s="51"/>
      <c r="N179" s="94"/>
      <c r="O179" s="51"/>
      <c r="P179" s="51"/>
      <c r="Q179" s="51"/>
      <c r="R179" s="51"/>
      <c r="S179" s="51"/>
      <c r="T179" s="51"/>
      <c r="U179" s="51"/>
      <c r="V179" s="51"/>
      <c r="W179" s="51"/>
      <c r="X179" s="51"/>
      <c r="Y179" s="51"/>
      <c r="Z179" s="51"/>
    </row>
    <row r="180" spans="1:26" x14ac:dyDescent="0.3">
      <c r="A180" s="51"/>
      <c r="B180" s="102"/>
      <c r="C180" s="51"/>
      <c r="E180" s="51"/>
      <c r="F180" s="51"/>
      <c r="G180" s="51"/>
      <c r="H180" s="51"/>
      <c r="I180" s="51"/>
      <c r="J180" s="51"/>
      <c r="K180" s="51"/>
      <c r="L180" s="106"/>
      <c r="M180" s="51"/>
      <c r="N180" s="94"/>
      <c r="O180" s="51"/>
      <c r="P180" s="51"/>
      <c r="Q180" s="51"/>
      <c r="R180" s="51"/>
      <c r="S180" s="51"/>
      <c r="T180" s="51"/>
      <c r="U180" s="51"/>
      <c r="V180" s="51"/>
      <c r="W180" s="51"/>
      <c r="X180" s="51"/>
      <c r="Y180" s="51"/>
      <c r="Z180" s="51"/>
    </row>
    <row r="181" spans="1:26" x14ac:dyDescent="0.3">
      <c r="A181" s="51"/>
      <c r="B181" s="102"/>
      <c r="C181" s="51"/>
      <c r="E181" s="51"/>
      <c r="F181" s="51"/>
      <c r="G181" s="51"/>
      <c r="H181" s="51"/>
      <c r="I181" s="51"/>
      <c r="J181" s="51"/>
      <c r="K181" s="51"/>
      <c r="L181" s="106"/>
      <c r="M181" s="51"/>
      <c r="N181" s="94"/>
      <c r="O181" s="51"/>
      <c r="P181" s="51"/>
      <c r="Q181" s="51"/>
      <c r="R181" s="51"/>
      <c r="S181" s="51"/>
      <c r="T181" s="51"/>
      <c r="U181" s="51"/>
      <c r="V181" s="51"/>
      <c r="W181" s="51"/>
      <c r="X181" s="51"/>
      <c r="Y181" s="51"/>
      <c r="Z181" s="51"/>
    </row>
    <row r="182" spans="1:26" x14ac:dyDescent="0.3">
      <c r="A182" s="51"/>
      <c r="B182" s="102"/>
      <c r="C182" s="51"/>
      <c r="E182" s="51"/>
      <c r="F182" s="51"/>
      <c r="G182" s="51"/>
      <c r="H182" s="51"/>
      <c r="I182" s="51"/>
      <c r="J182" s="51"/>
      <c r="K182" s="51"/>
      <c r="L182" s="106"/>
      <c r="M182" s="51"/>
      <c r="N182" s="94"/>
      <c r="O182" s="51"/>
      <c r="P182" s="51"/>
      <c r="Q182" s="51"/>
      <c r="R182" s="51"/>
      <c r="S182" s="51"/>
      <c r="T182" s="51"/>
      <c r="U182" s="51"/>
      <c r="V182" s="51"/>
      <c r="W182" s="51"/>
      <c r="X182" s="51"/>
      <c r="Y182" s="51"/>
      <c r="Z182" s="51"/>
    </row>
    <row r="183" spans="1:26" x14ac:dyDescent="0.3">
      <c r="A183" s="51"/>
      <c r="B183" s="102"/>
      <c r="C183" s="51"/>
      <c r="E183" s="51"/>
      <c r="F183" s="51"/>
      <c r="G183" s="51"/>
      <c r="H183" s="51"/>
      <c r="I183" s="51"/>
      <c r="J183" s="51"/>
      <c r="K183" s="51"/>
      <c r="L183" s="106"/>
      <c r="M183" s="51"/>
      <c r="N183" s="94"/>
      <c r="O183" s="51"/>
      <c r="P183" s="51"/>
      <c r="Q183" s="51"/>
      <c r="R183" s="51"/>
      <c r="S183" s="51"/>
      <c r="T183" s="51"/>
      <c r="U183" s="51"/>
      <c r="V183" s="51"/>
      <c r="W183" s="51"/>
      <c r="X183" s="51"/>
      <c r="Y183" s="51"/>
      <c r="Z183" s="51"/>
    </row>
    <row r="184" spans="1:26" x14ac:dyDescent="0.3">
      <c r="A184" s="51"/>
      <c r="B184" s="102"/>
      <c r="C184" s="51"/>
      <c r="E184" s="51"/>
      <c r="F184" s="51"/>
      <c r="G184" s="51"/>
      <c r="H184" s="51"/>
      <c r="I184" s="51"/>
      <c r="J184" s="51"/>
      <c r="K184" s="51"/>
      <c r="L184" s="106"/>
      <c r="M184" s="51"/>
      <c r="N184" s="94"/>
      <c r="O184" s="51"/>
      <c r="P184" s="51"/>
      <c r="Q184" s="51"/>
      <c r="R184" s="51"/>
      <c r="S184" s="51"/>
      <c r="T184" s="51"/>
      <c r="U184" s="51"/>
      <c r="V184" s="51"/>
      <c r="W184" s="51"/>
      <c r="X184" s="51"/>
      <c r="Y184" s="51"/>
      <c r="Z184" s="51"/>
    </row>
    <row r="185" spans="1:26" x14ac:dyDescent="0.3">
      <c r="A185" s="51"/>
      <c r="B185" s="102"/>
      <c r="C185" s="51"/>
      <c r="E185" s="51"/>
      <c r="F185" s="51"/>
      <c r="G185" s="51"/>
      <c r="H185" s="51"/>
      <c r="I185" s="51"/>
      <c r="J185" s="51"/>
      <c r="K185" s="51"/>
      <c r="L185" s="106"/>
      <c r="M185" s="51"/>
      <c r="N185" s="94"/>
      <c r="O185" s="51"/>
      <c r="P185" s="51"/>
      <c r="Q185" s="51"/>
      <c r="R185" s="51"/>
      <c r="S185" s="51"/>
      <c r="T185" s="51"/>
      <c r="U185" s="51"/>
      <c r="V185" s="51"/>
      <c r="W185" s="51"/>
      <c r="X185" s="51"/>
      <c r="Y185" s="51"/>
      <c r="Z185" s="51"/>
    </row>
    <row r="186" spans="1:26" x14ac:dyDescent="0.3">
      <c r="A186" s="51"/>
      <c r="B186" s="102"/>
      <c r="C186" s="51"/>
      <c r="E186" s="51"/>
      <c r="F186" s="51"/>
      <c r="G186" s="51"/>
      <c r="H186" s="51"/>
      <c r="I186" s="51"/>
      <c r="J186" s="51"/>
      <c r="K186" s="51"/>
      <c r="L186" s="106"/>
      <c r="M186" s="51"/>
      <c r="N186" s="94"/>
      <c r="O186" s="51"/>
      <c r="P186" s="51"/>
      <c r="Q186" s="51"/>
      <c r="R186" s="51"/>
      <c r="S186" s="51"/>
      <c r="T186" s="51"/>
      <c r="U186" s="51"/>
      <c r="V186" s="51"/>
      <c r="W186" s="51"/>
      <c r="X186" s="51"/>
      <c r="Y186" s="51"/>
      <c r="Z186" s="51"/>
    </row>
    <row r="187" spans="1:26" x14ac:dyDescent="0.3">
      <c r="A187" s="51"/>
      <c r="B187" s="102"/>
      <c r="C187" s="51"/>
      <c r="E187" s="51"/>
      <c r="F187" s="51"/>
      <c r="G187" s="51"/>
      <c r="H187" s="51"/>
      <c r="I187" s="51"/>
      <c r="J187" s="51"/>
      <c r="K187" s="51"/>
      <c r="L187" s="106"/>
      <c r="M187" s="51"/>
      <c r="N187" s="94"/>
      <c r="O187" s="51"/>
      <c r="P187" s="51"/>
      <c r="Q187" s="51"/>
      <c r="R187" s="51"/>
      <c r="S187" s="51"/>
      <c r="T187" s="51"/>
      <c r="U187" s="51"/>
      <c r="V187" s="51"/>
      <c r="W187" s="51"/>
      <c r="X187" s="51"/>
      <c r="Y187" s="51"/>
      <c r="Z187" s="51"/>
    </row>
    <row r="188" spans="1:26" x14ac:dyDescent="0.3">
      <c r="A188" s="51"/>
      <c r="B188" s="102"/>
      <c r="C188" s="51"/>
      <c r="E188" s="51"/>
      <c r="F188" s="51"/>
      <c r="G188" s="51"/>
      <c r="H188" s="51"/>
      <c r="I188" s="51"/>
      <c r="J188" s="51"/>
      <c r="K188" s="51"/>
      <c r="L188" s="106"/>
      <c r="M188" s="51"/>
      <c r="N188" s="94"/>
      <c r="O188" s="51"/>
      <c r="P188" s="51"/>
      <c r="Q188" s="51"/>
      <c r="R188" s="51"/>
      <c r="S188" s="51"/>
      <c r="T188" s="51"/>
      <c r="U188" s="51"/>
      <c r="V188" s="51"/>
      <c r="W188" s="51"/>
      <c r="X188" s="51"/>
      <c r="Y188" s="51"/>
      <c r="Z188" s="51"/>
    </row>
    <row r="189" spans="1:26" x14ac:dyDescent="0.3">
      <c r="A189" s="51"/>
      <c r="B189" s="102"/>
      <c r="C189" s="51"/>
      <c r="E189" s="51"/>
      <c r="F189" s="51"/>
      <c r="G189" s="51"/>
      <c r="H189" s="51"/>
      <c r="I189" s="51"/>
      <c r="J189" s="51"/>
      <c r="K189" s="51"/>
      <c r="L189" s="106"/>
      <c r="M189" s="51"/>
      <c r="N189" s="94"/>
      <c r="O189" s="51"/>
      <c r="P189" s="51"/>
      <c r="Q189" s="51"/>
      <c r="R189" s="51"/>
      <c r="S189" s="51"/>
      <c r="T189" s="51"/>
      <c r="U189" s="51"/>
      <c r="V189" s="51"/>
      <c r="W189" s="51"/>
      <c r="X189" s="51"/>
      <c r="Y189" s="51"/>
      <c r="Z189" s="51"/>
    </row>
    <row r="190" spans="1:26" x14ac:dyDescent="0.3">
      <c r="A190" s="51"/>
      <c r="B190" s="102"/>
      <c r="C190" s="51"/>
      <c r="E190" s="51"/>
      <c r="F190" s="51"/>
      <c r="G190" s="51"/>
      <c r="H190" s="51"/>
      <c r="I190" s="51"/>
      <c r="J190" s="51"/>
      <c r="K190" s="51"/>
      <c r="L190" s="106"/>
      <c r="M190" s="51"/>
      <c r="N190" s="94"/>
      <c r="O190" s="51"/>
      <c r="P190" s="51"/>
      <c r="Q190" s="51"/>
      <c r="R190" s="51"/>
      <c r="S190" s="51"/>
      <c r="T190" s="51"/>
      <c r="U190" s="51"/>
      <c r="V190" s="51"/>
      <c r="W190" s="51"/>
      <c r="X190" s="51"/>
      <c r="Y190" s="51"/>
      <c r="Z190" s="51"/>
    </row>
    <row r="191" spans="1:26" x14ac:dyDescent="0.3">
      <c r="A191" s="51"/>
      <c r="B191" s="102"/>
      <c r="C191" s="51"/>
      <c r="E191" s="51"/>
      <c r="F191" s="51"/>
      <c r="G191" s="51"/>
      <c r="H191" s="51"/>
      <c r="I191" s="51"/>
      <c r="J191" s="51"/>
      <c r="K191" s="51"/>
      <c r="L191" s="106"/>
      <c r="M191" s="51"/>
      <c r="N191" s="94"/>
      <c r="O191" s="51"/>
      <c r="P191" s="51"/>
      <c r="Q191" s="51"/>
      <c r="R191" s="51"/>
      <c r="S191" s="51"/>
      <c r="T191" s="51"/>
      <c r="U191" s="51"/>
      <c r="V191" s="51"/>
      <c r="W191" s="51"/>
      <c r="X191" s="51"/>
      <c r="Y191" s="51"/>
      <c r="Z191" s="51"/>
    </row>
    <row r="192" spans="1:26" x14ac:dyDescent="0.3">
      <c r="A192" s="51"/>
      <c r="B192" s="102"/>
      <c r="C192" s="51"/>
      <c r="E192" s="51"/>
      <c r="F192" s="51"/>
      <c r="G192" s="51"/>
      <c r="H192" s="51"/>
      <c r="I192" s="51"/>
      <c r="J192" s="51"/>
      <c r="K192" s="51"/>
      <c r="L192" s="106"/>
      <c r="M192" s="51"/>
      <c r="N192" s="94"/>
      <c r="O192" s="51"/>
      <c r="P192" s="51"/>
      <c r="Q192" s="51"/>
      <c r="R192" s="51"/>
      <c r="S192" s="51"/>
      <c r="T192" s="51"/>
      <c r="U192" s="51"/>
      <c r="V192" s="51"/>
      <c r="W192" s="51"/>
      <c r="X192" s="51"/>
      <c r="Y192" s="51"/>
      <c r="Z192" s="51"/>
    </row>
    <row r="193" spans="1:26" x14ac:dyDescent="0.3">
      <c r="A193" s="51"/>
      <c r="B193" s="102"/>
      <c r="C193" s="51"/>
      <c r="E193" s="51"/>
      <c r="F193" s="51"/>
      <c r="G193" s="51"/>
      <c r="H193" s="51"/>
      <c r="I193" s="51"/>
      <c r="J193" s="51"/>
      <c r="K193" s="51"/>
      <c r="L193" s="106"/>
      <c r="M193" s="51"/>
      <c r="N193" s="94"/>
      <c r="O193" s="51"/>
      <c r="P193" s="51"/>
      <c r="Q193" s="51"/>
      <c r="R193" s="51"/>
      <c r="S193" s="51"/>
      <c r="T193" s="51"/>
      <c r="U193" s="51"/>
      <c r="V193" s="51"/>
      <c r="W193" s="51"/>
      <c r="X193" s="51"/>
      <c r="Y193" s="51"/>
      <c r="Z193" s="51"/>
    </row>
    <row r="194" spans="1:26" x14ac:dyDescent="0.3">
      <c r="A194" s="51"/>
      <c r="B194" s="102"/>
      <c r="C194" s="51"/>
      <c r="E194" s="51"/>
      <c r="F194" s="51"/>
      <c r="G194" s="51"/>
      <c r="H194" s="51"/>
      <c r="I194" s="51"/>
      <c r="J194" s="51"/>
      <c r="K194" s="51"/>
      <c r="L194" s="106"/>
      <c r="M194" s="51"/>
      <c r="N194" s="94"/>
      <c r="O194" s="51"/>
      <c r="P194" s="51"/>
      <c r="Q194" s="51"/>
      <c r="R194" s="51"/>
      <c r="S194" s="51"/>
      <c r="T194" s="51"/>
      <c r="U194" s="51"/>
      <c r="V194" s="51"/>
      <c r="W194" s="51"/>
      <c r="X194" s="51"/>
      <c r="Y194" s="51"/>
      <c r="Z194" s="51"/>
    </row>
    <row r="195" spans="1:26" x14ac:dyDescent="0.3">
      <c r="A195" s="51"/>
      <c r="B195" s="102"/>
      <c r="C195" s="51"/>
      <c r="E195" s="51"/>
      <c r="F195" s="51"/>
      <c r="G195" s="51"/>
      <c r="H195" s="51"/>
      <c r="I195" s="51"/>
      <c r="J195" s="51"/>
      <c r="K195" s="51"/>
      <c r="L195" s="106"/>
      <c r="M195" s="51"/>
      <c r="N195" s="94"/>
      <c r="O195" s="51"/>
      <c r="P195" s="51"/>
      <c r="Q195" s="51"/>
      <c r="R195" s="51"/>
      <c r="S195" s="51"/>
      <c r="T195" s="51"/>
      <c r="U195" s="51"/>
      <c r="V195" s="51"/>
      <c r="W195" s="51"/>
      <c r="X195" s="51"/>
      <c r="Y195" s="51"/>
      <c r="Z195" s="51"/>
    </row>
    <row r="196" spans="1:26" x14ac:dyDescent="0.3">
      <c r="A196" s="51"/>
      <c r="B196" s="102"/>
      <c r="C196" s="51"/>
      <c r="E196" s="51"/>
      <c r="F196" s="51"/>
      <c r="G196" s="51"/>
      <c r="H196" s="51"/>
      <c r="I196" s="51"/>
      <c r="J196" s="51"/>
      <c r="K196" s="51"/>
      <c r="L196" s="106"/>
      <c r="M196" s="51"/>
      <c r="N196" s="94"/>
      <c r="O196" s="51"/>
      <c r="P196" s="51"/>
      <c r="Q196" s="51"/>
      <c r="R196" s="51"/>
      <c r="S196" s="51"/>
      <c r="T196" s="51"/>
      <c r="U196" s="51"/>
      <c r="V196" s="51"/>
      <c r="W196" s="51"/>
      <c r="X196" s="51"/>
      <c r="Y196" s="51"/>
      <c r="Z196" s="51"/>
    </row>
    <row r="197" spans="1:26" x14ac:dyDescent="0.3">
      <c r="A197" s="51"/>
      <c r="B197" s="102"/>
      <c r="C197" s="51"/>
      <c r="E197" s="51"/>
      <c r="F197" s="51"/>
      <c r="G197" s="51"/>
      <c r="H197" s="51"/>
      <c r="I197" s="51"/>
      <c r="J197" s="51"/>
      <c r="K197" s="51"/>
      <c r="L197" s="106"/>
      <c r="M197" s="51"/>
      <c r="N197" s="94"/>
      <c r="O197" s="51"/>
      <c r="P197" s="51"/>
      <c r="Q197" s="51"/>
      <c r="R197" s="51"/>
      <c r="S197" s="51"/>
      <c r="T197" s="51"/>
      <c r="U197" s="51"/>
      <c r="V197" s="51"/>
      <c r="W197" s="51"/>
      <c r="X197" s="51"/>
      <c r="Y197" s="51"/>
      <c r="Z197" s="51"/>
    </row>
    <row r="198" spans="1:26" x14ac:dyDescent="0.3">
      <c r="A198" s="51"/>
      <c r="B198" s="102"/>
      <c r="C198" s="51"/>
      <c r="E198" s="51"/>
      <c r="F198" s="51"/>
      <c r="G198" s="51"/>
      <c r="H198" s="51"/>
      <c r="I198" s="51"/>
      <c r="J198" s="51"/>
      <c r="K198" s="51"/>
      <c r="L198" s="106"/>
      <c r="M198" s="51"/>
      <c r="N198" s="94"/>
      <c r="O198" s="51"/>
      <c r="P198" s="51"/>
      <c r="Q198" s="51"/>
      <c r="R198" s="51"/>
      <c r="S198" s="51"/>
      <c r="T198" s="51"/>
      <c r="U198" s="51"/>
      <c r="V198" s="51"/>
      <c r="W198" s="51"/>
      <c r="X198" s="51"/>
      <c r="Y198" s="51"/>
      <c r="Z198" s="51"/>
    </row>
    <row r="199" spans="1:26" x14ac:dyDescent="0.3">
      <c r="A199" s="51"/>
      <c r="B199" s="102"/>
      <c r="C199" s="51"/>
      <c r="E199" s="51"/>
      <c r="F199" s="51"/>
      <c r="G199" s="51"/>
      <c r="H199" s="51"/>
      <c r="I199" s="51"/>
      <c r="J199" s="51"/>
      <c r="K199" s="51"/>
      <c r="L199" s="106"/>
      <c r="M199" s="51"/>
      <c r="N199" s="94"/>
      <c r="O199" s="51"/>
      <c r="P199" s="51"/>
      <c r="Q199" s="51"/>
      <c r="R199" s="51"/>
      <c r="S199" s="51"/>
      <c r="T199" s="51"/>
      <c r="U199" s="51"/>
      <c r="V199" s="51"/>
      <c r="W199" s="51"/>
      <c r="X199" s="51"/>
      <c r="Y199" s="51"/>
      <c r="Z199" s="51"/>
    </row>
    <row r="200" spans="1:26" x14ac:dyDescent="0.3">
      <c r="A200" s="51"/>
      <c r="B200" s="102"/>
      <c r="C200" s="51"/>
      <c r="E200" s="51"/>
      <c r="F200" s="51"/>
      <c r="G200" s="51"/>
      <c r="H200" s="51"/>
      <c r="I200" s="51"/>
      <c r="J200" s="51"/>
      <c r="K200" s="51"/>
      <c r="L200" s="106"/>
      <c r="M200" s="51"/>
      <c r="N200" s="94"/>
      <c r="O200" s="51"/>
      <c r="P200" s="51"/>
      <c r="Q200" s="51"/>
      <c r="R200" s="51"/>
      <c r="S200" s="51"/>
      <c r="T200" s="51"/>
      <c r="U200" s="51"/>
      <c r="V200" s="51"/>
      <c r="W200" s="51"/>
      <c r="X200" s="51"/>
      <c r="Y200" s="51"/>
      <c r="Z200" s="51"/>
    </row>
    <row r="201" spans="1:26" x14ac:dyDescent="0.3">
      <c r="A201" s="51"/>
      <c r="B201" s="102"/>
      <c r="C201" s="51"/>
      <c r="E201" s="51"/>
      <c r="F201" s="51"/>
      <c r="G201" s="51"/>
      <c r="H201" s="51"/>
      <c r="I201" s="51"/>
      <c r="J201" s="51"/>
      <c r="K201" s="51"/>
      <c r="L201" s="106"/>
      <c r="M201" s="51"/>
      <c r="N201" s="94"/>
      <c r="O201" s="51"/>
      <c r="P201" s="51"/>
      <c r="Q201" s="51"/>
      <c r="R201" s="51"/>
      <c r="S201" s="51"/>
      <c r="T201" s="51"/>
      <c r="U201" s="51"/>
      <c r="V201" s="51"/>
      <c r="W201" s="51"/>
      <c r="X201" s="51"/>
      <c r="Y201" s="51"/>
      <c r="Z201" s="51"/>
    </row>
    <row r="202" spans="1:26" x14ac:dyDescent="0.3">
      <c r="A202" s="51"/>
      <c r="B202" s="102"/>
      <c r="C202" s="51"/>
      <c r="E202" s="51"/>
      <c r="F202" s="51"/>
      <c r="G202" s="51"/>
      <c r="H202" s="51"/>
      <c r="I202" s="51"/>
      <c r="J202" s="51"/>
      <c r="K202" s="51"/>
      <c r="L202" s="106"/>
      <c r="M202" s="51"/>
      <c r="N202" s="94"/>
      <c r="O202" s="51"/>
      <c r="P202" s="51"/>
      <c r="Q202" s="51"/>
      <c r="R202" s="51"/>
      <c r="S202" s="51"/>
      <c r="T202" s="51"/>
      <c r="U202" s="51"/>
      <c r="V202" s="51"/>
      <c r="W202" s="51"/>
      <c r="X202" s="51"/>
      <c r="Y202" s="51"/>
      <c r="Z202" s="51"/>
    </row>
    <row r="203" spans="1:26" x14ac:dyDescent="0.3">
      <c r="A203" s="51"/>
      <c r="B203" s="102"/>
      <c r="C203" s="51"/>
      <c r="E203" s="51"/>
      <c r="F203" s="51"/>
      <c r="G203" s="51"/>
      <c r="H203" s="51"/>
      <c r="I203" s="51"/>
      <c r="J203" s="51"/>
      <c r="K203" s="51"/>
      <c r="L203" s="106"/>
      <c r="M203" s="51"/>
      <c r="N203" s="94"/>
      <c r="O203" s="51"/>
      <c r="P203" s="51"/>
      <c r="Q203" s="51"/>
      <c r="R203" s="51"/>
      <c r="S203" s="51"/>
      <c r="T203" s="51"/>
      <c r="U203" s="51"/>
      <c r="V203" s="51"/>
      <c r="W203" s="51"/>
      <c r="X203" s="51"/>
      <c r="Y203" s="51"/>
      <c r="Z203" s="51"/>
    </row>
    <row r="204" spans="1:26" x14ac:dyDescent="0.3">
      <c r="A204" s="51"/>
      <c r="B204" s="102"/>
      <c r="C204" s="51"/>
      <c r="E204" s="51"/>
      <c r="F204" s="51"/>
      <c r="G204" s="51"/>
      <c r="H204" s="51"/>
      <c r="I204" s="51"/>
      <c r="J204" s="51"/>
      <c r="K204" s="51"/>
      <c r="L204" s="106"/>
      <c r="M204" s="51"/>
      <c r="N204" s="94"/>
      <c r="O204" s="51"/>
      <c r="P204" s="51"/>
      <c r="Q204" s="51"/>
      <c r="R204" s="51"/>
      <c r="S204" s="51"/>
      <c r="T204" s="51"/>
      <c r="U204" s="51"/>
      <c r="V204" s="51"/>
      <c r="W204" s="51"/>
      <c r="X204" s="51"/>
      <c r="Y204" s="51"/>
      <c r="Z204" s="51"/>
    </row>
    <row r="205" spans="1:26" x14ac:dyDescent="0.3">
      <c r="A205" s="51"/>
      <c r="B205" s="102"/>
      <c r="C205" s="51"/>
      <c r="E205" s="51"/>
      <c r="F205" s="51"/>
      <c r="G205" s="51"/>
      <c r="H205" s="51"/>
      <c r="I205" s="51"/>
      <c r="J205" s="51"/>
      <c r="K205" s="51"/>
      <c r="L205" s="106"/>
      <c r="M205" s="51"/>
      <c r="N205" s="94"/>
      <c r="O205" s="51"/>
      <c r="P205" s="51"/>
      <c r="Q205" s="51"/>
      <c r="R205" s="51"/>
      <c r="S205" s="51"/>
      <c r="T205" s="51"/>
      <c r="U205" s="51"/>
      <c r="V205" s="51"/>
      <c r="W205" s="51"/>
      <c r="X205" s="51"/>
      <c r="Y205" s="51"/>
      <c r="Z205" s="51"/>
    </row>
    <row r="206" spans="1:26" x14ac:dyDescent="0.3">
      <c r="A206" s="51"/>
      <c r="B206" s="102"/>
      <c r="C206" s="51"/>
      <c r="E206" s="51"/>
      <c r="F206" s="51"/>
      <c r="G206" s="51"/>
      <c r="H206" s="51"/>
      <c r="I206" s="51"/>
      <c r="J206" s="51"/>
      <c r="K206" s="51"/>
      <c r="L206" s="106"/>
      <c r="M206" s="51"/>
      <c r="N206" s="94"/>
      <c r="O206" s="51"/>
      <c r="P206" s="51"/>
      <c r="Q206" s="51"/>
      <c r="R206" s="51"/>
      <c r="S206" s="51"/>
      <c r="T206" s="51"/>
      <c r="U206" s="51"/>
      <c r="V206" s="51"/>
      <c r="W206" s="51"/>
      <c r="X206" s="51"/>
      <c r="Y206" s="51"/>
      <c r="Z206" s="51"/>
    </row>
    <row r="207" spans="1:26" x14ac:dyDescent="0.3">
      <c r="A207" s="51"/>
      <c r="B207" s="102"/>
      <c r="C207" s="51"/>
      <c r="E207" s="51"/>
      <c r="F207" s="51"/>
      <c r="G207" s="51"/>
      <c r="H207" s="51"/>
      <c r="I207" s="51"/>
      <c r="J207" s="51"/>
      <c r="K207" s="51"/>
      <c r="L207" s="106"/>
      <c r="M207" s="51"/>
      <c r="N207" s="94"/>
      <c r="O207" s="51"/>
      <c r="P207" s="51"/>
      <c r="Q207" s="51"/>
      <c r="R207" s="51"/>
      <c r="S207" s="51"/>
      <c r="T207" s="51"/>
      <c r="U207" s="51"/>
      <c r="V207" s="51"/>
      <c r="W207" s="51"/>
      <c r="X207" s="51"/>
      <c r="Y207" s="51"/>
      <c r="Z207" s="51"/>
    </row>
    <row r="208" spans="1:26" x14ac:dyDescent="0.3">
      <c r="A208" s="51"/>
      <c r="B208" s="102"/>
      <c r="C208" s="51"/>
      <c r="E208" s="51"/>
      <c r="F208" s="51"/>
      <c r="G208" s="51"/>
      <c r="H208" s="51"/>
      <c r="I208" s="51"/>
      <c r="J208" s="51"/>
      <c r="K208" s="51"/>
      <c r="L208" s="106"/>
      <c r="M208" s="51"/>
      <c r="N208" s="94"/>
      <c r="O208" s="51"/>
      <c r="P208" s="51"/>
      <c r="Q208" s="51"/>
      <c r="R208" s="51"/>
      <c r="S208" s="51"/>
      <c r="T208" s="51"/>
      <c r="U208" s="51"/>
      <c r="V208" s="51"/>
      <c r="W208" s="51"/>
      <c r="X208" s="51"/>
      <c r="Y208" s="51"/>
      <c r="Z208" s="51"/>
    </row>
    <row r="209" spans="1:26" x14ac:dyDescent="0.3">
      <c r="A209" s="51"/>
      <c r="B209" s="102"/>
      <c r="C209" s="51"/>
      <c r="E209" s="51"/>
      <c r="F209" s="51"/>
      <c r="G209" s="51"/>
      <c r="H209" s="51"/>
      <c r="I209" s="51"/>
      <c r="J209" s="51"/>
      <c r="K209" s="51"/>
      <c r="L209" s="106"/>
      <c r="M209" s="51"/>
      <c r="N209" s="94"/>
      <c r="O209" s="51"/>
      <c r="P209" s="51"/>
      <c r="Q209" s="51"/>
      <c r="R209" s="51"/>
      <c r="S209" s="51"/>
      <c r="T209" s="51"/>
      <c r="U209" s="51"/>
      <c r="V209" s="51"/>
      <c r="W209" s="51"/>
      <c r="X209" s="51"/>
      <c r="Y209" s="51"/>
      <c r="Z209" s="51"/>
    </row>
    <row r="210" spans="1:26" x14ac:dyDescent="0.3">
      <c r="A210" s="51"/>
      <c r="B210" s="102"/>
      <c r="C210" s="51"/>
      <c r="E210" s="51"/>
      <c r="F210" s="51"/>
      <c r="G210" s="51"/>
      <c r="H210" s="51"/>
      <c r="I210" s="51"/>
      <c r="J210" s="51"/>
      <c r="K210" s="51"/>
      <c r="L210" s="106"/>
      <c r="M210" s="51"/>
      <c r="N210" s="94"/>
      <c r="O210" s="51"/>
      <c r="P210" s="51"/>
      <c r="Q210" s="51"/>
      <c r="R210" s="51"/>
      <c r="S210" s="51"/>
      <c r="T210" s="51"/>
      <c r="U210" s="51"/>
      <c r="V210" s="51"/>
      <c r="W210" s="51"/>
      <c r="X210" s="51"/>
      <c r="Y210" s="51"/>
      <c r="Z210" s="51"/>
    </row>
    <row r="211" spans="1:26" x14ac:dyDescent="0.3">
      <c r="A211" s="51"/>
      <c r="B211" s="102"/>
      <c r="C211" s="51"/>
      <c r="E211" s="51"/>
      <c r="F211" s="51"/>
      <c r="G211" s="51"/>
      <c r="H211" s="51"/>
      <c r="I211" s="51"/>
      <c r="J211" s="51"/>
      <c r="K211" s="51"/>
      <c r="L211" s="106"/>
      <c r="M211" s="51"/>
      <c r="N211" s="94"/>
      <c r="O211" s="51"/>
      <c r="P211" s="51"/>
      <c r="Q211" s="51"/>
      <c r="R211" s="51"/>
      <c r="S211" s="51"/>
      <c r="T211" s="51"/>
      <c r="U211" s="51"/>
      <c r="V211" s="51"/>
      <c r="W211" s="51"/>
      <c r="X211" s="51"/>
      <c r="Y211" s="51"/>
      <c r="Z211" s="51"/>
    </row>
    <row r="212" spans="1:26" x14ac:dyDescent="0.3">
      <c r="A212" s="51"/>
      <c r="B212" s="102"/>
      <c r="C212" s="51"/>
      <c r="E212" s="51"/>
      <c r="F212" s="51"/>
      <c r="G212" s="51"/>
      <c r="H212" s="51"/>
      <c r="I212" s="51"/>
      <c r="J212" s="51"/>
      <c r="K212" s="51"/>
      <c r="L212" s="106"/>
      <c r="M212" s="51"/>
      <c r="N212" s="94"/>
      <c r="O212" s="51"/>
      <c r="P212" s="51"/>
      <c r="Q212" s="51"/>
      <c r="R212" s="51"/>
      <c r="S212" s="51"/>
      <c r="T212" s="51"/>
      <c r="U212" s="51"/>
      <c r="V212" s="51"/>
      <c r="W212" s="51"/>
      <c r="X212" s="51"/>
      <c r="Y212" s="51"/>
      <c r="Z212" s="51"/>
    </row>
    <row r="213" spans="1:26" x14ac:dyDescent="0.3">
      <c r="A213" s="51"/>
      <c r="B213" s="102"/>
      <c r="C213" s="51"/>
      <c r="E213" s="51"/>
      <c r="F213" s="51"/>
      <c r="G213" s="51"/>
      <c r="H213" s="51"/>
      <c r="I213" s="51"/>
      <c r="J213" s="51"/>
      <c r="K213" s="51"/>
      <c r="L213" s="106"/>
      <c r="M213" s="51"/>
      <c r="N213" s="94"/>
      <c r="O213" s="51"/>
      <c r="P213" s="51"/>
      <c r="Q213" s="51"/>
      <c r="R213" s="51"/>
      <c r="S213" s="51"/>
      <c r="T213" s="51"/>
      <c r="U213" s="51"/>
      <c r="V213" s="51"/>
      <c r="W213" s="51"/>
      <c r="X213" s="51"/>
      <c r="Y213" s="51"/>
      <c r="Z213" s="51"/>
    </row>
    <row r="214" spans="1:26" x14ac:dyDescent="0.3">
      <c r="A214" s="51"/>
      <c r="B214" s="102"/>
      <c r="C214" s="51"/>
      <c r="E214" s="51"/>
      <c r="F214" s="51"/>
      <c r="G214" s="51"/>
      <c r="H214" s="51"/>
      <c r="I214" s="51"/>
      <c r="J214" s="51"/>
      <c r="K214" s="51"/>
      <c r="L214" s="106"/>
      <c r="M214" s="51"/>
      <c r="N214" s="94"/>
      <c r="O214" s="51"/>
      <c r="P214" s="51"/>
      <c r="Q214" s="51"/>
      <c r="R214" s="51"/>
      <c r="S214" s="51"/>
      <c r="T214" s="51"/>
      <c r="U214" s="51"/>
      <c r="V214" s="51"/>
      <c r="W214" s="51"/>
      <c r="X214" s="51"/>
      <c r="Y214" s="51"/>
      <c r="Z214" s="51"/>
    </row>
    <row r="215" spans="1:26" x14ac:dyDescent="0.3">
      <c r="A215" s="51"/>
      <c r="B215" s="102"/>
      <c r="C215" s="51"/>
      <c r="E215" s="51"/>
      <c r="F215" s="51"/>
      <c r="G215" s="51"/>
      <c r="H215" s="51"/>
      <c r="I215" s="51"/>
      <c r="J215" s="51"/>
      <c r="K215" s="51"/>
      <c r="L215" s="106"/>
      <c r="M215" s="51"/>
      <c r="N215" s="94"/>
      <c r="O215" s="51"/>
      <c r="P215" s="51"/>
      <c r="Q215" s="51"/>
      <c r="R215" s="51"/>
      <c r="S215" s="51"/>
      <c r="T215" s="51"/>
      <c r="U215" s="51"/>
      <c r="V215" s="51"/>
      <c r="W215" s="51"/>
      <c r="X215" s="51"/>
      <c r="Y215" s="51"/>
      <c r="Z215" s="51"/>
    </row>
    <row r="216" spans="1:26" x14ac:dyDescent="0.3">
      <c r="A216" s="51"/>
      <c r="B216" s="102"/>
      <c r="C216" s="51"/>
      <c r="E216" s="51"/>
      <c r="F216" s="51"/>
      <c r="G216" s="51"/>
      <c r="H216" s="51"/>
      <c r="I216" s="51"/>
      <c r="J216" s="51"/>
      <c r="K216" s="51"/>
      <c r="L216" s="106"/>
      <c r="M216" s="51"/>
      <c r="N216" s="94"/>
      <c r="O216" s="51"/>
      <c r="P216" s="51"/>
      <c r="Q216" s="51"/>
      <c r="R216" s="51"/>
      <c r="S216" s="51"/>
      <c r="T216" s="51"/>
      <c r="U216" s="51"/>
      <c r="V216" s="51"/>
      <c r="W216" s="51"/>
      <c r="X216" s="51"/>
      <c r="Y216" s="51"/>
      <c r="Z216" s="51"/>
    </row>
    <row r="217" spans="1:26" x14ac:dyDescent="0.3">
      <c r="A217" s="51"/>
      <c r="B217" s="102"/>
      <c r="C217" s="51"/>
      <c r="E217" s="51"/>
      <c r="F217" s="51"/>
      <c r="G217" s="51"/>
      <c r="H217" s="51"/>
      <c r="I217" s="51"/>
      <c r="J217" s="51"/>
      <c r="K217" s="51"/>
      <c r="L217" s="106"/>
      <c r="M217" s="51"/>
      <c r="N217" s="94"/>
      <c r="O217" s="51"/>
      <c r="P217" s="51"/>
      <c r="Q217" s="51"/>
      <c r="R217" s="51"/>
      <c r="S217" s="51"/>
      <c r="T217" s="51"/>
      <c r="U217" s="51"/>
      <c r="V217" s="51"/>
      <c r="W217" s="51"/>
      <c r="X217" s="51"/>
      <c r="Y217" s="51"/>
      <c r="Z217" s="51"/>
    </row>
    <row r="218" spans="1:26" x14ac:dyDescent="0.3">
      <c r="A218" s="51"/>
      <c r="B218" s="102"/>
      <c r="C218" s="51"/>
      <c r="E218" s="51"/>
      <c r="F218" s="51"/>
      <c r="G218" s="51"/>
      <c r="H218" s="51"/>
      <c r="I218" s="51"/>
      <c r="J218" s="51"/>
      <c r="K218" s="51"/>
      <c r="L218" s="106"/>
      <c r="M218" s="51"/>
      <c r="N218" s="94"/>
      <c r="O218" s="51"/>
      <c r="P218" s="51"/>
      <c r="Q218" s="51"/>
      <c r="R218" s="51"/>
      <c r="S218" s="51"/>
      <c r="T218" s="51"/>
      <c r="U218" s="51"/>
      <c r="V218" s="51"/>
      <c r="W218" s="51"/>
      <c r="X218" s="51"/>
      <c r="Y218" s="51"/>
      <c r="Z218" s="51"/>
    </row>
    <row r="219" spans="1:26" x14ac:dyDescent="0.3">
      <c r="A219" s="51"/>
      <c r="B219" s="102"/>
      <c r="C219" s="51"/>
      <c r="E219" s="51"/>
      <c r="F219" s="51"/>
      <c r="G219" s="51"/>
      <c r="H219" s="51"/>
      <c r="I219" s="51"/>
      <c r="J219" s="51"/>
      <c r="K219" s="51"/>
      <c r="L219" s="106"/>
      <c r="M219" s="51"/>
      <c r="N219" s="94"/>
      <c r="O219" s="51"/>
      <c r="P219" s="51"/>
      <c r="Q219" s="51"/>
      <c r="R219" s="51"/>
      <c r="S219" s="51"/>
      <c r="T219" s="51"/>
      <c r="U219" s="51"/>
      <c r="V219" s="51"/>
      <c r="W219" s="51"/>
      <c r="X219" s="51"/>
      <c r="Y219" s="51"/>
      <c r="Z219" s="51"/>
    </row>
    <row r="220" spans="1:26" x14ac:dyDescent="0.3">
      <c r="A220" s="51"/>
      <c r="B220" s="102"/>
      <c r="C220" s="51"/>
      <c r="E220" s="51"/>
      <c r="F220" s="51"/>
      <c r="G220" s="51"/>
      <c r="H220" s="51"/>
      <c r="I220" s="51"/>
      <c r="J220" s="51"/>
      <c r="K220" s="51"/>
      <c r="L220" s="106"/>
      <c r="M220" s="51"/>
      <c r="N220" s="94"/>
      <c r="O220" s="51"/>
      <c r="P220" s="51"/>
      <c r="Q220" s="51"/>
      <c r="R220" s="51"/>
      <c r="S220" s="51"/>
      <c r="T220" s="51"/>
      <c r="U220" s="51"/>
      <c r="V220" s="51"/>
      <c r="W220" s="51"/>
      <c r="X220" s="51"/>
      <c r="Y220" s="51"/>
      <c r="Z220" s="51"/>
    </row>
    <row r="221" spans="1:26" x14ac:dyDescent="0.3">
      <c r="A221" s="51"/>
      <c r="B221" s="102"/>
      <c r="C221" s="51"/>
      <c r="E221" s="51"/>
      <c r="F221" s="51"/>
      <c r="G221" s="51"/>
      <c r="H221" s="51"/>
      <c r="I221" s="51"/>
      <c r="J221" s="51"/>
      <c r="K221" s="51"/>
      <c r="L221" s="106"/>
      <c r="M221" s="51"/>
      <c r="N221" s="94"/>
      <c r="O221" s="51"/>
      <c r="P221" s="51"/>
      <c r="Q221" s="51"/>
      <c r="R221" s="51"/>
      <c r="S221" s="51"/>
      <c r="T221" s="51"/>
      <c r="U221" s="51"/>
      <c r="V221" s="51"/>
      <c r="W221" s="51"/>
      <c r="X221" s="51"/>
      <c r="Y221" s="51"/>
      <c r="Z221" s="51"/>
    </row>
    <row r="222" spans="1:26" x14ac:dyDescent="0.3">
      <c r="A222" s="51"/>
      <c r="B222" s="102"/>
      <c r="C222" s="51"/>
      <c r="E222" s="51"/>
      <c r="F222" s="51"/>
      <c r="G222" s="51"/>
      <c r="H222" s="51"/>
      <c r="I222" s="51"/>
      <c r="J222" s="51"/>
      <c r="K222" s="51"/>
      <c r="L222" s="106"/>
      <c r="M222" s="51"/>
      <c r="N222" s="94"/>
      <c r="O222" s="51"/>
      <c r="P222" s="51"/>
      <c r="Q222" s="51"/>
      <c r="R222" s="51"/>
      <c r="S222" s="51"/>
      <c r="T222" s="51"/>
      <c r="U222" s="51"/>
      <c r="V222" s="51"/>
      <c r="W222" s="51"/>
      <c r="X222" s="51"/>
      <c r="Y222" s="51"/>
      <c r="Z222" s="51"/>
    </row>
    <row r="223" spans="1:26" x14ac:dyDescent="0.3">
      <c r="A223" s="51"/>
      <c r="B223" s="102"/>
      <c r="C223" s="51"/>
      <c r="E223" s="51"/>
      <c r="F223" s="51"/>
      <c r="G223" s="51"/>
      <c r="H223" s="51"/>
      <c r="I223" s="51"/>
      <c r="J223" s="51"/>
      <c r="K223" s="51"/>
      <c r="L223" s="106"/>
      <c r="M223" s="51"/>
      <c r="N223" s="94"/>
      <c r="O223" s="51"/>
      <c r="P223" s="51"/>
      <c r="Q223" s="51"/>
      <c r="R223" s="51"/>
      <c r="S223" s="51"/>
      <c r="T223" s="51"/>
      <c r="U223" s="51"/>
      <c r="V223" s="51"/>
      <c r="W223" s="51"/>
      <c r="X223" s="51"/>
      <c r="Y223" s="51"/>
      <c r="Z223" s="51"/>
    </row>
    <row r="224" spans="1:26" x14ac:dyDescent="0.3">
      <c r="A224" s="51"/>
      <c r="B224" s="102"/>
      <c r="C224" s="51"/>
      <c r="E224" s="51"/>
      <c r="F224" s="51"/>
      <c r="G224" s="51"/>
      <c r="H224" s="51"/>
      <c r="I224" s="51"/>
      <c r="J224" s="51"/>
      <c r="K224" s="51"/>
      <c r="L224" s="106"/>
      <c r="M224" s="51"/>
      <c r="N224" s="94"/>
      <c r="O224" s="51"/>
      <c r="P224" s="51"/>
      <c r="Q224" s="51"/>
      <c r="R224" s="51"/>
      <c r="S224" s="51"/>
      <c r="T224" s="51"/>
      <c r="U224" s="51"/>
      <c r="V224" s="51"/>
      <c r="W224" s="51"/>
      <c r="X224" s="51"/>
      <c r="Y224" s="51"/>
      <c r="Z224" s="51"/>
    </row>
    <row r="225" spans="1:26" x14ac:dyDescent="0.3">
      <c r="A225" s="51"/>
      <c r="B225" s="102"/>
      <c r="C225" s="51"/>
      <c r="E225" s="51"/>
      <c r="F225" s="51"/>
      <c r="G225" s="51"/>
      <c r="H225" s="51"/>
      <c r="I225" s="51"/>
      <c r="J225" s="51"/>
      <c r="K225" s="51"/>
      <c r="L225" s="106"/>
      <c r="M225" s="51"/>
      <c r="N225" s="94"/>
      <c r="O225" s="51"/>
      <c r="P225" s="51"/>
      <c r="Q225" s="51"/>
      <c r="R225" s="51"/>
      <c r="S225" s="51"/>
      <c r="T225" s="51"/>
      <c r="U225" s="51"/>
      <c r="V225" s="51"/>
      <c r="W225" s="51"/>
      <c r="X225" s="51"/>
      <c r="Y225" s="51"/>
      <c r="Z225" s="51"/>
    </row>
    <row r="226" spans="1:26" x14ac:dyDescent="0.3">
      <c r="A226" s="51"/>
      <c r="B226" s="102"/>
      <c r="C226" s="51"/>
      <c r="E226" s="51"/>
      <c r="F226" s="51"/>
      <c r="G226" s="51"/>
      <c r="H226" s="51"/>
      <c r="I226" s="51"/>
      <c r="J226" s="51"/>
      <c r="K226" s="51"/>
      <c r="L226" s="106"/>
      <c r="M226" s="51"/>
      <c r="N226" s="94"/>
      <c r="O226" s="51"/>
      <c r="P226" s="51"/>
      <c r="Q226" s="51"/>
      <c r="R226" s="51"/>
      <c r="S226" s="51"/>
      <c r="T226" s="51"/>
      <c r="U226" s="51"/>
      <c r="V226" s="51"/>
      <c r="W226" s="51"/>
      <c r="X226" s="51"/>
      <c r="Y226" s="51"/>
      <c r="Z226" s="51"/>
    </row>
    <row r="227" spans="1:26" x14ac:dyDescent="0.3">
      <c r="A227" s="51"/>
      <c r="B227" s="102"/>
      <c r="C227" s="51"/>
      <c r="E227" s="51"/>
      <c r="F227" s="51"/>
      <c r="G227" s="51"/>
      <c r="H227" s="51"/>
      <c r="I227" s="51"/>
      <c r="J227" s="51"/>
      <c r="K227" s="51"/>
      <c r="L227" s="106"/>
      <c r="M227" s="51"/>
      <c r="N227" s="94"/>
      <c r="O227" s="51"/>
      <c r="P227" s="51"/>
      <c r="Q227" s="51"/>
      <c r="R227" s="51"/>
      <c r="S227" s="51"/>
      <c r="T227" s="51"/>
      <c r="U227" s="51"/>
      <c r="V227" s="51"/>
      <c r="W227" s="51"/>
      <c r="X227" s="51"/>
      <c r="Y227" s="51"/>
      <c r="Z227" s="51"/>
    </row>
    <row r="228" spans="1:26" x14ac:dyDescent="0.3">
      <c r="A228" s="51"/>
      <c r="B228" s="102"/>
      <c r="C228" s="51"/>
      <c r="E228" s="51"/>
      <c r="F228" s="51"/>
      <c r="G228" s="51"/>
      <c r="H228" s="51"/>
      <c r="I228" s="51"/>
      <c r="J228" s="51"/>
      <c r="K228" s="51"/>
      <c r="L228" s="106"/>
      <c r="M228" s="51"/>
      <c r="N228" s="94"/>
      <c r="O228" s="51"/>
      <c r="P228" s="51"/>
      <c r="Q228" s="51"/>
      <c r="R228" s="51"/>
      <c r="S228" s="51"/>
      <c r="T228" s="51"/>
      <c r="U228" s="51"/>
      <c r="V228" s="51"/>
      <c r="W228" s="51"/>
      <c r="X228" s="51"/>
      <c r="Y228" s="51"/>
      <c r="Z228" s="51"/>
    </row>
    <row r="229" spans="1:26" x14ac:dyDescent="0.3">
      <c r="A229" s="51"/>
      <c r="B229" s="102"/>
      <c r="C229" s="51"/>
      <c r="E229" s="51"/>
      <c r="F229" s="51"/>
      <c r="G229" s="51"/>
      <c r="H229" s="51"/>
      <c r="I229" s="51"/>
      <c r="J229" s="51"/>
      <c r="K229" s="51"/>
      <c r="L229" s="106"/>
      <c r="M229" s="51"/>
      <c r="N229" s="94"/>
      <c r="O229" s="51"/>
      <c r="P229" s="51"/>
      <c r="Q229" s="51"/>
      <c r="R229" s="51"/>
      <c r="S229" s="51"/>
      <c r="T229" s="51"/>
      <c r="U229" s="51"/>
      <c r="V229" s="51"/>
      <c r="W229" s="51"/>
      <c r="X229" s="51"/>
      <c r="Y229" s="51"/>
      <c r="Z229" s="51"/>
    </row>
    <row r="230" spans="1:26" x14ac:dyDescent="0.3">
      <c r="A230" s="51"/>
      <c r="B230" s="102"/>
      <c r="C230" s="51"/>
      <c r="E230" s="51"/>
      <c r="F230" s="51"/>
      <c r="G230" s="51"/>
      <c r="H230" s="51"/>
      <c r="I230" s="51"/>
      <c r="J230" s="51"/>
      <c r="K230" s="51"/>
      <c r="L230" s="106"/>
      <c r="M230" s="51"/>
      <c r="N230" s="94"/>
      <c r="O230" s="51"/>
      <c r="P230" s="51"/>
      <c r="Q230" s="51"/>
      <c r="R230" s="51"/>
      <c r="S230" s="51"/>
      <c r="T230" s="51"/>
      <c r="U230" s="51"/>
      <c r="V230" s="51"/>
      <c r="W230" s="51"/>
      <c r="X230" s="51"/>
      <c r="Y230" s="51"/>
      <c r="Z230" s="51"/>
    </row>
    <row r="231" spans="1:26" x14ac:dyDescent="0.3">
      <c r="A231" s="51"/>
      <c r="B231" s="102"/>
      <c r="C231" s="51"/>
      <c r="E231" s="51"/>
      <c r="F231" s="51"/>
      <c r="G231" s="51"/>
      <c r="H231" s="51"/>
      <c r="I231" s="51"/>
      <c r="J231" s="51"/>
      <c r="K231" s="51"/>
      <c r="L231" s="106"/>
      <c r="M231" s="51"/>
      <c r="N231" s="94"/>
      <c r="O231" s="51"/>
      <c r="P231" s="51"/>
      <c r="Q231" s="51"/>
      <c r="R231" s="51"/>
      <c r="S231" s="51"/>
      <c r="T231" s="51"/>
      <c r="U231" s="51"/>
      <c r="V231" s="51"/>
      <c r="W231" s="51"/>
      <c r="X231" s="51"/>
      <c r="Y231" s="51"/>
      <c r="Z231" s="51"/>
    </row>
    <row r="232" spans="1:26" x14ac:dyDescent="0.3">
      <c r="A232" s="51"/>
      <c r="B232" s="102"/>
      <c r="C232" s="51"/>
      <c r="E232" s="51"/>
      <c r="F232" s="51"/>
      <c r="G232" s="51"/>
      <c r="H232" s="51"/>
      <c r="I232" s="51"/>
      <c r="J232" s="51"/>
      <c r="K232" s="51"/>
      <c r="L232" s="106"/>
      <c r="M232" s="51"/>
      <c r="N232" s="94"/>
      <c r="O232" s="51"/>
      <c r="P232" s="51"/>
      <c r="Q232" s="51"/>
      <c r="R232" s="51"/>
      <c r="S232" s="51"/>
      <c r="T232" s="51"/>
      <c r="U232" s="51"/>
      <c r="V232" s="51"/>
      <c r="W232" s="51"/>
      <c r="X232" s="51"/>
      <c r="Y232" s="51"/>
      <c r="Z232" s="51"/>
    </row>
    <row r="233" spans="1:26" x14ac:dyDescent="0.3">
      <c r="A233" s="51"/>
      <c r="B233" s="102"/>
      <c r="C233" s="51"/>
      <c r="E233" s="51"/>
      <c r="F233" s="51"/>
      <c r="G233" s="51"/>
      <c r="H233" s="51"/>
      <c r="I233" s="51"/>
      <c r="J233" s="51"/>
      <c r="K233" s="51"/>
      <c r="L233" s="106"/>
      <c r="M233" s="51"/>
      <c r="N233" s="94"/>
      <c r="O233" s="51"/>
      <c r="P233" s="51"/>
      <c r="Q233" s="51"/>
      <c r="R233" s="51"/>
      <c r="S233" s="51"/>
      <c r="T233" s="51"/>
      <c r="U233" s="51"/>
      <c r="V233" s="51"/>
      <c r="W233" s="51"/>
      <c r="X233" s="51"/>
      <c r="Y233" s="51"/>
      <c r="Z233" s="51"/>
    </row>
    <row r="234" spans="1:26" x14ac:dyDescent="0.3">
      <c r="A234" s="51"/>
      <c r="B234" s="102"/>
      <c r="C234" s="51"/>
      <c r="E234" s="51"/>
      <c r="F234" s="51"/>
      <c r="G234" s="51"/>
      <c r="H234" s="51"/>
      <c r="I234" s="51"/>
      <c r="J234" s="51"/>
      <c r="K234" s="51"/>
      <c r="L234" s="106"/>
      <c r="M234" s="51"/>
      <c r="N234" s="94"/>
      <c r="O234" s="51"/>
      <c r="P234" s="51"/>
      <c r="Q234" s="51"/>
      <c r="R234" s="51"/>
      <c r="S234" s="51"/>
      <c r="T234" s="51"/>
      <c r="U234" s="51"/>
      <c r="V234" s="51"/>
      <c r="W234" s="51"/>
      <c r="X234" s="51"/>
      <c r="Y234" s="51"/>
      <c r="Z234" s="51"/>
    </row>
    <row r="235" spans="1:26" x14ac:dyDescent="0.3">
      <c r="A235" s="51"/>
      <c r="B235" s="102"/>
      <c r="C235" s="51"/>
      <c r="E235" s="51"/>
      <c r="F235" s="51"/>
      <c r="G235" s="51"/>
      <c r="H235" s="51"/>
      <c r="I235" s="51"/>
      <c r="J235" s="51"/>
      <c r="K235" s="51"/>
      <c r="L235" s="106"/>
      <c r="M235" s="51"/>
      <c r="N235" s="94"/>
      <c r="O235" s="51"/>
      <c r="P235" s="51"/>
      <c r="Q235" s="51"/>
      <c r="R235" s="51"/>
      <c r="S235" s="51"/>
      <c r="T235" s="51"/>
      <c r="U235" s="51"/>
      <c r="V235" s="51"/>
      <c r="W235" s="51"/>
      <c r="X235" s="51"/>
      <c r="Y235" s="51"/>
      <c r="Z235" s="51"/>
    </row>
    <row r="236" spans="1:26" x14ac:dyDescent="0.3">
      <c r="A236" s="51"/>
      <c r="B236" s="102"/>
      <c r="C236" s="51"/>
      <c r="E236" s="51"/>
      <c r="F236" s="51"/>
      <c r="G236" s="51"/>
      <c r="H236" s="51"/>
      <c r="I236" s="51"/>
      <c r="J236" s="51"/>
      <c r="K236" s="51"/>
      <c r="L236" s="106"/>
      <c r="M236" s="51"/>
      <c r="N236" s="94"/>
      <c r="O236" s="51"/>
      <c r="P236" s="51"/>
      <c r="Q236" s="51"/>
      <c r="R236" s="51"/>
      <c r="S236" s="51"/>
      <c r="T236" s="51"/>
      <c r="U236" s="51"/>
      <c r="V236" s="51"/>
      <c r="W236" s="51"/>
      <c r="X236" s="51"/>
      <c r="Y236" s="51"/>
      <c r="Z236" s="51"/>
    </row>
    <row r="237" spans="1:26" x14ac:dyDescent="0.3">
      <c r="A237" s="51"/>
      <c r="B237" s="102"/>
      <c r="C237" s="51"/>
      <c r="E237" s="51"/>
      <c r="F237" s="51"/>
      <c r="G237" s="51"/>
      <c r="H237" s="51"/>
      <c r="I237" s="51"/>
      <c r="J237" s="51"/>
      <c r="K237" s="51"/>
      <c r="L237" s="106"/>
      <c r="M237" s="51"/>
      <c r="N237" s="94"/>
      <c r="O237" s="51"/>
      <c r="P237" s="51"/>
      <c r="Q237" s="51"/>
      <c r="R237" s="51"/>
      <c r="S237" s="51"/>
      <c r="T237" s="51"/>
      <c r="U237" s="51"/>
      <c r="V237" s="51"/>
      <c r="W237" s="51"/>
      <c r="X237" s="51"/>
      <c r="Y237" s="51"/>
      <c r="Z237" s="51"/>
    </row>
    <row r="238" spans="1:26" x14ac:dyDescent="0.3">
      <c r="A238" s="51"/>
      <c r="B238" s="102"/>
      <c r="C238" s="51"/>
      <c r="E238" s="51"/>
      <c r="F238" s="51"/>
      <c r="G238" s="51"/>
      <c r="H238" s="51"/>
      <c r="I238" s="51"/>
      <c r="J238" s="51"/>
      <c r="K238" s="51"/>
      <c r="L238" s="106"/>
      <c r="M238" s="51"/>
      <c r="N238" s="94"/>
      <c r="O238" s="51"/>
      <c r="P238" s="51"/>
      <c r="Q238" s="51"/>
      <c r="R238" s="51"/>
      <c r="S238" s="51"/>
      <c r="T238" s="51"/>
      <c r="U238" s="51"/>
      <c r="V238" s="51"/>
      <c r="W238" s="51"/>
      <c r="X238" s="51"/>
      <c r="Y238" s="51"/>
      <c r="Z238" s="51"/>
    </row>
    <row r="239" spans="1:26" x14ac:dyDescent="0.3">
      <c r="A239" s="51"/>
      <c r="B239" s="102"/>
      <c r="C239" s="51"/>
      <c r="E239" s="51"/>
      <c r="F239" s="51"/>
      <c r="G239" s="51"/>
      <c r="H239" s="51"/>
      <c r="I239" s="51"/>
      <c r="J239" s="51"/>
      <c r="K239" s="51"/>
      <c r="L239" s="106"/>
      <c r="M239" s="51"/>
      <c r="N239" s="94"/>
      <c r="O239" s="51"/>
      <c r="P239" s="51"/>
      <c r="Q239" s="51"/>
      <c r="R239" s="51"/>
      <c r="S239" s="51"/>
      <c r="T239" s="51"/>
      <c r="U239" s="51"/>
      <c r="V239" s="51"/>
      <c r="W239" s="51"/>
      <c r="X239" s="51"/>
      <c r="Y239" s="51"/>
      <c r="Z239" s="51"/>
    </row>
    <row r="240" spans="1:26" x14ac:dyDescent="0.3">
      <c r="A240" s="51"/>
      <c r="B240" s="102"/>
      <c r="C240" s="51"/>
      <c r="E240" s="51"/>
      <c r="F240" s="51"/>
      <c r="G240" s="51"/>
      <c r="H240" s="51"/>
      <c r="I240" s="51"/>
      <c r="J240" s="51"/>
      <c r="K240" s="51"/>
      <c r="L240" s="106"/>
      <c r="M240" s="51"/>
      <c r="N240" s="94"/>
      <c r="O240" s="51"/>
      <c r="P240" s="51"/>
      <c r="Q240" s="51"/>
      <c r="R240" s="51"/>
      <c r="S240" s="51"/>
      <c r="T240" s="51"/>
      <c r="U240" s="51"/>
      <c r="V240" s="51"/>
      <c r="W240" s="51"/>
      <c r="X240" s="51"/>
      <c r="Y240" s="51"/>
      <c r="Z240" s="51"/>
    </row>
    <row r="241" spans="1:26" x14ac:dyDescent="0.3">
      <c r="A241" s="51"/>
      <c r="B241" s="102"/>
      <c r="C241" s="51"/>
      <c r="E241" s="51"/>
      <c r="F241" s="51"/>
      <c r="G241" s="51"/>
      <c r="H241" s="51"/>
      <c r="I241" s="51"/>
      <c r="J241" s="51"/>
      <c r="K241" s="51"/>
      <c r="L241" s="106"/>
      <c r="M241" s="51"/>
      <c r="N241" s="94"/>
      <c r="O241" s="51"/>
      <c r="P241" s="51"/>
      <c r="Q241" s="51"/>
      <c r="R241" s="51"/>
      <c r="S241" s="51"/>
      <c r="T241" s="51"/>
      <c r="U241" s="51"/>
      <c r="V241" s="51"/>
      <c r="W241" s="51"/>
      <c r="X241" s="51"/>
      <c r="Y241" s="51"/>
      <c r="Z241" s="51"/>
    </row>
    <row r="242" spans="1:26" x14ac:dyDescent="0.3">
      <c r="A242" s="51"/>
      <c r="B242" s="102"/>
      <c r="C242" s="51"/>
      <c r="E242" s="51"/>
      <c r="F242" s="51"/>
      <c r="G242" s="51"/>
      <c r="H242" s="51"/>
      <c r="I242" s="51"/>
      <c r="J242" s="51"/>
      <c r="K242" s="51"/>
      <c r="L242" s="106"/>
      <c r="M242" s="51"/>
      <c r="N242" s="94"/>
      <c r="O242" s="51"/>
      <c r="P242" s="51"/>
      <c r="Q242" s="51"/>
      <c r="R242" s="51"/>
      <c r="S242" s="51"/>
      <c r="T242" s="51"/>
      <c r="U242" s="51"/>
      <c r="V242" s="51"/>
      <c r="W242" s="51"/>
      <c r="X242" s="51"/>
      <c r="Y242" s="51"/>
      <c r="Z242" s="51"/>
    </row>
    <row r="243" spans="1:26" x14ac:dyDescent="0.3">
      <c r="A243" s="51"/>
      <c r="B243" s="102"/>
      <c r="C243" s="51"/>
      <c r="E243" s="51"/>
      <c r="F243" s="51"/>
      <c r="G243" s="51"/>
      <c r="H243" s="51"/>
      <c r="I243" s="51"/>
      <c r="J243" s="51"/>
      <c r="K243" s="51"/>
      <c r="L243" s="106"/>
      <c r="M243" s="51"/>
      <c r="N243" s="94"/>
      <c r="O243" s="51"/>
      <c r="P243" s="51"/>
      <c r="Q243" s="51"/>
      <c r="R243" s="51"/>
      <c r="S243" s="51"/>
      <c r="T243" s="51"/>
      <c r="U243" s="51"/>
      <c r="V243" s="51"/>
      <c r="W243" s="51"/>
      <c r="X243" s="51"/>
      <c r="Y243" s="51"/>
      <c r="Z243" s="51"/>
    </row>
    <row r="244" spans="1:26" x14ac:dyDescent="0.3">
      <c r="A244" s="51"/>
      <c r="B244" s="102"/>
      <c r="C244" s="51"/>
      <c r="E244" s="51"/>
      <c r="F244" s="51"/>
      <c r="G244" s="51"/>
      <c r="H244" s="51"/>
      <c r="I244" s="51"/>
      <c r="J244" s="51"/>
      <c r="K244" s="51"/>
      <c r="L244" s="106"/>
      <c r="M244" s="51"/>
      <c r="N244" s="94"/>
      <c r="O244" s="51"/>
      <c r="P244" s="51"/>
      <c r="Q244" s="51"/>
      <c r="R244" s="51"/>
      <c r="S244" s="51"/>
      <c r="T244" s="51"/>
      <c r="U244" s="51"/>
      <c r="V244" s="51"/>
      <c r="W244" s="51"/>
      <c r="X244" s="51"/>
      <c r="Y244" s="51"/>
      <c r="Z244" s="51"/>
    </row>
    <row r="245" spans="1:26" x14ac:dyDescent="0.3">
      <c r="A245" s="51"/>
      <c r="B245" s="102"/>
      <c r="C245" s="51"/>
      <c r="E245" s="51"/>
      <c r="F245" s="51"/>
      <c r="G245" s="51"/>
      <c r="H245" s="51"/>
      <c r="I245" s="51"/>
      <c r="J245" s="51"/>
      <c r="K245" s="51"/>
      <c r="L245" s="106"/>
      <c r="M245" s="51"/>
      <c r="N245" s="94"/>
      <c r="O245" s="51"/>
      <c r="P245" s="51"/>
      <c r="Q245" s="51"/>
      <c r="R245" s="51"/>
      <c r="S245" s="51"/>
      <c r="T245" s="51"/>
      <c r="U245" s="51"/>
      <c r="V245" s="51"/>
      <c r="W245" s="51"/>
      <c r="X245" s="51"/>
      <c r="Y245" s="51"/>
      <c r="Z245" s="51"/>
    </row>
    <row r="246" spans="1:26" x14ac:dyDescent="0.3">
      <c r="A246" s="51"/>
      <c r="B246" s="102"/>
      <c r="C246" s="51"/>
      <c r="E246" s="51"/>
      <c r="F246" s="51"/>
      <c r="G246" s="51"/>
      <c r="H246" s="51"/>
      <c r="I246" s="51"/>
      <c r="J246" s="51"/>
      <c r="K246" s="51"/>
      <c r="L246" s="106"/>
      <c r="M246" s="51"/>
      <c r="N246" s="94"/>
      <c r="O246" s="51"/>
      <c r="P246" s="51"/>
      <c r="Q246" s="51"/>
      <c r="R246" s="51"/>
      <c r="S246" s="51"/>
      <c r="T246" s="51"/>
      <c r="U246" s="51"/>
      <c r="V246" s="51"/>
      <c r="W246" s="51"/>
      <c r="X246" s="51"/>
      <c r="Y246" s="51"/>
      <c r="Z246" s="51"/>
    </row>
    <row r="247" spans="1:26" x14ac:dyDescent="0.3">
      <c r="A247" s="51"/>
      <c r="B247" s="102"/>
      <c r="C247" s="51"/>
      <c r="E247" s="51"/>
      <c r="F247" s="51"/>
      <c r="G247" s="51"/>
      <c r="H247" s="51"/>
      <c r="I247" s="51"/>
      <c r="J247" s="51"/>
      <c r="K247" s="51"/>
      <c r="L247" s="106"/>
      <c r="M247" s="51"/>
      <c r="N247" s="94"/>
      <c r="O247" s="51"/>
      <c r="P247" s="51"/>
      <c r="Q247" s="51"/>
      <c r="R247" s="51"/>
      <c r="S247" s="51"/>
      <c r="T247" s="51"/>
      <c r="U247" s="51"/>
      <c r="V247" s="51"/>
      <c r="W247" s="51"/>
      <c r="X247" s="51"/>
      <c r="Y247" s="51"/>
      <c r="Z247" s="51"/>
    </row>
    <row r="248" spans="1:26" x14ac:dyDescent="0.3">
      <c r="A248" s="51"/>
      <c r="B248" s="102"/>
      <c r="C248" s="51"/>
      <c r="E248" s="51"/>
      <c r="F248" s="51"/>
      <c r="G248" s="51"/>
      <c r="H248" s="51"/>
      <c r="I248" s="51"/>
      <c r="J248" s="51"/>
      <c r="K248" s="51"/>
      <c r="L248" s="106"/>
      <c r="M248" s="51"/>
      <c r="N248" s="94"/>
      <c r="O248" s="51"/>
      <c r="P248" s="51"/>
      <c r="Q248" s="51"/>
      <c r="R248" s="51"/>
      <c r="S248" s="51"/>
      <c r="T248" s="51"/>
      <c r="U248" s="51"/>
      <c r="V248" s="51"/>
      <c r="W248" s="51"/>
      <c r="X248" s="51"/>
      <c r="Y248" s="51"/>
      <c r="Z248" s="51"/>
    </row>
    <row r="249" spans="1:26" x14ac:dyDescent="0.3">
      <c r="A249" s="51"/>
      <c r="B249" s="102"/>
      <c r="C249" s="51"/>
      <c r="E249" s="51"/>
      <c r="F249" s="51"/>
      <c r="G249" s="51"/>
      <c r="H249" s="51"/>
      <c r="I249" s="51"/>
      <c r="J249" s="51"/>
      <c r="K249" s="51"/>
      <c r="L249" s="106"/>
      <c r="M249" s="51"/>
      <c r="N249" s="94"/>
      <c r="O249" s="51"/>
      <c r="P249" s="51"/>
      <c r="Q249" s="51"/>
      <c r="R249" s="51"/>
      <c r="S249" s="51"/>
      <c r="T249" s="51"/>
      <c r="U249" s="51"/>
      <c r="V249" s="51"/>
      <c r="W249" s="51"/>
      <c r="X249" s="51"/>
      <c r="Y249" s="51"/>
      <c r="Z249" s="51"/>
    </row>
    <row r="250" spans="1:26" x14ac:dyDescent="0.3">
      <c r="A250" s="51"/>
      <c r="B250" s="102"/>
      <c r="C250" s="51"/>
      <c r="E250" s="51"/>
      <c r="F250" s="51"/>
      <c r="G250" s="51"/>
      <c r="H250" s="51"/>
      <c r="I250" s="51"/>
      <c r="J250" s="51"/>
      <c r="K250" s="51"/>
      <c r="L250" s="106"/>
      <c r="M250" s="51"/>
      <c r="N250" s="94"/>
      <c r="O250" s="51"/>
      <c r="P250" s="51"/>
      <c r="Q250" s="51"/>
      <c r="R250" s="51"/>
      <c r="S250" s="51"/>
      <c r="T250" s="51"/>
      <c r="U250" s="51"/>
      <c r="V250" s="51"/>
      <c r="W250" s="51"/>
      <c r="X250" s="51"/>
      <c r="Y250" s="51"/>
      <c r="Z250" s="51"/>
    </row>
    <row r="251" spans="1:26" x14ac:dyDescent="0.3">
      <c r="A251" s="51"/>
      <c r="B251" s="102"/>
      <c r="C251" s="51"/>
      <c r="E251" s="51"/>
      <c r="F251" s="51"/>
      <c r="G251" s="51"/>
      <c r="H251" s="51"/>
      <c r="I251" s="51"/>
      <c r="J251" s="51"/>
      <c r="K251" s="51"/>
      <c r="L251" s="106"/>
      <c r="M251" s="51"/>
      <c r="N251" s="94"/>
      <c r="O251" s="51"/>
      <c r="P251" s="51"/>
      <c r="Q251" s="51"/>
      <c r="R251" s="51"/>
      <c r="S251" s="51"/>
      <c r="T251" s="51"/>
      <c r="U251" s="51"/>
      <c r="V251" s="51"/>
      <c r="W251" s="51"/>
      <c r="X251" s="51"/>
      <c r="Y251" s="51"/>
      <c r="Z251" s="51"/>
    </row>
    <row r="252" spans="1:26" x14ac:dyDescent="0.3">
      <c r="A252" s="51"/>
      <c r="B252" s="102"/>
      <c r="C252" s="51"/>
      <c r="E252" s="51"/>
      <c r="F252" s="51"/>
      <c r="G252" s="51"/>
      <c r="H252" s="51"/>
      <c r="I252" s="51"/>
      <c r="J252" s="51"/>
      <c r="K252" s="51"/>
      <c r="L252" s="106"/>
      <c r="M252" s="51"/>
      <c r="N252" s="94"/>
      <c r="O252" s="51"/>
      <c r="P252" s="51"/>
      <c r="Q252" s="51"/>
      <c r="R252" s="51"/>
      <c r="S252" s="51"/>
      <c r="T252" s="51"/>
      <c r="U252" s="51"/>
      <c r="V252" s="51"/>
      <c r="W252" s="51"/>
      <c r="X252" s="51"/>
      <c r="Y252" s="51"/>
      <c r="Z252" s="51"/>
    </row>
    <row r="253" spans="1:26" x14ac:dyDescent="0.3">
      <c r="A253" s="51"/>
      <c r="B253" s="102"/>
      <c r="C253" s="51"/>
      <c r="E253" s="51"/>
      <c r="F253" s="51"/>
      <c r="G253" s="51"/>
      <c r="H253" s="51"/>
      <c r="I253" s="51"/>
      <c r="J253" s="51"/>
      <c r="K253" s="51"/>
      <c r="L253" s="106"/>
      <c r="M253" s="51"/>
      <c r="N253" s="94"/>
      <c r="O253" s="51"/>
      <c r="P253" s="51"/>
      <c r="Q253" s="51"/>
      <c r="R253" s="51"/>
      <c r="S253" s="51"/>
      <c r="T253" s="51"/>
      <c r="U253" s="51"/>
      <c r="V253" s="51"/>
      <c r="W253" s="51"/>
      <c r="X253" s="51"/>
      <c r="Y253" s="51"/>
      <c r="Z253" s="51"/>
    </row>
    <row r="254" spans="1:26" x14ac:dyDescent="0.3">
      <c r="A254" s="51"/>
      <c r="B254" s="102"/>
      <c r="C254" s="51"/>
      <c r="E254" s="51"/>
      <c r="F254" s="51"/>
      <c r="G254" s="51"/>
      <c r="H254" s="51"/>
      <c r="I254" s="51"/>
      <c r="J254" s="51"/>
      <c r="K254" s="51"/>
      <c r="L254" s="106"/>
      <c r="M254" s="51"/>
      <c r="N254" s="94"/>
      <c r="O254" s="51"/>
      <c r="P254" s="51"/>
      <c r="Q254" s="51"/>
      <c r="R254" s="51"/>
      <c r="S254" s="51"/>
      <c r="T254" s="51"/>
      <c r="U254" s="51"/>
      <c r="V254" s="51"/>
      <c r="W254" s="51"/>
      <c r="X254" s="51"/>
      <c r="Y254" s="51"/>
      <c r="Z254" s="51"/>
    </row>
    <row r="255" spans="1:26" x14ac:dyDescent="0.3">
      <c r="A255" s="51"/>
      <c r="B255" s="102"/>
      <c r="C255" s="51"/>
      <c r="E255" s="51"/>
      <c r="F255" s="51"/>
      <c r="G255" s="51"/>
      <c r="H255" s="51"/>
      <c r="I255" s="51"/>
      <c r="J255" s="51"/>
      <c r="K255" s="51"/>
      <c r="L255" s="106"/>
      <c r="M255" s="51"/>
      <c r="N255" s="94"/>
      <c r="O255" s="51"/>
      <c r="P255" s="51"/>
      <c r="Q255" s="51"/>
      <c r="R255" s="51"/>
      <c r="S255" s="51"/>
      <c r="T255" s="51"/>
      <c r="U255" s="51"/>
      <c r="V255" s="51"/>
      <c r="W255" s="51"/>
      <c r="X255" s="51"/>
      <c r="Y255" s="51"/>
      <c r="Z255" s="51"/>
    </row>
    <row r="256" spans="1:26" x14ac:dyDescent="0.3">
      <c r="A256" s="51"/>
      <c r="B256" s="102"/>
      <c r="C256" s="51"/>
      <c r="E256" s="51"/>
      <c r="F256" s="51"/>
      <c r="G256" s="51"/>
      <c r="H256" s="51"/>
      <c r="I256" s="51"/>
      <c r="J256" s="51"/>
      <c r="K256" s="51"/>
      <c r="L256" s="106"/>
      <c r="M256" s="51"/>
      <c r="N256" s="94"/>
      <c r="O256" s="51"/>
      <c r="P256" s="51"/>
      <c r="Q256" s="51"/>
      <c r="R256" s="51"/>
      <c r="S256" s="51"/>
      <c r="T256" s="51"/>
      <c r="U256" s="51"/>
      <c r="V256" s="51"/>
      <c r="W256" s="51"/>
      <c r="X256" s="51"/>
      <c r="Y256" s="51"/>
      <c r="Z256" s="51"/>
    </row>
    <row r="257" spans="1:26" x14ac:dyDescent="0.3">
      <c r="A257" s="51"/>
      <c r="B257" s="102"/>
      <c r="C257" s="51"/>
      <c r="E257" s="51"/>
      <c r="F257" s="51"/>
      <c r="G257" s="51"/>
      <c r="H257" s="51"/>
      <c r="I257" s="51"/>
      <c r="J257" s="51"/>
      <c r="K257" s="51"/>
      <c r="L257" s="106"/>
      <c r="M257" s="51"/>
      <c r="N257" s="94"/>
      <c r="O257" s="51"/>
      <c r="P257" s="51"/>
      <c r="Q257" s="51"/>
      <c r="R257" s="51"/>
      <c r="S257" s="51"/>
      <c r="T257" s="51"/>
      <c r="U257" s="51"/>
      <c r="V257" s="51"/>
      <c r="W257" s="51"/>
      <c r="X257" s="51"/>
      <c r="Y257" s="51"/>
      <c r="Z257" s="51"/>
    </row>
    <row r="258" spans="1:26" x14ac:dyDescent="0.3">
      <c r="A258" s="51"/>
      <c r="B258" s="102"/>
      <c r="C258" s="51"/>
      <c r="E258" s="51"/>
      <c r="F258" s="51"/>
      <c r="G258" s="51"/>
      <c r="H258" s="51"/>
      <c r="I258" s="51"/>
      <c r="J258" s="51"/>
      <c r="K258" s="51"/>
      <c r="L258" s="106"/>
      <c r="M258" s="51"/>
      <c r="N258" s="94"/>
      <c r="O258" s="51"/>
      <c r="P258" s="51"/>
      <c r="Q258" s="51"/>
      <c r="R258" s="51"/>
      <c r="S258" s="51"/>
      <c r="T258" s="51"/>
      <c r="U258" s="51"/>
      <c r="V258" s="51"/>
      <c r="W258" s="51"/>
      <c r="X258" s="51"/>
      <c r="Y258" s="51"/>
      <c r="Z258" s="51"/>
    </row>
    <row r="259" spans="1:26" x14ac:dyDescent="0.3">
      <c r="A259" s="51"/>
      <c r="B259" s="102"/>
      <c r="C259" s="51"/>
      <c r="E259" s="51"/>
      <c r="F259" s="51"/>
      <c r="G259" s="51"/>
      <c r="H259" s="51"/>
      <c r="I259" s="51"/>
      <c r="J259" s="51"/>
      <c r="K259" s="51"/>
      <c r="L259" s="106"/>
      <c r="M259" s="51"/>
      <c r="N259" s="94"/>
      <c r="O259" s="51"/>
      <c r="P259" s="51"/>
      <c r="Q259" s="51"/>
      <c r="R259" s="51"/>
      <c r="S259" s="51"/>
      <c r="T259" s="51"/>
      <c r="U259" s="51"/>
      <c r="V259" s="51"/>
      <c r="W259" s="51"/>
      <c r="X259" s="51"/>
      <c r="Y259" s="51"/>
      <c r="Z259" s="51"/>
    </row>
    <row r="260" spans="1:26" x14ac:dyDescent="0.3">
      <c r="A260" s="51"/>
      <c r="B260" s="102"/>
      <c r="C260" s="51"/>
      <c r="E260" s="51"/>
      <c r="F260" s="51"/>
      <c r="G260" s="51"/>
      <c r="H260" s="51"/>
      <c r="I260" s="51"/>
      <c r="J260" s="51"/>
      <c r="K260" s="51"/>
      <c r="L260" s="106"/>
      <c r="M260" s="51"/>
      <c r="N260" s="94"/>
      <c r="O260" s="51"/>
      <c r="P260" s="51"/>
      <c r="Q260" s="51"/>
      <c r="R260" s="51"/>
      <c r="S260" s="51"/>
      <c r="T260" s="51"/>
      <c r="U260" s="51"/>
      <c r="V260" s="51"/>
      <c r="W260" s="51"/>
      <c r="X260" s="51"/>
      <c r="Y260" s="51"/>
      <c r="Z260" s="51"/>
    </row>
    <row r="261" spans="1:26" x14ac:dyDescent="0.3">
      <c r="A261" s="51"/>
      <c r="B261" s="102"/>
      <c r="C261" s="51"/>
      <c r="E261" s="51"/>
      <c r="F261" s="51"/>
      <c r="G261" s="51"/>
      <c r="H261" s="51"/>
      <c r="I261" s="51"/>
      <c r="J261" s="51"/>
      <c r="K261" s="51"/>
      <c r="L261" s="106"/>
      <c r="M261" s="51"/>
      <c r="N261" s="94"/>
      <c r="O261" s="51"/>
      <c r="P261" s="51"/>
      <c r="Q261" s="51"/>
      <c r="R261" s="51"/>
      <c r="S261" s="51"/>
      <c r="T261" s="51"/>
      <c r="U261" s="51"/>
      <c r="V261" s="51"/>
      <c r="W261" s="51"/>
      <c r="X261" s="51"/>
      <c r="Y261" s="51"/>
      <c r="Z261" s="51"/>
    </row>
    <row r="262" spans="1:26" x14ac:dyDescent="0.3">
      <c r="A262" s="51"/>
      <c r="B262" s="102"/>
      <c r="C262" s="51"/>
      <c r="E262" s="51"/>
      <c r="F262" s="51"/>
      <c r="G262" s="51"/>
      <c r="H262" s="51"/>
      <c r="I262" s="51"/>
      <c r="J262" s="51"/>
      <c r="K262" s="51"/>
      <c r="L262" s="106"/>
      <c r="M262" s="51"/>
      <c r="N262" s="94"/>
      <c r="O262" s="51"/>
      <c r="P262" s="51"/>
      <c r="Q262" s="51"/>
      <c r="R262" s="51"/>
      <c r="S262" s="51"/>
      <c r="T262" s="51"/>
      <c r="U262" s="51"/>
      <c r="V262" s="51"/>
      <c r="W262" s="51"/>
      <c r="X262" s="51"/>
      <c r="Y262" s="51"/>
      <c r="Z262" s="51"/>
    </row>
    <row r="263" spans="1:26" x14ac:dyDescent="0.3">
      <c r="A263" s="51"/>
      <c r="B263" s="102"/>
      <c r="C263" s="51"/>
      <c r="E263" s="51"/>
      <c r="F263" s="51"/>
      <c r="G263" s="51"/>
      <c r="H263" s="51"/>
      <c r="I263" s="51"/>
      <c r="J263" s="51"/>
      <c r="K263" s="51"/>
      <c r="L263" s="106"/>
      <c r="M263" s="51"/>
      <c r="N263" s="94"/>
      <c r="O263" s="51"/>
      <c r="P263" s="51"/>
      <c r="Q263" s="51"/>
      <c r="R263" s="51"/>
      <c r="S263" s="51"/>
      <c r="T263" s="51"/>
      <c r="U263" s="51"/>
      <c r="V263" s="51"/>
      <c r="W263" s="51"/>
      <c r="X263" s="51"/>
      <c r="Y263" s="51"/>
      <c r="Z263" s="51"/>
    </row>
    <row r="264" spans="1:26" x14ac:dyDescent="0.3">
      <c r="A264" s="51"/>
      <c r="B264" s="102"/>
      <c r="C264" s="51"/>
      <c r="E264" s="51"/>
      <c r="F264" s="51"/>
      <c r="G264" s="51"/>
      <c r="H264" s="51"/>
      <c r="I264" s="51"/>
      <c r="J264" s="51"/>
      <c r="K264" s="51"/>
      <c r="L264" s="106"/>
      <c r="M264" s="51"/>
      <c r="N264" s="94"/>
      <c r="O264" s="51"/>
      <c r="P264" s="51"/>
      <c r="Q264" s="51"/>
      <c r="R264" s="51"/>
      <c r="S264" s="51"/>
      <c r="T264" s="51"/>
      <c r="U264" s="51"/>
      <c r="V264" s="51"/>
      <c r="W264" s="51"/>
      <c r="X264" s="51"/>
      <c r="Y264" s="51"/>
      <c r="Z264" s="51"/>
    </row>
    <row r="265" spans="1:26" x14ac:dyDescent="0.3">
      <c r="A265" s="51"/>
      <c r="B265" s="102"/>
      <c r="C265" s="51"/>
      <c r="E265" s="51"/>
      <c r="F265" s="51"/>
      <c r="G265" s="51"/>
      <c r="H265" s="51"/>
      <c r="I265" s="51"/>
      <c r="J265" s="51"/>
      <c r="K265" s="51"/>
      <c r="L265" s="106"/>
      <c r="M265" s="51"/>
      <c r="N265" s="94"/>
      <c r="O265" s="51"/>
      <c r="P265" s="51"/>
      <c r="Q265" s="51"/>
      <c r="R265" s="51"/>
      <c r="S265" s="51"/>
      <c r="T265" s="51"/>
      <c r="U265" s="51"/>
      <c r="V265" s="51"/>
      <c r="W265" s="51"/>
      <c r="X265" s="51"/>
      <c r="Y265" s="51"/>
      <c r="Z265" s="51"/>
    </row>
    <row r="266" spans="1:26" x14ac:dyDescent="0.3">
      <c r="A266" s="51"/>
      <c r="B266" s="102"/>
      <c r="C266" s="51"/>
      <c r="E266" s="51"/>
      <c r="F266" s="51"/>
      <c r="G266" s="51"/>
      <c r="H266" s="51"/>
      <c r="I266" s="51"/>
      <c r="J266" s="51"/>
      <c r="K266" s="51"/>
      <c r="L266" s="106"/>
      <c r="M266" s="51"/>
      <c r="N266" s="94"/>
      <c r="O266" s="51"/>
      <c r="P266" s="51"/>
      <c r="Q266" s="51"/>
      <c r="R266" s="51"/>
      <c r="S266" s="51"/>
      <c r="T266" s="51"/>
      <c r="U266" s="51"/>
      <c r="V266" s="51"/>
      <c r="W266" s="51"/>
      <c r="X266" s="51"/>
      <c r="Y266" s="51"/>
      <c r="Z266" s="51"/>
    </row>
    <row r="267" spans="1:26" x14ac:dyDescent="0.3">
      <c r="A267" s="51"/>
      <c r="B267" s="102"/>
      <c r="C267" s="51"/>
      <c r="E267" s="51"/>
      <c r="F267" s="51"/>
      <c r="G267" s="51"/>
      <c r="H267" s="51"/>
      <c r="I267" s="51"/>
      <c r="J267" s="51"/>
      <c r="K267" s="51"/>
      <c r="L267" s="106"/>
      <c r="M267" s="51"/>
      <c r="N267" s="94"/>
      <c r="O267" s="51"/>
      <c r="P267" s="51"/>
      <c r="Q267" s="51"/>
      <c r="R267" s="51"/>
      <c r="S267" s="51"/>
      <c r="T267" s="51"/>
      <c r="U267" s="51"/>
      <c r="V267" s="51"/>
      <c r="W267" s="51"/>
      <c r="X267" s="51"/>
      <c r="Y267" s="51"/>
      <c r="Z267" s="51"/>
    </row>
    <row r="268" spans="1:26" x14ac:dyDescent="0.3">
      <c r="A268" s="51"/>
      <c r="B268" s="102"/>
      <c r="C268" s="51"/>
      <c r="E268" s="51"/>
      <c r="F268" s="51"/>
      <c r="G268" s="51"/>
      <c r="H268" s="51"/>
      <c r="I268" s="51"/>
      <c r="J268" s="51"/>
      <c r="K268" s="51"/>
      <c r="L268" s="106"/>
      <c r="M268" s="51"/>
      <c r="N268" s="94"/>
      <c r="O268" s="51"/>
      <c r="P268" s="51"/>
      <c r="Q268" s="51"/>
      <c r="R268" s="51"/>
      <c r="S268" s="51"/>
      <c r="T268" s="51"/>
      <c r="U268" s="51"/>
      <c r="V268" s="51"/>
      <c r="W268" s="51"/>
      <c r="X268" s="51"/>
      <c r="Y268" s="51"/>
      <c r="Z268" s="51"/>
    </row>
    <row r="269" spans="1:26" x14ac:dyDescent="0.3">
      <c r="A269" s="51"/>
      <c r="B269" s="102"/>
      <c r="C269" s="51"/>
      <c r="E269" s="51"/>
      <c r="F269" s="51"/>
      <c r="G269" s="51"/>
      <c r="H269" s="51"/>
      <c r="I269" s="51"/>
      <c r="J269" s="51"/>
      <c r="K269" s="51"/>
      <c r="L269" s="106"/>
      <c r="M269" s="51"/>
      <c r="N269" s="94"/>
      <c r="O269" s="51"/>
      <c r="P269" s="51"/>
      <c r="Q269" s="51"/>
      <c r="R269" s="51"/>
      <c r="S269" s="51"/>
      <c r="T269" s="51"/>
      <c r="U269" s="51"/>
      <c r="V269" s="51"/>
      <c r="W269" s="51"/>
      <c r="X269" s="51"/>
      <c r="Y269" s="51"/>
      <c r="Z269" s="51"/>
    </row>
    <row r="270" spans="1:26" x14ac:dyDescent="0.3">
      <c r="A270" s="51"/>
      <c r="B270" s="102"/>
      <c r="C270" s="51"/>
      <c r="E270" s="51"/>
      <c r="F270" s="51"/>
      <c r="G270" s="51"/>
      <c r="H270" s="51"/>
      <c r="I270" s="51"/>
      <c r="J270" s="51"/>
      <c r="K270" s="51"/>
      <c r="L270" s="106"/>
      <c r="M270" s="51"/>
      <c r="N270" s="94"/>
      <c r="O270" s="51"/>
      <c r="P270" s="51"/>
      <c r="Q270" s="51"/>
      <c r="R270" s="51"/>
      <c r="S270" s="51"/>
      <c r="T270" s="51"/>
      <c r="U270" s="51"/>
      <c r="V270" s="51"/>
      <c r="W270" s="51"/>
      <c r="X270" s="51"/>
      <c r="Y270" s="51"/>
      <c r="Z270" s="51"/>
    </row>
    <row r="271" spans="1:26" x14ac:dyDescent="0.3">
      <c r="A271" s="51"/>
      <c r="B271" s="102"/>
      <c r="C271" s="51"/>
      <c r="E271" s="51"/>
      <c r="F271" s="51"/>
      <c r="G271" s="51"/>
      <c r="H271" s="51"/>
      <c r="I271" s="51"/>
      <c r="J271" s="51"/>
      <c r="K271" s="51"/>
      <c r="L271" s="106"/>
      <c r="M271" s="51"/>
      <c r="N271" s="94"/>
      <c r="O271" s="51"/>
      <c r="P271" s="51"/>
      <c r="Q271" s="51"/>
      <c r="R271" s="51"/>
      <c r="S271" s="51"/>
      <c r="T271" s="51"/>
      <c r="U271" s="51"/>
      <c r="V271" s="51"/>
      <c r="W271" s="51"/>
      <c r="X271" s="51"/>
      <c r="Y271" s="51"/>
      <c r="Z271" s="51"/>
    </row>
    <row r="272" spans="1:26" x14ac:dyDescent="0.3">
      <c r="A272" s="51"/>
      <c r="B272" s="102"/>
      <c r="C272" s="51"/>
      <c r="E272" s="51"/>
      <c r="F272" s="51"/>
      <c r="G272" s="51"/>
      <c r="H272" s="51"/>
      <c r="I272" s="51"/>
      <c r="J272" s="51"/>
      <c r="K272" s="51"/>
      <c r="L272" s="106"/>
      <c r="M272" s="51"/>
      <c r="N272" s="94"/>
      <c r="O272" s="51"/>
      <c r="P272" s="51"/>
      <c r="Q272" s="51"/>
      <c r="R272" s="51"/>
      <c r="S272" s="51"/>
      <c r="T272" s="51"/>
      <c r="U272" s="51"/>
      <c r="V272" s="51"/>
      <c r="W272" s="51"/>
      <c r="X272" s="51"/>
      <c r="Y272" s="51"/>
      <c r="Z272" s="51"/>
    </row>
    <row r="273" spans="1:26" x14ac:dyDescent="0.3">
      <c r="A273" s="51"/>
      <c r="B273" s="102"/>
      <c r="C273" s="51"/>
      <c r="E273" s="51"/>
      <c r="F273" s="51"/>
      <c r="G273" s="51"/>
      <c r="H273" s="51"/>
      <c r="I273" s="51"/>
      <c r="J273" s="51"/>
      <c r="K273" s="51"/>
      <c r="L273" s="106"/>
      <c r="M273" s="51"/>
      <c r="N273" s="94"/>
      <c r="O273" s="51"/>
      <c r="P273" s="51"/>
      <c r="Q273" s="51"/>
      <c r="R273" s="51"/>
      <c r="S273" s="51"/>
      <c r="T273" s="51"/>
      <c r="U273" s="51"/>
      <c r="V273" s="51"/>
      <c r="W273" s="51"/>
      <c r="X273" s="51"/>
      <c r="Y273" s="51"/>
      <c r="Z273" s="51"/>
    </row>
    <row r="274" spans="1:26" x14ac:dyDescent="0.3">
      <c r="A274" s="51"/>
      <c r="B274" s="102"/>
      <c r="C274" s="51"/>
      <c r="E274" s="51"/>
      <c r="F274" s="51"/>
      <c r="G274" s="51"/>
      <c r="H274" s="51"/>
      <c r="I274" s="51"/>
      <c r="J274" s="51"/>
      <c r="K274" s="51"/>
      <c r="L274" s="106"/>
      <c r="M274" s="51"/>
      <c r="N274" s="94"/>
      <c r="O274" s="51"/>
      <c r="P274" s="51"/>
      <c r="Q274" s="51"/>
      <c r="R274" s="51"/>
      <c r="S274" s="51"/>
      <c r="T274" s="51"/>
      <c r="U274" s="51"/>
      <c r="V274" s="51"/>
      <c r="W274" s="51"/>
      <c r="X274" s="51"/>
      <c r="Y274" s="51"/>
      <c r="Z274" s="51"/>
    </row>
    <row r="275" spans="1:26" x14ac:dyDescent="0.3">
      <c r="A275" s="51"/>
      <c r="B275" s="102"/>
      <c r="C275" s="51"/>
      <c r="E275" s="51"/>
      <c r="F275" s="51"/>
      <c r="G275" s="51"/>
      <c r="H275" s="51"/>
      <c r="I275" s="51"/>
      <c r="J275" s="51"/>
      <c r="K275" s="51"/>
      <c r="L275" s="106"/>
      <c r="M275" s="51"/>
      <c r="N275" s="94"/>
      <c r="O275" s="51"/>
      <c r="P275" s="51"/>
      <c r="Q275" s="51"/>
      <c r="R275" s="51"/>
      <c r="S275" s="51"/>
      <c r="T275" s="51"/>
      <c r="U275" s="51"/>
      <c r="V275" s="51"/>
      <c r="W275" s="51"/>
      <c r="X275" s="51"/>
      <c r="Y275" s="51"/>
      <c r="Z275" s="51"/>
    </row>
    <row r="276" spans="1:26" x14ac:dyDescent="0.3">
      <c r="A276" s="51"/>
      <c r="B276" s="102"/>
      <c r="C276" s="51"/>
      <c r="E276" s="51"/>
      <c r="F276" s="51"/>
      <c r="G276" s="51"/>
      <c r="H276" s="51"/>
      <c r="I276" s="51"/>
      <c r="J276" s="51"/>
      <c r="K276" s="51"/>
      <c r="L276" s="106"/>
      <c r="M276" s="51"/>
      <c r="N276" s="94"/>
      <c r="O276" s="51"/>
      <c r="P276" s="51"/>
      <c r="Q276" s="51"/>
      <c r="R276" s="51"/>
      <c r="S276" s="51"/>
      <c r="T276" s="51"/>
      <c r="U276" s="51"/>
      <c r="V276" s="51"/>
      <c r="W276" s="51"/>
      <c r="X276" s="51"/>
      <c r="Y276" s="51"/>
      <c r="Z276" s="51"/>
    </row>
    <row r="277" spans="1:26" x14ac:dyDescent="0.3">
      <c r="A277" s="51"/>
      <c r="B277" s="102"/>
      <c r="C277" s="51"/>
      <c r="E277" s="51"/>
      <c r="F277" s="51"/>
      <c r="G277" s="51"/>
      <c r="H277" s="51"/>
      <c r="I277" s="51"/>
      <c r="J277" s="51"/>
      <c r="K277" s="51"/>
      <c r="L277" s="106"/>
      <c r="M277" s="51"/>
      <c r="N277" s="94"/>
      <c r="O277" s="51"/>
      <c r="P277" s="51"/>
      <c r="Q277" s="51"/>
      <c r="R277" s="51"/>
      <c r="S277" s="51"/>
      <c r="T277" s="51"/>
      <c r="U277" s="51"/>
      <c r="V277" s="51"/>
      <c r="W277" s="51"/>
      <c r="X277" s="51"/>
      <c r="Y277" s="51"/>
      <c r="Z277" s="51"/>
    </row>
    <row r="278" spans="1:26" x14ac:dyDescent="0.3">
      <c r="A278" s="51"/>
      <c r="B278" s="102"/>
      <c r="C278" s="51"/>
      <c r="E278" s="51"/>
      <c r="F278" s="51"/>
      <c r="G278" s="51"/>
      <c r="H278" s="51"/>
      <c r="I278" s="51"/>
      <c r="J278" s="51"/>
      <c r="K278" s="51"/>
      <c r="L278" s="106"/>
      <c r="M278" s="51"/>
      <c r="N278" s="94"/>
      <c r="O278" s="51"/>
      <c r="P278" s="51"/>
      <c r="Q278" s="51"/>
      <c r="R278" s="51"/>
      <c r="S278" s="51"/>
      <c r="T278" s="51"/>
      <c r="U278" s="51"/>
      <c r="V278" s="51"/>
      <c r="W278" s="51"/>
      <c r="X278" s="51"/>
      <c r="Y278" s="51"/>
      <c r="Z278" s="51"/>
    </row>
    <row r="279" spans="1:26" x14ac:dyDescent="0.3">
      <c r="A279" s="51"/>
      <c r="B279" s="102"/>
      <c r="C279" s="51"/>
      <c r="E279" s="51"/>
      <c r="F279" s="51"/>
      <c r="G279" s="51"/>
      <c r="H279" s="51"/>
      <c r="I279" s="51"/>
      <c r="J279" s="51"/>
      <c r="K279" s="51"/>
      <c r="L279" s="106"/>
      <c r="M279" s="51"/>
      <c r="N279" s="94"/>
      <c r="O279" s="51"/>
      <c r="P279" s="51"/>
      <c r="Q279" s="51"/>
      <c r="R279" s="51"/>
      <c r="S279" s="51"/>
      <c r="T279" s="51"/>
      <c r="U279" s="51"/>
      <c r="V279" s="51"/>
      <c r="W279" s="51"/>
      <c r="X279" s="51"/>
      <c r="Y279" s="51"/>
      <c r="Z279" s="51"/>
    </row>
    <row r="280" spans="1:26" x14ac:dyDescent="0.3">
      <c r="A280" s="51"/>
      <c r="B280" s="102"/>
      <c r="C280" s="51"/>
      <c r="E280" s="51"/>
      <c r="F280" s="51"/>
      <c r="G280" s="51"/>
      <c r="H280" s="51"/>
      <c r="I280" s="51"/>
      <c r="J280" s="51"/>
      <c r="K280" s="51"/>
      <c r="L280" s="106"/>
      <c r="M280" s="51"/>
      <c r="N280" s="94"/>
      <c r="O280" s="51"/>
      <c r="P280" s="51"/>
      <c r="Q280" s="51"/>
      <c r="R280" s="51"/>
      <c r="S280" s="51"/>
      <c r="T280" s="51"/>
      <c r="U280" s="51"/>
      <c r="V280" s="51"/>
      <c r="W280" s="51"/>
      <c r="X280" s="51"/>
      <c r="Y280" s="51"/>
      <c r="Z280" s="51"/>
    </row>
    <row r="281" spans="1:26" x14ac:dyDescent="0.3">
      <c r="A281" s="51"/>
      <c r="B281" s="102"/>
      <c r="C281" s="51"/>
      <c r="E281" s="51"/>
      <c r="F281" s="51"/>
      <c r="G281" s="51"/>
      <c r="H281" s="51"/>
      <c r="I281" s="51"/>
      <c r="J281" s="51"/>
      <c r="K281" s="51"/>
      <c r="L281" s="106"/>
      <c r="M281" s="51"/>
      <c r="N281" s="94"/>
      <c r="O281" s="51"/>
      <c r="P281" s="51"/>
      <c r="Q281" s="51"/>
      <c r="R281" s="51"/>
      <c r="S281" s="51"/>
      <c r="T281" s="51"/>
      <c r="U281" s="51"/>
      <c r="V281" s="51"/>
      <c r="W281" s="51"/>
      <c r="X281" s="51"/>
      <c r="Y281" s="51"/>
      <c r="Z281" s="51"/>
    </row>
    <row r="282" spans="1:26" x14ac:dyDescent="0.3">
      <c r="A282" s="51"/>
      <c r="B282" s="102"/>
      <c r="C282" s="51"/>
      <c r="E282" s="51"/>
      <c r="F282" s="51"/>
      <c r="G282" s="51"/>
      <c r="H282" s="51"/>
      <c r="I282" s="51"/>
      <c r="J282" s="51"/>
      <c r="K282" s="51"/>
      <c r="L282" s="106"/>
      <c r="M282" s="51"/>
      <c r="N282" s="94"/>
      <c r="O282" s="51"/>
      <c r="P282" s="51"/>
      <c r="Q282" s="51"/>
      <c r="R282" s="51"/>
      <c r="S282" s="51"/>
      <c r="T282" s="51"/>
      <c r="U282" s="51"/>
      <c r="V282" s="51"/>
      <c r="W282" s="51"/>
      <c r="X282" s="51"/>
      <c r="Y282" s="51"/>
      <c r="Z282" s="51"/>
    </row>
    <row r="283" spans="1:26" x14ac:dyDescent="0.3">
      <c r="A283" s="51"/>
      <c r="B283" s="102"/>
      <c r="C283" s="51"/>
      <c r="E283" s="51"/>
      <c r="F283" s="51"/>
      <c r="G283" s="51"/>
      <c r="H283" s="51"/>
      <c r="I283" s="51"/>
      <c r="J283" s="51"/>
      <c r="K283" s="51"/>
      <c r="L283" s="106"/>
      <c r="M283" s="51"/>
      <c r="N283" s="94"/>
      <c r="O283" s="51"/>
      <c r="P283" s="51"/>
      <c r="Q283" s="51"/>
      <c r="R283" s="51"/>
      <c r="S283" s="51"/>
      <c r="T283" s="51"/>
      <c r="U283" s="51"/>
      <c r="V283" s="51"/>
      <c r="W283" s="51"/>
      <c r="X283" s="51"/>
      <c r="Y283" s="51"/>
      <c r="Z283" s="51"/>
    </row>
    <row r="284" spans="1:26" x14ac:dyDescent="0.3">
      <c r="A284" s="51"/>
      <c r="B284" s="102"/>
      <c r="C284" s="51"/>
      <c r="E284" s="51"/>
      <c r="F284" s="51"/>
      <c r="G284" s="51"/>
      <c r="H284" s="51"/>
      <c r="I284" s="51"/>
      <c r="J284" s="51"/>
      <c r="K284" s="51"/>
      <c r="L284" s="106"/>
      <c r="M284" s="51"/>
      <c r="N284" s="94"/>
      <c r="O284" s="51"/>
      <c r="P284" s="51"/>
      <c r="Q284" s="51"/>
      <c r="R284" s="51"/>
      <c r="S284" s="51"/>
      <c r="T284" s="51"/>
      <c r="U284" s="51"/>
      <c r="V284" s="51"/>
      <c r="W284" s="51"/>
      <c r="X284" s="51"/>
      <c r="Y284" s="51"/>
      <c r="Z284" s="51"/>
    </row>
    <row r="285" spans="1:26" x14ac:dyDescent="0.3">
      <c r="A285" s="51"/>
      <c r="B285" s="102"/>
      <c r="C285" s="51"/>
      <c r="E285" s="51"/>
      <c r="F285" s="51"/>
      <c r="G285" s="51"/>
      <c r="H285" s="51"/>
      <c r="I285" s="51"/>
      <c r="J285" s="51"/>
      <c r="K285" s="51"/>
      <c r="L285" s="106"/>
      <c r="M285" s="51"/>
      <c r="N285" s="94"/>
      <c r="O285" s="51"/>
      <c r="P285" s="51"/>
      <c r="Q285" s="51"/>
      <c r="R285" s="51"/>
      <c r="S285" s="51"/>
      <c r="T285" s="51"/>
      <c r="U285" s="51"/>
      <c r="V285" s="51"/>
      <c r="W285" s="51"/>
      <c r="X285" s="51"/>
      <c r="Y285" s="51"/>
      <c r="Z285" s="51"/>
    </row>
    <row r="286" spans="1:26" x14ac:dyDescent="0.3">
      <c r="A286" s="51"/>
      <c r="B286" s="102"/>
      <c r="C286" s="51"/>
      <c r="E286" s="51"/>
      <c r="F286" s="51"/>
      <c r="G286" s="51"/>
      <c r="H286" s="51"/>
      <c r="I286" s="51"/>
      <c r="J286" s="51"/>
      <c r="K286" s="51"/>
      <c r="L286" s="106"/>
      <c r="M286" s="51"/>
      <c r="N286" s="94"/>
      <c r="O286" s="51"/>
      <c r="P286" s="51"/>
      <c r="Q286" s="51"/>
      <c r="R286" s="51"/>
      <c r="S286" s="51"/>
      <c r="T286" s="51"/>
      <c r="U286" s="51"/>
      <c r="V286" s="51"/>
      <c r="W286" s="51"/>
      <c r="X286" s="51"/>
      <c r="Y286" s="51"/>
      <c r="Z286" s="51"/>
    </row>
    <row r="287" spans="1:26" x14ac:dyDescent="0.3">
      <c r="A287" s="51"/>
      <c r="B287" s="102"/>
      <c r="C287" s="51"/>
      <c r="E287" s="51"/>
      <c r="F287" s="51"/>
      <c r="G287" s="51"/>
      <c r="H287" s="51"/>
      <c r="I287" s="51"/>
      <c r="J287" s="51"/>
      <c r="K287" s="51"/>
      <c r="L287" s="106"/>
      <c r="M287" s="51"/>
      <c r="N287" s="94"/>
      <c r="O287" s="51"/>
      <c r="P287" s="51"/>
      <c r="Q287" s="51"/>
      <c r="R287" s="51"/>
      <c r="S287" s="51"/>
      <c r="T287" s="51"/>
      <c r="U287" s="51"/>
      <c r="V287" s="51"/>
      <c r="W287" s="51"/>
      <c r="X287" s="51"/>
      <c r="Y287" s="51"/>
      <c r="Z287" s="51"/>
    </row>
    <row r="288" spans="1:26" x14ac:dyDescent="0.3">
      <c r="A288" s="51"/>
      <c r="B288" s="102"/>
      <c r="C288" s="51"/>
      <c r="E288" s="51"/>
      <c r="F288" s="51"/>
      <c r="G288" s="51"/>
      <c r="H288" s="51"/>
      <c r="I288" s="51"/>
      <c r="J288" s="51"/>
      <c r="K288" s="51"/>
      <c r="L288" s="106"/>
      <c r="M288" s="51"/>
      <c r="N288" s="94"/>
      <c r="O288" s="51"/>
      <c r="P288" s="51"/>
      <c r="Q288" s="51"/>
      <c r="R288" s="51"/>
      <c r="S288" s="51"/>
      <c r="T288" s="51"/>
      <c r="U288" s="51"/>
      <c r="V288" s="51"/>
      <c r="W288" s="51"/>
      <c r="X288" s="51"/>
      <c r="Y288" s="51"/>
      <c r="Z288" s="51"/>
    </row>
    <row r="289" spans="1:26" x14ac:dyDescent="0.3">
      <c r="A289" s="51"/>
      <c r="B289" s="102"/>
      <c r="C289" s="51"/>
      <c r="E289" s="51"/>
      <c r="F289" s="51"/>
      <c r="G289" s="51"/>
      <c r="H289" s="51"/>
      <c r="I289" s="51"/>
      <c r="J289" s="51"/>
      <c r="K289" s="51"/>
      <c r="L289" s="106"/>
      <c r="M289" s="51"/>
      <c r="N289" s="94"/>
      <c r="O289" s="51"/>
      <c r="P289" s="51"/>
      <c r="Q289" s="51"/>
      <c r="R289" s="51"/>
      <c r="S289" s="51"/>
      <c r="T289" s="51"/>
      <c r="U289" s="51"/>
      <c r="V289" s="51"/>
      <c r="W289" s="51"/>
      <c r="X289" s="51"/>
      <c r="Y289" s="51"/>
      <c r="Z289" s="51"/>
    </row>
    <row r="290" spans="1:26" x14ac:dyDescent="0.3">
      <c r="A290" s="51"/>
      <c r="B290" s="102"/>
      <c r="C290" s="51"/>
      <c r="E290" s="51"/>
      <c r="F290" s="51"/>
      <c r="G290" s="51"/>
      <c r="H290" s="51"/>
      <c r="I290" s="51"/>
      <c r="J290" s="51"/>
      <c r="K290" s="51"/>
      <c r="L290" s="106"/>
      <c r="M290" s="51"/>
      <c r="N290" s="94"/>
      <c r="O290" s="51"/>
      <c r="P290" s="51"/>
      <c r="Q290" s="51"/>
      <c r="R290" s="51"/>
      <c r="S290" s="51"/>
      <c r="T290" s="51"/>
      <c r="U290" s="51"/>
      <c r="V290" s="51"/>
      <c r="W290" s="51"/>
      <c r="X290" s="51"/>
      <c r="Y290" s="51"/>
      <c r="Z290" s="51"/>
    </row>
    <row r="291" spans="1:26" x14ac:dyDescent="0.3">
      <c r="A291" s="51"/>
      <c r="B291" s="102"/>
      <c r="C291" s="51"/>
      <c r="E291" s="51"/>
      <c r="F291" s="51"/>
      <c r="G291" s="51"/>
      <c r="H291" s="51"/>
      <c r="I291" s="51"/>
      <c r="J291" s="51"/>
      <c r="K291" s="51"/>
      <c r="L291" s="106"/>
      <c r="M291" s="51"/>
      <c r="N291" s="94"/>
      <c r="O291" s="51"/>
      <c r="P291" s="51"/>
      <c r="Q291" s="51"/>
      <c r="R291" s="51"/>
      <c r="S291" s="51"/>
      <c r="T291" s="51"/>
      <c r="U291" s="51"/>
      <c r="V291" s="51"/>
      <c r="W291" s="51"/>
      <c r="X291" s="51"/>
      <c r="Y291" s="51"/>
      <c r="Z291" s="51"/>
    </row>
    <row r="292" spans="1:26" x14ac:dyDescent="0.3">
      <c r="A292" s="51"/>
      <c r="B292" s="102"/>
      <c r="C292" s="51"/>
      <c r="E292" s="51"/>
      <c r="F292" s="51"/>
      <c r="G292" s="51"/>
      <c r="H292" s="51"/>
      <c r="I292" s="51"/>
      <c r="J292" s="51"/>
      <c r="K292" s="51"/>
      <c r="L292" s="106"/>
      <c r="M292" s="51"/>
      <c r="N292" s="94"/>
      <c r="O292" s="51"/>
      <c r="P292" s="51"/>
      <c r="Q292" s="51"/>
      <c r="R292" s="51"/>
      <c r="S292" s="51"/>
      <c r="T292" s="51"/>
      <c r="U292" s="51"/>
      <c r="V292" s="51"/>
      <c r="W292" s="51"/>
      <c r="X292" s="51"/>
      <c r="Y292" s="51"/>
      <c r="Z292" s="51"/>
    </row>
    <row r="293" spans="1:26" x14ac:dyDescent="0.3">
      <c r="A293" s="51"/>
      <c r="B293" s="102"/>
      <c r="C293" s="51"/>
      <c r="E293" s="51"/>
      <c r="F293" s="51"/>
      <c r="G293" s="51"/>
      <c r="H293" s="51"/>
      <c r="I293" s="51"/>
      <c r="J293" s="51"/>
      <c r="K293" s="51"/>
      <c r="L293" s="106"/>
      <c r="M293" s="51"/>
      <c r="N293" s="94"/>
      <c r="O293" s="51"/>
      <c r="P293" s="51"/>
      <c r="Q293" s="51"/>
      <c r="R293" s="51"/>
      <c r="S293" s="51"/>
      <c r="T293" s="51"/>
      <c r="U293" s="51"/>
      <c r="V293" s="51"/>
      <c r="W293" s="51"/>
      <c r="X293" s="51"/>
      <c r="Y293" s="51"/>
      <c r="Z293" s="51"/>
    </row>
    <row r="294" spans="1:26" x14ac:dyDescent="0.3">
      <c r="A294" s="51"/>
      <c r="B294" s="102"/>
      <c r="C294" s="51"/>
      <c r="E294" s="51"/>
      <c r="F294" s="51"/>
      <c r="G294" s="51"/>
      <c r="H294" s="51"/>
      <c r="I294" s="51"/>
      <c r="J294" s="51"/>
      <c r="K294" s="51"/>
      <c r="L294" s="106"/>
      <c r="M294" s="51"/>
      <c r="N294" s="94"/>
      <c r="O294" s="51"/>
      <c r="P294" s="51"/>
      <c r="Q294" s="51"/>
      <c r="R294" s="51"/>
      <c r="S294" s="51"/>
      <c r="T294" s="51"/>
      <c r="U294" s="51"/>
      <c r="V294" s="51"/>
      <c r="W294" s="51"/>
      <c r="X294" s="51"/>
      <c r="Y294" s="51"/>
      <c r="Z294" s="51"/>
    </row>
    <row r="295" spans="1:26" x14ac:dyDescent="0.3">
      <c r="A295" s="51"/>
      <c r="B295" s="102"/>
      <c r="C295" s="51"/>
      <c r="E295" s="51"/>
      <c r="F295" s="51"/>
      <c r="G295" s="51"/>
      <c r="H295" s="51"/>
      <c r="I295" s="51"/>
      <c r="J295" s="51"/>
      <c r="K295" s="51"/>
      <c r="L295" s="106"/>
      <c r="M295" s="51"/>
      <c r="N295" s="94"/>
      <c r="O295" s="51"/>
      <c r="P295" s="51"/>
      <c r="Q295" s="51"/>
      <c r="R295" s="51"/>
      <c r="S295" s="51"/>
      <c r="T295" s="51"/>
      <c r="U295" s="51"/>
      <c r="V295" s="51"/>
      <c r="W295" s="51"/>
      <c r="X295" s="51"/>
      <c r="Y295" s="51"/>
      <c r="Z295" s="51"/>
    </row>
    <row r="296" spans="1:26" x14ac:dyDescent="0.3">
      <c r="A296" s="51"/>
      <c r="B296" s="102"/>
      <c r="C296" s="51"/>
      <c r="E296" s="51"/>
      <c r="F296" s="51"/>
      <c r="G296" s="51"/>
      <c r="H296" s="51"/>
      <c r="I296" s="51"/>
      <c r="J296" s="51"/>
      <c r="K296" s="51"/>
      <c r="L296" s="106"/>
      <c r="M296" s="51"/>
      <c r="N296" s="94"/>
      <c r="O296" s="51"/>
      <c r="P296" s="51"/>
      <c r="Q296" s="51"/>
      <c r="R296" s="51"/>
      <c r="S296" s="51"/>
      <c r="T296" s="51"/>
      <c r="U296" s="51"/>
      <c r="V296" s="51"/>
      <c r="W296" s="51"/>
      <c r="X296" s="51"/>
      <c r="Y296" s="51"/>
      <c r="Z296" s="51"/>
    </row>
    <row r="297" spans="1:26" x14ac:dyDescent="0.3">
      <c r="A297" s="51"/>
      <c r="B297" s="102"/>
      <c r="C297" s="51"/>
      <c r="E297" s="51"/>
      <c r="F297" s="51"/>
      <c r="G297" s="51"/>
      <c r="H297" s="51"/>
      <c r="I297" s="51"/>
      <c r="J297" s="51"/>
      <c r="K297" s="51"/>
      <c r="L297" s="106"/>
      <c r="M297" s="51"/>
      <c r="N297" s="94"/>
      <c r="O297" s="51"/>
      <c r="P297" s="51"/>
      <c r="Q297" s="51"/>
      <c r="R297" s="51"/>
      <c r="S297" s="51"/>
      <c r="T297" s="51"/>
      <c r="U297" s="51"/>
      <c r="V297" s="51"/>
      <c r="W297" s="51"/>
      <c r="X297" s="51"/>
      <c r="Y297" s="51"/>
      <c r="Z297" s="51"/>
    </row>
    <row r="298" spans="1:26" x14ac:dyDescent="0.3">
      <c r="A298" s="51"/>
      <c r="B298" s="102"/>
      <c r="C298" s="51"/>
      <c r="E298" s="51"/>
      <c r="F298" s="51"/>
      <c r="G298" s="51"/>
      <c r="H298" s="51"/>
      <c r="I298" s="51"/>
      <c r="J298" s="51"/>
      <c r="K298" s="51"/>
      <c r="L298" s="106"/>
      <c r="M298" s="51"/>
      <c r="N298" s="94"/>
      <c r="O298" s="51"/>
      <c r="P298" s="51"/>
      <c r="Q298" s="51"/>
      <c r="R298" s="51"/>
      <c r="S298" s="51"/>
      <c r="T298" s="51"/>
      <c r="U298" s="51"/>
      <c r="V298" s="51"/>
      <c r="W298" s="51"/>
      <c r="X298" s="51"/>
      <c r="Y298" s="51"/>
      <c r="Z298" s="51"/>
    </row>
    <row r="299" spans="1:26" x14ac:dyDescent="0.3">
      <c r="A299" s="51"/>
      <c r="B299" s="102"/>
      <c r="C299" s="51"/>
      <c r="E299" s="51"/>
      <c r="F299" s="51"/>
      <c r="G299" s="51"/>
      <c r="H299" s="51"/>
      <c r="I299" s="51"/>
      <c r="J299" s="51"/>
      <c r="K299" s="51"/>
      <c r="L299" s="106"/>
      <c r="M299" s="51"/>
      <c r="N299" s="94"/>
      <c r="O299" s="51"/>
      <c r="P299" s="51"/>
      <c r="Q299" s="51"/>
      <c r="R299" s="51"/>
      <c r="S299" s="51"/>
      <c r="T299" s="51"/>
      <c r="U299" s="51"/>
      <c r="V299" s="51"/>
      <c r="W299" s="51"/>
      <c r="X299" s="51"/>
      <c r="Y299" s="51"/>
      <c r="Z299" s="51"/>
    </row>
    <row r="300" spans="1:26" x14ac:dyDescent="0.3">
      <c r="A300" s="51"/>
      <c r="B300" s="102"/>
      <c r="C300" s="51"/>
      <c r="E300" s="51"/>
      <c r="F300" s="51"/>
      <c r="G300" s="51"/>
      <c r="H300" s="51"/>
      <c r="I300" s="51"/>
      <c r="J300" s="51"/>
      <c r="K300" s="51"/>
      <c r="L300" s="106"/>
      <c r="M300" s="51"/>
      <c r="N300" s="94"/>
      <c r="O300" s="51"/>
      <c r="P300" s="51"/>
      <c r="Q300" s="51"/>
      <c r="R300" s="51"/>
      <c r="S300" s="51"/>
      <c r="T300" s="51"/>
      <c r="U300" s="51"/>
      <c r="V300" s="51"/>
      <c r="W300" s="51"/>
      <c r="X300" s="51"/>
      <c r="Y300" s="51"/>
      <c r="Z300" s="51"/>
    </row>
    <row r="301" spans="1:26" x14ac:dyDescent="0.3">
      <c r="A301" s="51"/>
      <c r="B301" s="102"/>
      <c r="C301" s="51"/>
      <c r="E301" s="51"/>
      <c r="F301" s="51"/>
      <c r="G301" s="51"/>
      <c r="H301" s="51"/>
      <c r="I301" s="51"/>
      <c r="J301" s="51"/>
      <c r="K301" s="51"/>
      <c r="L301" s="106"/>
      <c r="M301" s="51"/>
      <c r="N301" s="94"/>
      <c r="O301" s="51"/>
      <c r="P301" s="51"/>
      <c r="Q301" s="51"/>
      <c r="R301" s="51"/>
      <c r="S301" s="51"/>
      <c r="T301" s="51"/>
      <c r="U301" s="51"/>
      <c r="V301" s="51"/>
      <c r="W301" s="51"/>
      <c r="X301" s="51"/>
      <c r="Y301" s="51"/>
      <c r="Z301" s="51"/>
    </row>
    <row r="302" spans="1:26" x14ac:dyDescent="0.3">
      <c r="A302" s="51"/>
      <c r="B302" s="102"/>
      <c r="C302" s="51"/>
      <c r="E302" s="51"/>
      <c r="F302" s="51"/>
      <c r="G302" s="51"/>
      <c r="H302" s="51"/>
      <c r="I302" s="51"/>
      <c r="J302" s="51"/>
      <c r="K302" s="51"/>
      <c r="L302" s="106"/>
      <c r="M302" s="51"/>
      <c r="N302" s="94"/>
      <c r="O302" s="51"/>
      <c r="P302" s="51"/>
      <c r="Q302" s="51"/>
      <c r="R302" s="51"/>
      <c r="S302" s="51"/>
      <c r="T302" s="51"/>
      <c r="U302" s="51"/>
      <c r="V302" s="51"/>
      <c r="W302" s="51"/>
      <c r="X302" s="51"/>
      <c r="Y302" s="51"/>
      <c r="Z302" s="51"/>
    </row>
    <row r="303" spans="1:26" x14ac:dyDescent="0.3">
      <c r="A303" s="51"/>
      <c r="B303" s="102"/>
      <c r="C303" s="51"/>
      <c r="E303" s="51"/>
      <c r="F303" s="51"/>
      <c r="G303" s="51"/>
      <c r="H303" s="51"/>
      <c r="I303" s="51"/>
      <c r="J303" s="51"/>
      <c r="K303" s="51"/>
      <c r="L303" s="106"/>
      <c r="M303" s="51"/>
      <c r="N303" s="94"/>
      <c r="O303" s="51"/>
      <c r="P303" s="51"/>
      <c r="Q303" s="51"/>
      <c r="R303" s="51"/>
      <c r="S303" s="51"/>
      <c r="T303" s="51"/>
      <c r="U303" s="51"/>
      <c r="V303" s="51"/>
      <c r="W303" s="51"/>
      <c r="X303" s="51"/>
      <c r="Y303" s="51"/>
      <c r="Z303" s="51"/>
    </row>
    <row r="304" spans="1:26" x14ac:dyDescent="0.3">
      <c r="A304" s="51"/>
      <c r="B304" s="102"/>
      <c r="C304" s="51"/>
      <c r="E304" s="51"/>
      <c r="F304" s="51"/>
      <c r="G304" s="51"/>
      <c r="H304" s="51"/>
      <c r="I304" s="51"/>
      <c r="J304" s="51"/>
      <c r="K304" s="51"/>
      <c r="L304" s="106"/>
      <c r="M304" s="51"/>
      <c r="N304" s="94"/>
      <c r="O304" s="51"/>
      <c r="P304" s="51"/>
      <c r="Q304" s="51"/>
      <c r="R304" s="51"/>
      <c r="S304" s="51"/>
      <c r="T304" s="51"/>
      <c r="U304" s="51"/>
      <c r="V304" s="51"/>
      <c r="W304" s="51"/>
      <c r="X304" s="51"/>
      <c r="Y304" s="51"/>
      <c r="Z304" s="51"/>
    </row>
    <row r="305" spans="1:26" x14ac:dyDescent="0.3">
      <c r="A305" s="51"/>
      <c r="B305" s="102"/>
      <c r="C305" s="51"/>
      <c r="E305" s="51"/>
      <c r="F305" s="51"/>
      <c r="G305" s="51"/>
      <c r="H305" s="51"/>
      <c r="I305" s="51"/>
      <c r="J305" s="51"/>
      <c r="K305" s="51"/>
      <c r="L305" s="106"/>
      <c r="M305" s="51"/>
      <c r="N305" s="94"/>
      <c r="O305" s="51"/>
      <c r="P305" s="51"/>
      <c r="Q305" s="51"/>
      <c r="R305" s="51"/>
      <c r="S305" s="51"/>
      <c r="T305" s="51"/>
      <c r="U305" s="51"/>
      <c r="V305" s="51"/>
      <c r="W305" s="51"/>
      <c r="X305" s="51"/>
      <c r="Y305" s="51"/>
      <c r="Z305" s="51"/>
    </row>
    <row r="306" spans="1:26" x14ac:dyDescent="0.3">
      <c r="A306" s="51"/>
      <c r="B306" s="102"/>
      <c r="C306" s="51"/>
      <c r="E306" s="51"/>
      <c r="F306" s="51"/>
      <c r="G306" s="51"/>
      <c r="H306" s="51"/>
      <c r="I306" s="51"/>
      <c r="J306" s="51"/>
      <c r="K306" s="51"/>
      <c r="L306" s="106"/>
      <c r="M306" s="51"/>
      <c r="N306" s="94"/>
      <c r="O306" s="51"/>
      <c r="P306" s="51"/>
      <c r="Q306" s="51"/>
      <c r="R306" s="51"/>
      <c r="S306" s="51"/>
      <c r="T306" s="51"/>
      <c r="U306" s="51"/>
      <c r="V306" s="51"/>
      <c r="W306" s="51"/>
      <c r="X306" s="51"/>
      <c r="Y306" s="51"/>
      <c r="Z306" s="51"/>
    </row>
    <row r="307" spans="1:26" x14ac:dyDescent="0.3">
      <c r="A307" s="51"/>
      <c r="B307" s="102"/>
      <c r="C307" s="51"/>
      <c r="E307" s="51"/>
      <c r="F307" s="51"/>
      <c r="G307" s="51"/>
      <c r="H307" s="51"/>
      <c r="I307" s="51"/>
      <c r="J307" s="51"/>
      <c r="K307" s="51"/>
      <c r="L307" s="106"/>
      <c r="M307" s="51"/>
      <c r="N307" s="94"/>
      <c r="O307" s="51"/>
      <c r="P307" s="51"/>
      <c r="Q307" s="51"/>
      <c r="R307" s="51"/>
      <c r="S307" s="51"/>
      <c r="T307" s="51"/>
      <c r="U307" s="51"/>
      <c r="V307" s="51"/>
      <c r="W307" s="51"/>
      <c r="X307" s="51"/>
      <c r="Y307" s="51"/>
      <c r="Z307" s="51"/>
    </row>
    <row r="308" spans="1:26" x14ac:dyDescent="0.3">
      <c r="A308" s="51"/>
      <c r="B308" s="102"/>
      <c r="C308" s="51"/>
      <c r="E308" s="51"/>
      <c r="F308" s="51"/>
      <c r="G308" s="51"/>
      <c r="H308" s="51"/>
      <c r="I308" s="51"/>
      <c r="J308" s="51"/>
      <c r="K308" s="51"/>
      <c r="L308" s="106"/>
      <c r="M308" s="51"/>
      <c r="N308" s="94"/>
      <c r="O308" s="51"/>
      <c r="P308" s="51"/>
      <c r="Q308" s="51"/>
      <c r="R308" s="51"/>
      <c r="S308" s="51"/>
      <c r="T308" s="51"/>
      <c r="U308" s="51"/>
      <c r="V308" s="51"/>
      <c r="W308" s="51"/>
      <c r="X308" s="51"/>
      <c r="Y308" s="51"/>
      <c r="Z308" s="51"/>
    </row>
    <row r="309" spans="1:26" x14ac:dyDescent="0.3">
      <c r="A309" s="51"/>
      <c r="B309" s="102"/>
      <c r="C309" s="51"/>
      <c r="E309" s="51"/>
      <c r="F309" s="51"/>
      <c r="G309" s="51"/>
      <c r="H309" s="51"/>
      <c r="I309" s="51"/>
      <c r="J309" s="51"/>
      <c r="K309" s="51"/>
      <c r="L309" s="106"/>
      <c r="M309" s="51"/>
      <c r="N309" s="94"/>
      <c r="O309" s="51"/>
      <c r="P309" s="51"/>
      <c r="Q309" s="51"/>
      <c r="R309" s="51"/>
      <c r="S309" s="51"/>
      <c r="T309" s="51"/>
      <c r="U309" s="51"/>
      <c r="V309" s="51"/>
      <c r="W309" s="51"/>
      <c r="X309" s="51"/>
      <c r="Y309" s="51"/>
      <c r="Z309" s="51"/>
    </row>
    <row r="310" spans="1:26" x14ac:dyDescent="0.3">
      <c r="A310" s="51"/>
      <c r="B310" s="102"/>
      <c r="C310" s="51"/>
      <c r="E310" s="51"/>
      <c r="F310" s="51"/>
      <c r="G310" s="51"/>
      <c r="H310" s="51"/>
      <c r="I310" s="51"/>
      <c r="J310" s="51"/>
      <c r="K310" s="51"/>
      <c r="L310" s="106"/>
      <c r="M310" s="51"/>
      <c r="N310" s="94"/>
      <c r="O310" s="51"/>
      <c r="P310" s="51"/>
      <c r="Q310" s="51"/>
      <c r="R310" s="51"/>
      <c r="S310" s="51"/>
      <c r="T310" s="51"/>
      <c r="U310" s="51"/>
      <c r="V310" s="51"/>
      <c r="W310" s="51"/>
      <c r="X310" s="51"/>
      <c r="Y310" s="51"/>
      <c r="Z310" s="51"/>
    </row>
    <row r="311" spans="1:26" x14ac:dyDescent="0.3">
      <c r="A311" s="51"/>
      <c r="B311" s="102"/>
      <c r="C311" s="51"/>
      <c r="E311" s="51"/>
      <c r="F311" s="51"/>
      <c r="G311" s="51"/>
      <c r="H311" s="51"/>
      <c r="I311" s="51"/>
      <c r="J311" s="51"/>
      <c r="K311" s="51"/>
      <c r="L311" s="106"/>
      <c r="M311" s="51"/>
      <c r="N311" s="94"/>
      <c r="O311" s="51"/>
      <c r="P311" s="51"/>
      <c r="Q311" s="51"/>
      <c r="R311" s="51"/>
      <c r="S311" s="51"/>
      <c r="T311" s="51"/>
      <c r="U311" s="51"/>
      <c r="V311" s="51"/>
      <c r="W311" s="51"/>
      <c r="X311" s="51"/>
      <c r="Y311" s="51"/>
      <c r="Z311" s="51"/>
    </row>
    <row r="312" spans="1:26" x14ac:dyDescent="0.3">
      <c r="A312" s="51"/>
      <c r="B312" s="102"/>
      <c r="C312" s="51"/>
      <c r="E312" s="51"/>
      <c r="F312" s="51"/>
      <c r="G312" s="51"/>
      <c r="H312" s="51"/>
      <c r="I312" s="51"/>
      <c r="J312" s="51"/>
      <c r="K312" s="51"/>
      <c r="L312" s="106"/>
      <c r="M312" s="51"/>
      <c r="N312" s="94"/>
      <c r="O312" s="51"/>
      <c r="P312" s="51"/>
      <c r="Q312" s="51"/>
      <c r="R312" s="51"/>
      <c r="S312" s="51"/>
      <c r="T312" s="51"/>
      <c r="U312" s="51"/>
      <c r="V312" s="51"/>
      <c r="W312" s="51"/>
      <c r="X312" s="51"/>
      <c r="Y312" s="51"/>
      <c r="Z312" s="51"/>
    </row>
    <row r="313" spans="1:26" x14ac:dyDescent="0.3">
      <c r="A313" s="51"/>
      <c r="B313" s="102"/>
      <c r="C313" s="51"/>
      <c r="E313" s="51"/>
      <c r="F313" s="51"/>
      <c r="G313" s="51"/>
      <c r="H313" s="51"/>
      <c r="I313" s="51"/>
      <c r="J313" s="51"/>
      <c r="K313" s="51"/>
      <c r="L313" s="106"/>
      <c r="M313" s="51"/>
      <c r="N313" s="94"/>
      <c r="O313" s="51"/>
      <c r="P313" s="51"/>
      <c r="Q313" s="51"/>
      <c r="R313" s="51"/>
      <c r="S313" s="51"/>
      <c r="T313" s="51"/>
      <c r="U313" s="51"/>
      <c r="V313" s="51"/>
      <c r="W313" s="51"/>
      <c r="X313" s="51"/>
      <c r="Y313" s="51"/>
      <c r="Z313" s="51"/>
    </row>
    <row r="314" spans="1:26" x14ac:dyDescent="0.3">
      <c r="A314" s="51"/>
      <c r="B314" s="102"/>
      <c r="C314" s="51"/>
      <c r="E314" s="51"/>
      <c r="F314" s="51"/>
      <c r="G314" s="51"/>
      <c r="H314" s="51"/>
      <c r="I314" s="51"/>
      <c r="J314" s="51"/>
      <c r="K314" s="51"/>
      <c r="L314" s="106"/>
      <c r="M314" s="51"/>
      <c r="N314" s="94"/>
      <c r="O314" s="51"/>
      <c r="P314" s="51"/>
      <c r="Q314" s="51"/>
      <c r="R314" s="51"/>
      <c r="S314" s="51"/>
      <c r="T314" s="51"/>
      <c r="U314" s="51"/>
      <c r="V314" s="51"/>
      <c r="W314" s="51"/>
      <c r="X314" s="51"/>
      <c r="Y314" s="51"/>
      <c r="Z314" s="51"/>
    </row>
    <row r="315" spans="1:26" x14ac:dyDescent="0.3">
      <c r="A315" s="51"/>
      <c r="B315" s="102"/>
      <c r="C315" s="51"/>
      <c r="E315" s="51"/>
      <c r="F315" s="51"/>
      <c r="G315" s="51"/>
      <c r="H315" s="51"/>
      <c r="I315" s="51"/>
      <c r="J315" s="51"/>
      <c r="K315" s="51"/>
      <c r="L315" s="106"/>
      <c r="M315" s="51"/>
      <c r="N315" s="94"/>
      <c r="O315" s="51"/>
      <c r="P315" s="51"/>
      <c r="Q315" s="51"/>
      <c r="R315" s="51"/>
      <c r="S315" s="51"/>
      <c r="T315" s="51"/>
      <c r="U315" s="51"/>
      <c r="V315" s="51"/>
      <c r="W315" s="51"/>
      <c r="X315" s="51"/>
      <c r="Y315" s="51"/>
      <c r="Z315" s="51"/>
    </row>
    <row r="316" spans="1:26" x14ac:dyDescent="0.3">
      <c r="A316" s="51"/>
      <c r="B316" s="102"/>
      <c r="C316" s="51"/>
      <c r="E316" s="51"/>
      <c r="F316" s="51"/>
      <c r="G316" s="51"/>
      <c r="H316" s="51"/>
      <c r="I316" s="51"/>
      <c r="J316" s="51"/>
      <c r="K316" s="51"/>
      <c r="L316" s="106"/>
      <c r="M316" s="51"/>
      <c r="N316" s="94"/>
      <c r="O316" s="51"/>
      <c r="P316" s="51"/>
      <c r="Q316" s="51"/>
      <c r="R316" s="51"/>
      <c r="S316" s="51"/>
      <c r="T316" s="51"/>
      <c r="U316" s="51"/>
      <c r="V316" s="51"/>
      <c r="W316" s="51"/>
      <c r="X316" s="51"/>
      <c r="Y316" s="51"/>
      <c r="Z316" s="51"/>
    </row>
    <row r="317" spans="1:26" x14ac:dyDescent="0.3">
      <c r="A317" s="51"/>
      <c r="B317" s="102"/>
      <c r="C317" s="51"/>
      <c r="E317" s="51"/>
      <c r="F317" s="51"/>
      <c r="G317" s="51"/>
      <c r="H317" s="51"/>
      <c r="I317" s="51"/>
      <c r="J317" s="51"/>
      <c r="K317" s="51"/>
      <c r="L317" s="106"/>
      <c r="M317" s="51"/>
      <c r="N317" s="94"/>
      <c r="O317" s="51"/>
      <c r="P317" s="51"/>
      <c r="Q317" s="51"/>
      <c r="R317" s="51"/>
      <c r="S317" s="51"/>
      <c r="T317" s="51"/>
      <c r="U317" s="51"/>
      <c r="V317" s="51"/>
      <c r="W317" s="51"/>
      <c r="X317" s="51"/>
      <c r="Y317" s="51"/>
      <c r="Z317" s="51"/>
    </row>
    <row r="318" spans="1:26" x14ac:dyDescent="0.3">
      <c r="A318" s="51"/>
      <c r="B318" s="102"/>
      <c r="C318" s="51"/>
      <c r="E318" s="51"/>
      <c r="F318" s="51"/>
      <c r="G318" s="51"/>
      <c r="H318" s="51"/>
      <c r="I318" s="51"/>
      <c r="J318" s="51"/>
      <c r="K318" s="51"/>
      <c r="L318" s="106"/>
      <c r="M318" s="51"/>
      <c r="N318" s="94"/>
      <c r="O318" s="51"/>
      <c r="P318" s="51"/>
      <c r="Q318" s="51"/>
      <c r="R318" s="51"/>
      <c r="S318" s="51"/>
      <c r="T318" s="51"/>
      <c r="U318" s="51"/>
      <c r="V318" s="51"/>
      <c r="W318" s="51"/>
      <c r="X318" s="51"/>
      <c r="Y318" s="51"/>
      <c r="Z318" s="51"/>
    </row>
    <row r="319" spans="1:26" x14ac:dyDescent="0.3">
      <c r="A319" s="51"/>
      <c r="B319" s="102"/>
      <c r="C319" s="51"/>
      <c r="E319" s="51"/>
      <c r="F319" s="51"/>
      <c r="G319" s="51"/>
      <c r="H319" s="51"/>
      <c r="I319" s="51"/>
      <c r="J319" s="51"/>
      <c r="K319" s="51"/>
      <c r="L319" s="106"/>
      <c r="M319" s="51"/>
      <c r="N319" s="94"/>
      <c r="O319" s="51"/>
      <c r="P319" s="51"/>
      <c r="Q319" s="51"/>
      <c r="R319" s="51"/>
      <c r="S319" s="51"/>
      <c r="T319" s="51"/>
      <c r="U319" s="51"/>
      <c r="V319" s="51"/>
      <c r="W319" s="51"/>
      <c r="X319" s="51"/>
      <c r="Y319" s="51"/>
      <c r="Z319" s="51"/>
    </row>
    <row r="320" spans="1:26" x14ac:dyDescent="0.3">
      <c r="A320" s="51"/>
      <c r="B320" s="102"/>
      <c r="C320" s="51"/>
      <c r="E320" s="51"/>
      <c r="F320" s="51"/>
      <c r="G320" s="51"/>
      <c r="H320" s="51"/>
      <c r="I320" s="51"/>
      <c r="J320" s="51"/>
      <c r="K320" s="51"/>
      <c r="L320" s="106"/>
      <c r="M320" s="51"/>
      <c r="N320" s="94"/>
      <c r="O320" s="51"/>
      <c r="P320" s="51"/>
      <c r="Q320" s="51"/>
      <c r="R320" s="51"/>
      <c r="S320" s="51"/>
      <c r="T320" s="51"/>
      <c r="U320" s="51"/>
      <c r="V320" s="51"/>
      <c r="W320" s="51"/>
      <c r="X320" s="51"/>
      <c r="Y320" s="51"/>
      <c r="Z320" s="51"/>
    </row>
    <row r="321" spans="1:26" x14ac:dyDescent="0.3">
      <c r="A321" s="51"/>
      <c r="B321" s="102"/>
      <c r="C321" s="51"/>
      <c r="E321" s="51"/>
      <c r="F321" s="51"/>
      <c r="G321" s="51"/>
      <c r="H321" s="51"/>
      <c r="I321" s="51"/>
      <c r="J321" s="51"/>
      <c r="K321" s="51"/>
      <c r="L321" s="106"/>
      <c r="M321" s="51"/>
      <c r="N321" s="94"/>
      <c r="O321" s="51"/>
      <c r="P321" s="51"/>
      <c r="Q321" s="51"/>
      <c r="R321" s="51"/>
      <c r="S321" s="51"/>
      <c r="T321" s="51"/>
      <c r="U321" s="51"/>
      <c r="V321" s="51"/>
      <c r="W321" s="51"/>
      <c r="X321" s="51"/>
      <c r="Y321" s="51"/>
      <c r="Z321" s="51"/>
    </row>
    <row r="322" spans="1:26" x14ac:dyDescent="0.3">
      <c r="A322" s="51"/>
      <c r="B322" s="102"/>
      <c r="C322" s="51"/>
      <c r="E322" s="51"/>
      <c r="F322" s="51"/>
      <c r="G322" s="51"/>
      <c r="H322" s="51"/>
      <c r="I322" s="51"/>
      <c r="J322" s="51"/>
      <c r="K322" s="51"/>
      <c r="L322" s="106"/>
      <c r="M322" s="51"/>
      <c r="N322" s="94"/>
      <c r="O322" s="51"/>
      <c r="P322" s="51"/>
      <c r="Q322" s="51"/>
      <c r="R322" s="51"/>
      <c r="S322" s="51"/>
      <c r="T322" s="51"/>
      <c r="U322" s="51"/>
      <c r="V322" s="51"/>
      <c r="W322" s="51"/>
      <c r="X322" s="51"/>
      <c r="Y322" s="51"/>
      <c r="Z322" s="51"/>
    </row>
    <row r="323" spans="1:26" x14ac:dyDescent="0.3">
      <c r="A323" s="51"/>
      <c r="B323" s="102"/>
      <c r="C323" s="51"/>
      <c r="E323" s="51"/>
      <c r="F323" s="51"/>
      <c r="G323" s="51"/>
      <c r="H323" s="51"/>
      <c r="I323" s="51"/>
      <c r="J323" s="51"/>
      <c r="K323" s="51"/>
      <c r="L323" s="106"/>
      <c r="M323" s="51"/>
      <c r="N323" s="94"/>
      <c r="O323" s="51"/>
      <c r="P323" s="51"/>
      <c r="Q323" s="51"/>
      <c r="R323" s="51"/>
      <c r="S323" s="51"/>
      <c r="T323" s="51"/>
      <c r="U323" s="51"/>
      <c r="V323" s="51"/>
      <c r="W323" s="51"/>
      <c r="X323" s="51"/>
      <c r="Y323" s="51"/>
      <c r="Z323" s="51"/>
    </row>
    <row r="324" spans="1:26" x14ac:dyDescent="0.3">
      <c r="A324" s="51"/>
      <c r="B324" s="102"/>
      <c r="C324" s="51"/>
      <c r="E324" s="51"/>
      <c r="F324" s="51"/>
      <c r="G324" s="51"/>
      <c r="H324" s="51"/>
      <c r="I324" s="51"/>
      <c r="J324" s="51"/>
      <c r="K324" s="51"/>
      <c r="L324" s="106"/>
      <c r="M324" s="51"/>
      <c r="N324" s="94"/>
      <c r="O324" s="51"/>
      <c r="P324" s="51"/>
      <c r="Q324" s="51"/>
      <c r="R324" s="51"/>
      <c r="S324" s="51"/>
      <c r="T324" s="51"/>
      <c r="U324" s="51"/>
      <c r="V324" s="51"/>
      <c r="W324" s="51"/>
      <c r="X324" s="51"/>
      <c r="Y324" s="51"/>
      <c r="Z324" s="51"/>
    </row>
    <row r="325" spans="1:26" x14ac:dyDescent="0.3">
      <c r="A325" s="51"/>
      <c r="B325" s="102"/>
      <c r="C325" s="51"/>
      <c r="E325" s="51"/>
      <c r="F325" s="51"/>
      <c r="G325" s="51"/>
      <c r="H325" s="51"/>
      <c r="I325" s="51"/>
      <c r="J325" s="51"/>
      <c r="K325" s="51"/>
      <c r="L325" s="106"/>
      <c r="M325" s="51"/>
      <c r="N325" s="94"/>
      <c r="O325" s="51"/>
      <c r="P325" s="51"/>
      <c r="Q325" s="51"/>
      <c r="R325" s="51"/>
      <c r="S325" s="51"/>
      <c r="T325" s="51"/>
      <c r="U325" s="51"/>
      <c r="V325" s="51"/>
      <c r="W325" s="51"/>
      <c r="X325" s="51"/>
      <c r="Y325" s="51"/>
      <c r="Z325" s="51"/>
    </row>
    <row r="326" spans="1:26" x14ac:dyDescent="0.3">
      <c r="A326" s="51"/>
      <c r="B326" s="102"/>
      <c r="C326" s="51"/>
      <c r="E326" s="51"/>
      <c r="F326" s="51"/>
      <c r="G326" s="51"/>
      <c r="H326" s="51"/>
      <c r="I326" s="51"/>
      <c r="J326" s="51"/>
      <c r="K326" s="51"/>
      <c r="L326" s="106"/>
      <c r="M326" s="51"/>
      <c r="N326" s="94"/>
      <c r="O326" s="51"/>
      <c r="P326" s="51"/>
      <c r="Q326" s="51"/>
      <c r="R326" s="51"/>
      <c r="S326" s="51"/>
      <c r="T326" s="51"/>
      <c r="U326" s="51"/>
      <c r="V326" s="51"/>
      <c r="W326" s="51"/>
      <c r="X326" s="51"/>
      <c r="Y326" s="51"/>
      <c r="Z326" s="51"/>
    </row>
    <row r="327" spans="1:26" x14ac:dyDescent="0.3">
      <c r="A327" s="51"/>
      <c r="B327" s="102"/>
      <c r="C327" s="51"/>
      <c r="E327" s="51"/>
      <c r="F327" s="51"/>
      <c r="G327" s="51"/>
      <c r="H327" s="51"/>
      <c r="I327" s="51"/>
      <c r="J327" s="51"/>
      <c r="K327" s="51"/>
      <c r="L327" s="106"/>
      <c r="M327" s="51"/>
      <c r="N327" s="94"/>
      <c r="O327" s="51"/>
      <c r="P327" s="51"/>
      <c r="Q327" s="51"/>
      <c r="R327" s="51"/>
      <c r="S327" s="51"/>
      <c r="T327" s="51"/>
      <c r="U327" s="51"/>
      <c r="V327" s="51"/>
      <c r="W327" s="51"/>
      <c r="X327" s="51"/>
      <c r="Y327" s="51"/>
      <c r="Z327" s="51"/>
    </row>
    <row r="328" spans="1:26" x14ac:dyDescent="0.3">
      <c r="A328" s="51"/>
      <c r="B328" s="102"/>
      <c r="C328" s="51"/>
      <c r="E328" s="51"/>
      <c r="F328" s="51"/>
      <c r="G328" s="51"/>
      <c r="H328" s="51"/>
      <c r="I328" s="51"/>
      <c r="J328" s="51"/>
      <c r="K328" s="51"/>
      <c r="L328" s="106"/>
      <c r="M328" s="51"/>
      <c r="N328" s="94"/>
      <c r="O328" s="51"/>
      <c r="P328" s="51"/>
      <c r="Q328" s="51"/>
      <c r="R328" s="51"/>
      <c r="S328" s="51"/>
      <c r="T328" s="51"/>
      <c r="U328" s="51"/>
      <c r="V328" s="51"/>
      <c r="W328" s="51"/>
      <c r="X328" s="51"/>
      <c r="Y328" s="51"/>
      <c r="Z328" s="51"/>
    </row>
    <row r="329" spans="1:26" x14ac:dyDescent="0.3">
      <c r="A329" s="51"/>
      <c r="B329" s="102"/>
      <c r="C329" s="51"/>
      <c r="E329" s="51"/>
      <c r="F329" s="51"/>
      <c r="G329" s="51"/>
      <c r="H329" s="51"/>
      <c r="I329" s="51"/>
      <c r="J329" s="51"/>
      <c r="K329" s="51"/>
      <c r="L329" s="106"/>
      <c r="M329" s="51"/>
      <c r="N329" s="94"/>
      <c r="O329" s="51"/>
      <c r="P329" s="51"/>
      <c r="Q329" s="51"/>
      <c r="R329" s="51"/>
      <c r="S329" s="51"/>
      <c r="T329" s="51"/>
      <c r="U329" s="51"/>
      <c r="V329" s="51"/>
      <c r="W329" s="51"/>
      <c r="X329" s="51"/>
      <c r="Y329" s="51"/>
      <c r="Z329" s="51"/>
    </row>
    <row r="330" spans="1:26" x14ac:dyDescent="0.3">
      <c r="A330" s="51"/>
      <c r="B330" s="102"/>
      <c r="C330" s="51"/>
      <c r="E330" s="51"/>
      <c r="F330" s="51"/>
      <c r="G330" s="51"/>
      <c r="H330" s="51"/>
      <c r="I330" s="51"/>
      <c r="J330" s="51"/>
      <c r="K330" s="51"/>
      <c r="L330" s="106"/>
      <c r="M330" s="51"/>
      <c r="N330" s="94"/>
      <c r="O330" s="51"/>
      <c r="P330" s="51"/>
      <c r="Q330" s="51"/>
      <c r="R330" s="51"/>
      <c r="S330" s="51"/>
      <c r="T330" s="51"/>
      <c r="U330" s="51"/>
      <c r="V330" s="51"/>
      <c r="W330" s="51"/>
      <c r="X330" s="51"/>
      <c r="Y330" s="51"/>
      <c r="Z330" s="51"/>
    </row>
    <row r="331" spans="1:26" x14ac:dyDescent="0.3">
      <c r="A331" s="51"/>
      <c r="B331" s="102"/>
      <c r="C331" s="51"/>
      <c r="E331" s="51"/>
      <c r="F331" s="51"/>
      <c r="G331" s="51"/>
      <c r="H331" s="51"/>
      <c r="I331" s="51"/>
      <c r="J331" s="51"/>
      <c r="K331" s="51"/>
      <c r="L331" s="106"/>
      <c r="M331" s="51"/>
      <c r="N331" s="94"/>
      <c r="O331" s="51"/>
      <c r="P331" s="51"/>
      <c r="Q331" s="51"/>
      <c r="R331" s="51"/>
      <c r="S331" s="51"/>
      <c r="T331" s="51"/>
      <c r="U331" s="51"/>
      <c r="V331" s="51"/>
      <c r="W331" s="51"/>
      <c r="X331" s="51"/>
      <c r="Y331" s="51"/>
      <c r="Z331" s="51"/>
    </row>
    <row r="332" spans="1:26" x14ac:dyDescent="0.3">
      <c r="A332" s="51"/>
      <c r="B332" s="102"/>
      <c r="C332" s="51"/>
      <c r="E332" s="51"/>
      <c r="F332" s="51"/>
      <c r="G332" s="51"/>
      <c r="H332" s="51"/>
      <c r="I332" s="51"/>
      <c r="J332" s="51"/>
      <c r="K332" s="51"/>
      <c r="L332" s="106"/>
      <c r="M332" s="51"/>
      <c r="N332" s="94"/>
      <c r="O332" s="51"/>
      <c r="P332" s="51"/>
      <c r="Q332" s="51"/>
      <c r="R332" s="51"/>
      <c r="S332" s="51"/>
      <c r="T332" s="51"/>
      <c r="U332" s="51"/>
      <c r="V332" s="51"/>
      <c r="W332" s="51"/>
      <c r="X332" s="51"/>
      <c r="Y332" s="51"/>
      <c r="Z332" s="51"/>
    </row>
    <row r="333" spans="1:26" x14ac:dyDescent="0.3">
      <c r="A333" s="51"/>
      <c r="B333" s="102"/>
      <c r="C333" s="51"/>
      <c r="E333" s="51"/>
      <c r="F333" s="51"/>
      <c r="G333" s="51"/>
      <c r="H333" s="51"/>
      <c r="I333" s="51"/>
      <c r="J333" s="51"/>
      <c r="K333" s="51"/>
      <c r="L333" s="106"/>
      <c r="M333" s="51"/>
      <c r="N333" s="94"/>
      <c r="O333" s="51"/>
      <c r="P333" s="51"/>
      <c r="Q333" s="51"/>
      <c r="R333" s="51"/>
      <c r="S333" s="51"/>
      <c r="T333" s="51"/>
      <c r="U333" s="51"/>
      <c r="V333" s="51"/>
      <c r="W333" s="51"/>
      <c r="X333" s="51"/>
      <c r="Y333" s="51"/>
      <c r="Z333" s="51"/>
    </row>
    <row r="334" spans="1:26" x14ac:dyDescent="0.3">
      <c r="A334" s="51"/>
      <c r="B334" s="102"/>
      <c r="C334" s="51"/>
      <c r="E334" s="51"/>
      <c r="F334" s="51"/>
      <c r="G334" s="51"/>
      <c r="H334" s="51"/>
      <c r="I334" s="51"/>
      <c r="J334" s="51"/>
      <c r="K334" s="51"/>
      <c r="L334" s="106"/>
      <c r="M334" s="51"/>
      <c r="N334" s="94"/>
      <c r="O334" s="51"/>
      <c r="P334" s="51"/>
      <c r="Q334" s="51"/>
      <c r="R334" s="51"/>
      <c r="S334" s="51"/>
      <c r="T334" s="51"/>
      <c r="U334" s="51"/>
      <c r="V334" s="51"/>
      <c r="W334" s="51"/>
      <c r="X334" s="51"/>
      <c r="Y334" s="51"/>
      <c r="Z334" s="51"/>
    </row>
    <row r="335" spans="1:26" x14ac:dyDescent="0.3">
      <c r="A335" s="51"/>
      <c r="B335" s="102"/>
      <c r="C335" s="51"/>
      <c r="E335" s="51"/>
      <c r="F335" s="51"/>
      <c r="G335" s="51"/>
      <c r="H335" s="51"/>
      <c r="I335" s="51"/>
      <c r="J335" s="51"/>
      <c r="K335" s="51"/>
      <c r="L335" s="106"/>
      <c r="M335" s="51"/>
      <c r="N335" s="94"/>
      <c r="O335" s="51"/>
      <c r="P335" s="51"/>
      <c r="Q335" s="51"/>
      <c r="R335" s="51"/>
      <c r="S335" s="51"/>
      <c r="T335" s="51"/>
      <c r="U335" s="51"/>
      <c r="V335" s="51"/>
      <c r="W335" s="51"/>
      <c r="X335" s="51"/>
      <c r="Y335" s="51"/>
      <c r="Z335" s="51"/>
    </row>
    <row r="336" spans="1:26" x14ac:dyDescent="0.3">
      <c r="A336" s="51"/>
      <c r="B336" s="102"/>
      <c r="C336" s="51"/>
      <c r="E336" s="51"/>
      <c r="F336" s="51"/>
      <c r="G336" s="51"/>
      <c r="H336" s="51"/>
      <c r="I336" s="51"/>
      <c r="J336" s="51"/>
      <c r="K336" s="51"/>
      <c r="L336" s="106"/>
      <c r="M336" s="51"/>
      <c r="N336" s="94"/>
      <c r="O336" s="51"/>
      <c r="P336" s="51"/>
      <c r="Q336" s="51"/>
      <c r="R336" s="51"/>
      <c r="S336" s="51"/>
      <c r="T336" s="51"/>
      <c r="U336" s="51"/>
      <c r="V336" s="51"/>
      <c r="W336" s="51"/>
      <c r="X336" s="51"/>
      <c r="Y336" s="51"/>
      <c r="Z336" s="51"/>
    </row>
    <row r="337" spans="1:26" x14ac:dyDescent="0.3">
      <c r="A337" s="51"/>
      <c r="B337" s="102"/>
      <c r="C337" s="51"/>
      <c r="E337" s="51"/>
      <c r="F337" s="51"/>
      <c r="G337" s="51"/>
      <c r="H337" s="51"/>
      <c r="I337" s="51"/>
      <c r="J337" s="51"/>
      <c r="K337" s="51"/>
      <c r="L337" s="106"/>
      <c r="M337" s="51"/>
      <c r="N337" s="94"/>
      <c r="O337" s="51"/>
      <c r="P337" s="51"/>
      <c r="Q337" s="51"/>
      <c r="R337" s="51"/>
      <c r="S337" s="51"/>
      <c r="T337" s="51"/>
      <c r="U337" s="51"/>
      <c r="V337" s="51"/>
      <c r="W337" s="51"/>
      <c r="X337" s="51"/>
      <c r="Y337" s="51"/>
      <c r="Z337" s="51"/>
    </row>
    <row r="338" spans="1:26" x14ac:dyDescent="0.3">
      <c r="A338" s="51"/>
      <c r="B338" s="102"/>
      <c r="C338" s="51"/>
      <c r="E338" s="51"/>
      <c r="F338" s="51"/>
      <c r="G338" s="51"/>
      <c r="H338" s="51"/>
      <c r="I338" s="51"/>
      <c r="J338" s="51"/>
      <c r="K338" s="51"/>
      <c r="L338" s="106"/>
      <c r="M338" s="51"/>
      <c r="N338" s="94"/>
      <c r="O338" s="51"/>
      <c r="P338" s="51"/>
      <c r="Q338" s="51"/>
      <c r="R338" s="51"/>
      <c r="S338" s="51"/>
      <c r="T338" s="51"/>
      <c r="U338" s="51"/>
      <c r="V338" s="51"/>
      <c r="W338" s="51"/>
      <c r="X338" s="51"/>
      <c r="Y338" s="51"/>
      <c r="Z338" s="51"/>
    </row>
    <row r="339" spans="1:26" x14ac:dyDescent="0.3">
      <c r="A339" s="51"/>
      <c r="B339" s="102"/>
      <c r="C339" s="51"/>
      <c r="E339" s="51"/>
      <c r="F339" s="51"/>
      <c r="G339" s="51"/>
      <c r="H339" s="51"/>
      <c r="I339" s="51"/>
      <c r="J339" s="51"/>
      <c r="K339" s="51"/>
      <c r="L339" s="106"/>
      <c r="M339" s="51"/>
      <c r="N339" s="94"/>
      <c r="O339" s="51"/>
      <c r="P339" s="51"/>
      <c r="Q339" s="51"/>
      <c r="R339" s="51"/>
      <c r="S339" s="51"/>
      <c r="T339" s="51"/>
      <c r="U339" s="51"/>
      <c r="V339" s="51"/>
      <c r="W339" s="51"/>
      <c r="X339" s="51"/>
      <c r="Y339" s="51"/>
      <c r="Z339" s="51"/>
    </row>
    <row r="340" spans="1:26" x14ac:dyDescent="0.3">
      <c r="A340" s="51"/>
      <c r="B340" s="102"/>
      <c r="C340" s="51"/>
      <c r="E340" s="51"/>
      <c r="F340" s="51"/>
      <c r="G340" s="51"/>
      <c r="H340" s="51"/>
      <c r="I340" s="51"/>
      <c r="J340" s="51"/>
      <c r="K340" s="51"/>
      <c r="L340" s="106"/>
      <c r="M340" s="51"/>
      <c r="N340" s="94"/>
      <c r="O340" s="51"/>
      <c r="P340" s="51"/>
      <c r="Q340" s="51"/>
      <c r="R340" s="51"/>
      <c r="S340" s="51"/>
      <c r="T340" s="51"/>
      <c r="U340" s="51"/>
      <c r="V340" s="51"/>
      <c r="W340" s="51"/>
      <c r="X340" s="51"/>
      <c r="Y340" s="51"/>
      <c r="Z340" s="51"/>
    </row>
    <row r="341" spans="1:26" x14ac:dyDescent="0.3">
      <c r="A341" s="51"/>
      <c r="B341" s="102"/>
      <c r="C341" s="51"/>
      <c r="E341" s="51"/>
      <c r="F341" s="51"/>
      <c r="G341" s="51"/>
      <c r="H341" s="51"/>
      <c r="I341" s="51"/>
      <c r="J341" s="51"/>
      <c r="K341" s="51"/>
      <c r="L341" s="106"/>
      <c r="M341" s="51"/>
      <c r="N341" s="94"/>
      <c r="O341" s="51"/>
      <c r="P341" s="51"/>
      <c r="Q341" s="51"/>
      <c r="R341" s="51"/>
      <c r="S341" s="51"/>
      <c r="T341" s="51"/>
      <c r="U341" s="51"/>
      <c r="V341" s="51"/>
      <c r="W341" s="51"/>
      <c r="X341" s="51"/>
      <c r="Y341" s="51"/>
      <c r="Z341" s="51"/>
    </row>
    <row r="342" spans="1:26" x14ac:dyDescent="0.3">
      <c r="A342" s="51"/>
      <c r="B342" s="102"/>
      <c r="C342" s="51"/>
      <c r="E342" s="51"/>
      <c r="F342" s="51"/>
      <c r="G342" s="51"/>
      <c r="H342" s="51"/>
      <c r="I342" s="51"/>
      <c r="J342" s="51"/>
      <c r="K342" s="51"/>
      <c r="L342" s="106"/>
      <c r="M342" s="51"/>
      <c r="N342" s="94"/>
      <c r="O342" s="51"/>
      <c r="P342" s="51"/>
      <c r="Q342" s="51"/>
      <c r="R342" s="51"/>
      <c r="S342" s="51"/>
      <c r="T342" s="51"/>
      <c r="U342" s="51"/>
      <c r="V342" s="51"/>
      <c r="W342" s="51"/>
      <c r="X342" s="51"/>
      <c r="Y342" s="51"/>
      <c r="Z342" s="51"/>
    </row>
    <row r="343" spans="1:26" x14ac:dyDescent="0.3">
      <c r="A343" s="51"/>
      <c r="B343" s="102"/>
      <c r="C343" s="51"/>
      <c r="E343" s="51"/>
      <c r="F343" s="51"/>
      <c r="G343" s="51"/>
      <c r="H343" s="51"/>
      <c r="I343" s="51"/>
      <c r="J343" s="51"/>
      <c r="K343" s="51"/>
      <c r="L343" s="106"/>
      <c r="M343" s="51"/>
      <c r="N343" s="94"/>
      <c r="O343" s="51"/>
      <c r="P343" s="51"/>
      <c r="Q343" s="51"/>
      <c r="R343" s="51"/>
      <c r="S343" s="51"/>
      <c r="T343" s="51"/>
      <c r="U343" s="51"/>
      <c r="V343" s="51"/>
      <c r="W343" s="51"/>
      <c r="X343" s="51"/>
      <c r="Y343" s="51"/>
      <c r="Z343" s="51"/>
    </row>
    <row r="344" spans="1:26" x14ac:dyDescent="0.3">
      <c r="A344" s="51"/>
      <c r="B344" s="102"/>
      <c r="C344" s="51"/>
      <c r="E344" s="51"/>
      <c r="F344" s="51"/>
      <c r="G344" s="51"/>
      <c r="H344" s="51"/>
      <c r="I344" s="51"/>
      <c r="J344" s="51"/>
      <c r="K344" s="51"/>
      <c r="L344" s="106"/>
      <c r="M344" s="51"/>
      <c r="N344" s="94"/>
      <c r="O344" s="51"/>
      <c r="P344" s="51"/>
      <c r="Q344" s="51"/>
      <c r="R344" s="51"/>
      <c r="S344" s="51"/>
      <c r="T344" s="51"/>
      <c r="U344" s="51"/>
      <c r="V344" s="51"/>
      <c r="W344" s="51"/>
      <c r="X344" s="51"/>
      <c r="Y344" s="51"/>
      <c r="Z344" s="51"/>
    </row>
    <row r="345" spans="1:26" x14ac:dyDescent="0.3">
      <c r="A345" s="51"/>
      <c r="B345" s="102"/>
      <c r="C345" s="51"/>
      <c r="E345" s="51"/>
      <c r="F345" s="51"/>
      <c r="G345" s="51"/>
      <c r="H345" s="51"/>
      <c r="I345" s="51"/>
      <c r="J345" s="51"/>
      <c r="K345" s="51"/>
      <c r="L345" s="106"/>
      <c r="M345" s="51"/>
      <c r="N345" s="94"/>
      <c r="O345" s="51"/>
      <c r="P345" s="51"/>
      <c r="Q345" s="51"/>
      <c r="R345" s="51"/>
      <c r="S345" s="51"/>
      <c r="T345" s="51"/>
      <c r="U345" s="51"/>
      <c r="V345" s="51"/>
      <c r="W345" s="51"/>
      <c r="X345" s="51"/>
      <c r="Y345" s="51"/>
      <c r="Z345" s="51"/>
    </row>
    <row r="346" spans="1:26" x14ac:dyDescent="0.3">
      <c r="A346" s="51"/>
      <c r="B346" s="102"/>
      <c r="C346" s="51"/>
      <c r="E346" s="51"/>
      <c r="F346" s="51"/>
      <c r="G346" s="51"/>
      <c r="H346" s="51"/>
      <c r="I346" s="51"/>
      <c r="J346" s="51"/>
      <c r="K346" s="51"/>
      <c r="L346" s="106"/>
      <c r="M346" s="51"/>
      <c r="N346" s="94"/>
      <c r="O346" s="51"/>
      <c r="P346" s="51"/>
      <c r="Q346" s="51"/>
      <c r="R346" s="51"/>
      <c r="S346" s="51"/>
      <c r="T346" s="51"/>
      <c r="U346" s="51"/>
      <c r="V346" s="51"/>
      <c r="W346" s="51"/>
      <c r="X346" s="51"/>
      <c r="Y346" s="51"/>
      <c r="Z346" s="51"/>
    </row>
    <row r="347" spans="1:26" x14ac:dyDescent="0.3">
      <c r="A347" s="51"/>
      <c r="B347" s="102"/>
      <c r="C347" s="51"/>
      <c r="E347" s="51"/>
      <c r="F347" s="51"/>
      <c r="G347" s="51"/>
      <c r="H347" s="51"/>
      <c r="I347" s="51"/>
      <c r="J347" s="51"/>
      <c r="K347" s="51"/>
      <c r="L347" s="106"/>
      <c r="M347" s="51"/>
      <c r="N347" s="94"/>
      <c r="O347" s="51"/>
      <c r="P347" s="51"/>
      <c r="Q347" s="51"/>
      <c r="R347" s="51"/>
      <c r="S347" s="51"/>
      <c r="T347" s="51"/>
      <c r="U347" s="51"/>
      <c r="V347" s="51"/>
      <c r="W347" s="51"/>
      <c r="X347" s="51"/>
      <c r="Y347" s="51"/>
      <c r="Z347" s="51"/>
    </row>
    <row r="348" spans="1:26" x14ac:dyDescent="0.3">
      <c r="A348" s="51"/>
      <c r="B348" s="102"/>
      <c r="C348" s="51"/>
      <c r="E348" s="51"/>
      <c r="F348" s="51"/>
      <c r="G348" s="51"/>
      <c r="H348" s="51"/>
      <c r="I348" s="51"/>
      <c r="J348" s="51"/>
      <c r="K348" s="51"/>
      <c r="L348" s="106"/>
      <c r="M348" s="51"/>
      <c r="N348" s="94"/>
      <c r="O348" s="51"/>
      <c r="P348" s="51"/>
      <c r="Q348" s="51"/>
      <c r="R348" s="51"/>
      <c r="S348" s="51"/>
      <c r="T348" s="51"/>
      <c r="U348" s="51"/>
      <c r="V348" s="51"/>
      <c r="W348" s="51"/>
      <c r="X348" s="51"/>
      <c r="Y348" s="51"/>
      <c r="Z348" s="51"/>
    </row>
    <row r="349" spans="1:26" x14ac:dyDescent="0.3">
      <c r="A349" s="51"/>
      <c r="B349" s="102"/>
      <c r="C349" s="51"/>
      <c r="E349" s="51"/>
      <c r="F349" s="51"/>
      <c r="G349" s="51"/>
      <c r="H349" s="51"/>
      <c r="I349" s="51"/>
      <c r="J349" s="51"/>
      <c r="K349" s="51"/>
      <c r="L349" s="106"/>
      <c r="M349" s="51"/>
      <c r="N349" s="94"/>
      <c r="O349" s="51"/>
      <c r="P349" s="51"/>
      <c r="Q349" s="51"/>
      <c r="R349" s="51"/>
      <c r="S349" s="51"/>
      <c r="T349" s="51"/>
      <c r="U349" s="51"/>
      <c r="V349" s="51"/>
      <c r="W349" s="51"/>
      <c r="X349" s="51"/>
      <c r="Y349" s="51"/>
      <c r="Z349" s="51"/>
    </row>
    <row r="350" spans="1:26" x14ac:dyDescent="0.3">
      <c r="A350" s="51"/>
      <c r="B350" s="102"/>
      <c r="C350" s="51"/>
      <c r="E350" s="51"/>
      <c r="F350" s="51"/>
      <c r="G350" s="51"/>
      <c r="H350" s="51"/>
      <c r="I350" s="51"/>
      <c r="J350" s="51"/>
      <c r="K350" s="51"/>
      <c r="L350" s="106"/>
      <c r="M350" s="51"/>
      <c r="N350" s="94"/>
      <c r="O350" s="51"/>
      <c r="P350" s="51"/>
      <c r="Q350" s="51"/>
      <c r="R350" s="51"/>
      <c r="S350" s="51"/>
      <c r="T350" s="51"/>
      <c r="U350" s="51"/>
      <c r="V350" s="51"/>
      <c r="W350" s="51"/>
      <c r="X350" s="51"/>
      <c r="Y350" s="51"/>
      <c r="Z350" s="51"/>
    </row>
    <row r="351" spans="1:26" x14ac:dyDescent="0.3">
      <c r="A351" s="51"/>
      <c r="B351" s="102"/>
      <c r="C351" s="51"/>
      <c r="E351" s="51"/>
      <c r="F351" s="51"/>
      <c r="G351" s="51"/>
      <c r="H351" s="51"/>
      <c r="I351" s="51"/>
      <c r="J351" s="51"/>
      <c r="K351" s="51"/>
      <c r="L351" s="106"/>
      <c r="M351" s="51"/>
      <c r="N351" s="94"/>
      <c r="O351" s="51"/>
      <c r="P351" s="51"/>
      <c r="Q351" s="51"/>
      <c r="R351" s="51"/>
      <c r="S351" s="51"/>
      <c r="T351" s="51"/>
      <c r="U351" s="51"/>
      <c r="V351" s="51"/>
      <c r="W351" s="51"/>
      <c r="X351" s="51"/>
      <c r="Y351" s="51"/>
      <c r="Z351" s="51"/>
    </row>
    <row r="352" spans="1:26" x14ac:dyDescent="0.3">
      <c r="A352" s="51"/>
      <c r="B352" s="102"/>
      <c r="C352" s="51"/>
      <c r="E352" s="51"/>
      <c r="F352" s="51"/>
      <c r="G352" s="51"/>
      <c r="H352" s="51"/>
      <c r="I352" s="51"/>
      <c r="J352" s="51"/>
      <c r="K352" s="51"/>
      <c r="L352" s="106"/>
      <c r="M352" s="51"/>
      <c r="N352" s="94"/>
      <c r="O352" s="51"/>
      <c r="P352" s="51"/>
      <c r="Q352" s="51"/>
      <c r="R352" s="51"/>
      <c r="S352" s="51"/>
      <c r="T352" s="51"/>
      <c r="U352" s="51"/>
      <c r="V352" s="51"/>
      <c r="W352" s="51"/>
      <c r="X352" s="51"/>
      <c r="Y352" s="51"/>
      <c r="Z352" s="51"/>
    </row>
    <row r="353" spans="1:26" x14ac:dyDescent="0.3">
      <c r="A353" s="51"/>
      <c r="B353" s="102"/>
      <c r="C353" s="51"/>
      <c r="E353" s="51"/>
      <c r="F353" s="51"/>
      <c r="G353" s="51"/>
      <c r="H353" s="51"/>
      <c r="I353" s="51"/>
      <c r="J353" s="51"/>
      <c r="K353" s="51"/>
      <c r="L353" s="106"/>
      <c r="M353" s="51"/>
      <c r="N353" s="94"/>
      <c r="O353" s="51"/>
      <c r="P353" s="51"/>
      <c r="Q353" s="51"/>
      <c r="R353" s="51"/>
      <c r="S353" s="51"/>
      <c r="T353" s="51"/>
      <c r="U353" s="51"/>
      <c r="V353" s="51"/>
      <c r="W353" s="51"/>
      <c r="X353" s="51"/>
      <c r="Y353" s="51"/>
      <c r="Z353" s="51"/>
    </row>
    <row r="354" spans="1:26" x14ac:dyDescent="0.3">
      <c r="A354" s="51"/>
      <c r="B354" s="102"/>
      <c r="C354" s="51"/>
      <c r="E354" s="51"/>
      <c r="F354" s="51"/>
      <c r="G354" s="51"/>
      <c r="H354" s="51"/>
      <c r="I354" s="51"/>
      <c r="J354" s="51"/>
      <c r="K354" s="51"/>
      <c r="L354" s="106"/>
      <c r="M354" s="51"/>
      <c r="N354" s="94"/>
      <c r="O354" s="51"/>
      <c r="P354" s="51"/>
      <c r="Q354" s="51"/>
      <c r="R354" s="51"/>
      <c r="S354" s="51"/>
      <c r="T354" s="51"/>
      <c r="U354" s="51"/>
      <c r="V354" s="51"/>
      <c r="W354" s="51"/>
      <c r="X354" s="51"/>
      <c r="Y354" s="51"/>
      <c r="Z354" s="51"/>
    </row>
    <row r="355" spans="1:26" x14ac:dyDescent="0.3">
      <c r="A355" s="51"/>
      <c r="B355" s="102"/>
      <c r="C355" s="51"/>
      <c r="E355" s="51"/>
      <c r="F355" s="51"/>
      <c r="G355" s="51"/>
      <c r="H355" s="51"/>
      <c r="I355" s="51"/>
      <c r="J355" s="51"/>
      <c r="K355" s="51"/>
      <c r="L355" s="106"/>
      <c r="M355" s="51"/>
      <c r="N355" s="94"/>
      <c r="O355" s="51"/>
      <c r="P355" s="51"/>
      <c r="Q355" s="51"/>
      <c r="R355" s="51"/>
      <c r="S355" s="51"/>
      <c r="T355" s="51"/>
      <c r="U355" s="51"/>
      <c r="V355" s="51"/>
      <c r="W355" s="51"/>
      <c r="X355" s="51"/>
      <c r="Y355" s="51"/>
      <c r="Z355" s="51"/>
    </row>
    <row r="356" spans="1:26" x14ac:dyDescent="0.3">
      <c r="A356" s="51"/>
      <c r="B356" s="102"/>
      <c r="C356" s="51"/>
      <c r="E356" s="51"/>
      <c r="F356" s="51"/>
      <c r="G356" s="51"/>
      <c r="H356" s="51"/>
      <c r="I356" s="51"/>
      <c r="J356" s="51"/>
      <c r="K356" s="51"/>
      <c r="L356" s="106"/>
      <c r="M356" s="51"/>
      <c r="N356" s="94"/>
      <c r="O356" s="51"/>
      <c r="P356" s="51"/>
      <c r="Q356" s="51"/>
      <c r="R356" s="51"/>
      <c r="S356" s="51"/>
      <c r="T356" s="51"/>
      <c r="U356" s="51"/>
      <c r="V356" s="51"/>
      <c r="W356" s="51"/>
      <c r="X356" s="51"/>
      <c r="Y356" s="51"/>
      <c r="Z356" s="51"/>
    </row>
    <row r="357" spans="1:26" x14ac:dyDescent="0.3">
      <c r="A357" s="51"/>
      <c r="B357" s="102"/>
      <c r="C357" s="51"/>
      <c r="E357" s="51"/>
      <c r="F357" s="51"/>
      <c r="G357" s="51"/>
      <c r="H357" s="51"/>
      <c r="I357" s="51"/>
      <c r="J357" s="51"/>
      <c r="K357" s="51"/>
      <c r="L357" s="106"/>
      <c r="M357" s="51"/>
      <c r="N357" s="94"/>
      <c r="O357" s="51"/>
      <c r="P357" s="51"/>
      <c r="Q357" s="51"/>
      <c r="R357" s="51"/>
      <c r="S357" s="51"/>
      <c r="T357" s="51"/>
      <c r="U357" s="51"/>
      <c r="V357" s="51"/>
      <c r="W357" s="51"/>
      <c r="X357" s="51"/>
      <c r="Y357" s="51"/>
      <c r="Z357" s="51"/>
    </row>
    <row r="358" spans="1:26" x14ac:dyDescent="0.3">
      <c r="A358" s="51"/>
      <c r="B358" s="102"/>
      <c r="C358" s="51"/>
      <c r="E358" s="51"/>
      <c r="F358" s="51"/>
      <c r="G358" s="51"/>
      <c r="H358" s="51"/>
      <c r="I358" s="51"/>
      <c r="J358" s="51"/>
      <c r="K358" s="51"/>
      <c r="L358" s="106"/>
      <c r="M358" s="51"/>
      <c r="N358" s="94"/>
      <c r="O358" s="51"/>
      <c r="P358" s="51"/>
      <c r="Q358" s="51"/>
      <c r="R358" s="51"/>
      <c r="S358" s="51"/>
      <c r="T358" s="51"/>
      <c r="U358" s="51"/>
      <c r="V358" s="51"/>
      <c r="W358" s="51"/>
      <c r="X358" s="51"/>
      <c r="Y358" s="51"/>
      <c r="Z358" s="51"/>
    </row>
    <row r="359" spans="1:26" x14ac:dyDescent="0.3">
      <c r="A359" s="51"/>
      <c r="B359" s="102"/>
      <c r="C359" s="51"/>
      <c r="E359" s="51"/>
      <c r="F359" s="51"/>
      <c r="G359" s="51"/>
      <c r="H359" s="51"/>
      <c r="I359" s="51"/>
      <c r="J359" s="51"/>
      <c r="K359" s="51"/>
      <c r="L359" s="106"/>
      <c r="M359" s="51"/>
      <c r="N359" s="94"/>
      <c r="O359" s="51"/>
      <c r="P359" s="51"/>
      <c r="Q359" s="51"/>
      <c r="R359" s="51"/>
      <c r="S359" s="51"/>
      <c r="T359" s="51"/>
      <c r="U359" s="51"/>
      <c r="V359" s="51"/>
      <c r="W359" s="51"/>
      <c r="X359" s="51"/>
      <c r="Y359" s="51"/>
      <c r="Z359" s="51"/>
    </row>
    <row r="360" spans="1:26" x14ac:dyDescent="0.3">
      <c r="A360" s="51"/>
      <c r="B360" s="102"/>
      <c r="C360" s="51"/>
      <c r="E360" s="51"/>
      <c r="F360" s="51"/>
      <c r="G360" s="51"/>
      <c r="H360" s="51"/>
      <c r="I360" s="51"/>
      <c r="J360" s="51"/>
      <c r="K360" s="51"/>
      <c r="L360" s="106"/>
      <c r="M360" s="51"/>
      <c r="N360" s="94"/>
      <c r="O360" s="51"/>
      <c r="P360" s="51"/>
      <c r="Q360" s="51"/>
      <c r="R360" s="51"/>
      <c r="S360" s="51"/>
      <c r="T360" s="51"/>
      <c r="U360" s="51"/>
      <c r="V360" s="51"/>
      <c r="W360" s="51"/>
      <c r="X360" s="51"/>
      <c r="Y360" s="51"/>
      <c r="Z360" s="51"/>
    </row>
    <row r="361" spans="1:26" x14ac:dyDescent="0.3">
      <c r="A361" s="51"/>
      <c r="B361" s="102"/>
      <c r="C361" s="51"/>
      <c r="E361" s="51"/>
      <c r="F361" s="51"/>
      <c r="G361" s="51"/>
      <c r="H361" s="51"/>
      <c r="I361" s="51"/>
      <c r="J361" s="51"/>
      <c r="K361" s="51"/>
      <c r="L361" s="106"/>
      <c r="M361" s="51"/>
      <c r="N361" s="94"/>
      <c r="O361" s="51"/>
      <c r="P361" s="51"/>
      <c r="Q361" s="51"/>
      <c r="R361" s="51"/>
      <c r="S361" s="51"/>
      <c r="T361" s="51"/>
      <c r="U361" s="51"/>
      <c r="V361" s="51"/>
      <c r="W361" s="51"/>
      <c r="X361" s="51"/>
      <c r="Y361" s="51"/>
      <c r="Z361" s="51"/>
    </row>
    <row r="362" spans="1:26" x14ac:dyDescent="0.3">
      <c r="A362" s="51"/>
      <c r="B362" s="102"/>
      <c r="C362" s="51"/>
      <c r="E362" s="51"/>
      <c r="F362" s="51"/>
      <c r="G362" s="51"/>
      <c r="H362" s="51"/>
      <c r="I362" s="51"/>
      <c r="J362" s="51"/>
      <c r="K362" s="51"/>
      <c r="L362" s="106"/>
      <c r="M362" s="51"/>
      <c r="N362" s="94"/>
      <c r="O362" s="51"/>
      <c r="P362" s="51"/>
      <c r="Q362" s="51"/>
      <c r="R362" s="51"/>
      <c r="S362" s="51"/>
      <c r="T362" s="51"/>
      <c r="U362" s="51"/>
      <c r="V362" s="51"/>
      <c r="W362" s="51"/>
      <c r="X362" s="51"/>
      <c r="Y362" s="51"/>
      <c r="Z362" s="51"/>
    </row>
    <row r="363" spans="1:26" x14ac:dyDescent="0.3">
      <c r="A363" s="51"/>
      <c r="B363" s="102"/>
      <c r="C363" s="51"/>
      <c r="E363" s="51"/>
      <c r="F363" s="51"/>
      <c r="G363" s="51"/>
      <c r="H363" s="51"/>
      <c r="I363" s="51"/>
      <c r="J363" s="51"/>
      <c r="K363" s="51"/>
      <c r="L363" s="106"/>
      <c r="M363" s="51"/>
      <c r="N363" s="94"/>
      <c r="O363" s="51"/>
      <c r="P363" s="51"/>
      <c r="Q363" s="51"/>
      <c r="R363" s="51"/>
      <c r="S363" s="51"/>
      <c r="T363" s="51"/>
      <c r="U363" s="51"/>
      <c r="V363" s="51"/>
      <c r="W363" s="51"/>
      <c r="X363" s="51"/>
      <c r="Y363" s="51"/>
      <c r="Z363" s="51"/>
    </row>
    <row r="364" spans="1:26" x14ac:dyDescent="0.3">
      <c r="A364" s="51"/>
      <c r="B364" s="102"/>
      <c r="C364" s="51"/>
      <c r="E364" s="51"/>
      <c r="F364" s="51"/>
      <c r="G364" s="51"/>
      <c r="H364" s="51"/>
      <c r="I364" s="51"/>
      <c r="J364" s="51"/>
      <c r="K364" s="51"/>
      <c r="L364" s="106"/>
      <c r="M364" s="51"/>
      <c r="N364" s="94"/>
      <c r="O364" s="51"/>
      <c r="P364" s="51"/>
      <c r="Q364" s="51"/>
      <c r="R364" s="51"/>
      <c r="S364" s="51"/>
      <c r="T364" s="51"/>
      <c r="U364" s="51"/>
      <c r="V364" s="51"/>
      <c r="W364" s="51"/>
      <c r="X364" s="51"/>
      <c r="Y364" s="51"/>
      <c r="Z364" s="51"/>
    </row>
    <row r="365" spans="1:26" x14ac:dyDescent="0.3">
      <c r="A365" s="51"/>
      <c r="B365" s="102"/>
      <c r="C365" s="51"/>
      <c r="E365" s="51"/>
      <c r="F365" s="51"/>
      <c r="G365" s="51"/>
      <c r="H365" s="51"/>
      <c r="I365" s="51"/>
      <c r="J365" s="51"/>
      <c r="K365" s="51"/>
      <c r="L365" s="106"/>
      <c r="M365" s="51"/>
      <c r="N365" s="94"/>
      <c r="O365" s="51"/>
      <c r="P365" s="51"/>
      <c r="Q365" s="51"/>
      <c r="R365" s="51"/>
      <c r="S365" s="51"/>
      <c r="T365" s="51"/>
      <c r="U365" s="51"/>
      <c r="V365" s="51"/>
      <c r="W365" s="51"/>
      <c r="X365" s="51"/>
      <c r="Y365" s="51"/>
      <c r="Z365" s="51"/>
    </row>
    <row r="366" spans="1:26" x14ac:dyDescent="0.3">
      <c r="A366" s="51"/>
      <c r="B366" s="102"/>
      <c r="C366" s="51"/>
      <c r="E366" s="51"/>
      <c r="F366" s="51"/>
      <c r="G366" s="51"/>
      <c r="H366" s="51"/>
      <c r="I366" s="51"/>
      <c r="J366" s="51"/>
      <c r="K366" s="51"/>
      <c r="L366" s="106"/>
      <c r="M366" s="51"/>
      <c r="N366" s="94"/>
      <c r="O366" s="51"/>
      <c r="P366" s="51"/>
      <c r="Q366" s="51"/>
      <c r="R366" s="51"/>
      <c r="S366" s="51"/>
      <c r="T366" s="51"/>
      <c r="U366" s="51"/>
      <c r="V366" s="51"/>
      <c r="W366" s="51"/>
      <c r="X366" s="51"/>
      <c r="Y366" s="51"/>
      <c r="Z366" s="51"/>
    </row>
    <row r="367" spans="1:26" x14ac:dyDescent="0.3">
      <c r="A367" s="51"/>
      <c r="B367" s="102"/>
      <c r="C367" s="51"/>
      <c r="E367" s="51"/>
      <c r="F367" s="51"/>
      <c r="G367" s="51"/>
      <c r="H367" s="51"/>
      <c r="I367" s="51"/>
      <c r="J367" s="51"/>
      <c r="K367" s="51"/>
      <c r="L367" s="106"/>
      <c r="M367" s="51"/>
      <c r="N367" s="94"/>
      <c r="O367" s="51"/>
      <c r="P367" s="51"/>
      <c r="Q367" s="51"/>
      <c r="R367" s="51"/>
      <c r="S367" s="51"/>
      <c r="T367" s="51"/>
      <c r="U367" s="51"/>
      <c r="V367" s="51"/>
      <c r="W367" s="51"/>
      <c r="X367" s="51"/>
      <c r="Y367" s="51"/>
      <c r="Z367" s="51"/>
    </row>
    <row r="368" spans="1:26" x14ac:dyDescent="0.3">
      <c r="A368" s="51"/>
      <c r="B368" s="102"/>
      <c r="C368" s="51"/>
      <c r="E368" s="51"/>
      <c r="F368" s="51"/>
      <c r="G368" s="51"/>
      <c r="H368" s="51"/>
      <c r="I368" s="51"/>
      <c r="J368" s="51"/>
      <c r="K368" s="51"/>
      <c r="L368" s="106"/>
      <c r="M368" s="51"/>
      <c r="N368" s="94"/>
      <c r="O368" s="51"/>
      <c r="P368" s="51"/>
      <c r="Q368" s="51"/>
      <c r="R368" s="51"/>
      <c r="S368" s="51"/>
      <c r="T368" s="51"/>
      <c r="U368" s="51"/>
      <c r="V368" s="51"/>
      <c r="W368" s="51"/>
      <c r="X368" s="51"/>
      <c r="Y368" s="51"/>
      <c r="Z368" s="51"/>
    </row>
    <row r="369" spans="1:26" x14ac:dyDescent="0.3">
      <c r="A369" s="51"/>
      <c r="B369" s="102"/>
      <c r="C369" s="51"/>
      <c r="E369" s="51"/>
      <c r="F369" s="51"/>
      <c r="G369" s="51"/>
      <c r="H369" s="51"/>
      <c r="I369" s="51"/>
      <c r="J369" s="51"/>
      <c r="K369" s="51"/>
      <c r="L369" s="106"/>
      <c r="M369" s="51"/>
      <c r="N369" s="94"/>
      <c r="O369" s="51"/>
      <c r="P369" s="51"/>
      <c r="Q369" s="51"/>
      <c r="R369" s="51"/>
      <c r="S369" s="51"/>
      <c r="T369" s="51"/>
      <c r="U369" s="51"/>
      <c r="V369" s="51"/>
      <c r="W369" s="51"/>
      <c r="X369" s="51"/>
      <c r="Y369" s="51"/>
      <c r="Z369" s="51"/>
    </row>
    <row r="370" spans="1:26" x14ac:dyDescent="0.3">
      <c r="A370" s="51"/>
      <c r="B370" s="102"/>
      <c r="C370" s="51"/>
      <c r="E370" s="51"/>
      <c r="F370" s="51"/>
      <c r="G370" s="51"/>
      <c r="H370" s="51"/>
      <c r="I370" s="51"/>
      <c r="J370" s="51"/>
      <c r="K370" s="51"/>
      <c r="L370" s="106"/>
      <c r="M370" s="51"/>
      <c r="N370" s="94"/>
      <c r="O370" s="51"/>
      <c r="P370" s="51"/>
      <c r="Q370" s="51"/>
      <c r="R370" s="51"/>
      <c r="S370" s="51"/>
      <c r="T370" s="51"/>
      <c r="U370" s="51"/>
      <c r="V370" s="51"/>
      <c r="W370" s="51"/>
      <c r="X370" s="51"/>
      <c r="Y370" s="51"/>
      <c r="Z370" s="51"/>
    </row>
    <row r="371" spans="1:26" x14ac:dyDescent="0.3">
      <c r="A371" s="51"/>
      <c r="B371" s="102"/>
      <c r="C371" s="51"/>
      <c r="E371" s="51"/>
      <c r="F371" s="51"/>
      <c r="G371" s="51"/>
      <c r="H371" s="51"/>
      <c r="I371" s="51"/>
      <c r="J371" s="51"/>
      <c r="K371" s="51"/>
      <c r="L371" s="106"/>
      <c r="M371" s="51"/>
      <c r="N371" s="94"/>
      <c r="O371" s="51"/>
      <c r="P371" s="51"/>
      <c r="Q371" s="51"/>
      <c r="R371" s="51"/>
      <c r="S371" s="51"/>
      <c r="T371" s="51"/>
      <c r="U371" s="51"/>
      <c r="V371" s="51"/>
      <c r="W371" s="51"/>
      <c r="X371" s="51"/>
      <c r="Y371" s="51"/>
      <c r="Z371" s="51"/>
    </row>
    <row r="372" spans="1:26" x14ac:dyDescent="0.3">
      <c r="A372" s="51"/>
      <c r="B372" s="102"/>
      <c r="C372" s="51"/>
      <c r="E372" s="51"/>
      <c r="F372" s="51"/>
      <c r="G372" s="51"/>
      <c r="H372" s="51"/>
      <c r="I372" s="51"/>
      <c r="J372" s="51"/>
      <c r="K372" s="51"/>
      <c r="L372" s="106"/>
      <c r="M372" s="51"/>
      <c r="N372" s="94"/>
      <c r="O372" s="51"/>
      <c r="P372" s="51"/>
      <c r="Q372" s="51"/>
      <c r="R372" s="51"/>
      <c r="S372" s="51"/>
      <c r="T372" s="51"/>
      <c r="U372" s="51"/>
      <c r="V372" s="51"/>
      <c r="W372" s="51"/>
      <c r="X372" s="51"/>
      <c r="Y372" s="51"/>
      <c r="Z372" s="51"/>
    </row>
    <row r="373" spans="1:26" x14ac:dyDescent="0.3">
      <c r="A373" s="51"/>
      <c r="B373" s="102"/>
      <c r="C373" s="51"/>
      <c r="E373" s="51"/>
      <c r="F373" s="51"/>
      <c r="G373" s="51"/>
      <c r="H373" s="51"/>
      <c r="I373" s="51"/>
      <c r="J373" s="51"/>
      <c r="K373" s="51"/>
      <c r="L373" s="106"/>
      <c r="M373" s="51"/>
      <c r="N373" s="94"/>
      <c r="O373" s="51"/>
      <c r="P373" s="51"/>
      <c r="Q373" s="51"/>
      <c r="R373" s="51"/>
      <c r="S373" s="51"/>
      <c r="T373" s="51"/>
      <c r="U373" s="51"/>
      <c r="V373" s="51"/>
      <c r="W373" s="51"/>
      <c r="X373" s="51"/>
      <c r="Y373" s="51"/>
      <c r="Z373" s="51"/>
    </row>
    <row r="374" spans="1:26" x14ac:dyDescent="0.3">
      <c r="A374" s="51"/>
      <c r="B374" s="102"/>
      <c r="C374" s="51"/>
      <c r="E374" s="51"/>
      <c r="F374" s="51"/>
      <c r="G374" s="51"/>
      <c r="H374" s="51"/>
      <c r="I374" s="51"/>
      <c r="J374" s="51"/>
      <c r="K374" s="51"/>
      <c r="L374" s="106"/>
      <c r="M374" s="51"/>
      <c r="N374" s="94"/>
      <c r="O374" s="51"/>
      <c r="P374" s="51"/>
      <c r="Q374" s="51"/>
      <c r="R374" s="51"/>
      <c r="S374" s="51"/>
      <c r="T374" s="51"/>
      <c r="U374" s="51"/>
      <c r="V374" s="51"/>
      <c r="W374" s="51"/>
      <c r="X374" s="51"/>
      <c r="Y374" s="51"/>
      <c r="Z374" s="51"/>
    </row>
    <row r="375" spans="1:26" x14ac:dyDescent="0.3">
      <c r="A375" s="51"/>
      <c r="B375" s="102"/>
      <c r="C375" s="51"/>
      <c r="E375" s="51"/>
      <c r="F375" s="51"/>
      <c r="G375" s="51"/>
      <c r="H375" s="51"/>
      <c r="I375" s="51"/>
      <c r="J375" s="51"/>
      <c r="K375" s="51"/>
      <c r="L375" s="106"/>
      <c r="M375" s="51"/>
      <c r="N375" s="94"/>
      <c r="O375" s="51"/>
      <c r="P375" s="51"/>
      <c r="Q375" s="51"/>
      <c r="R375" s="51"/>
      <c r="S375" s="51"/>
      <c r="T375" s="51"/>
      <c r="U375" s="51"/>
      <c r="V375" s="51"/>
      <c r="W375" s="51"/>
      <c r="X375" s="51"/>
      <c r="Y375" s="51"/>
      <c r="Z375" s="51"/>
    </row>
    <row r="376" spans="1:26" x14ac:dyDescent="0.3">
      <c r="A376" s="51"/>
      <c r="B376" s="102"/>
      <c r="C376" s="51"/>
      <c r="E376" s="51"/>
      <c r="F376" s="51"/>
      <c r="G376" s="51"/>
      <c r="H376" s="51"/>
      <c r="I376" s="51"/>
      <c r="J376" s="51"/>
      <c r="K376" s="51"/>
      <c r="L376" s="106"/>
      <c r="M376" s="51"/>
      <c r="N376" s="94"/>
      <c r="O376" s="51"/>
      <c r="P376" s="51"/>
      <c r="Q376" s="51"/>
      <c r="R376" s="51"/>
      <c r="S376" s="51"/>
      <c r="T376" s="51"/>
      <c r="U376" s="51"/>
      <c r="V376" s="51"/>
      <c r="W376" s="51"/>
      <c r="X376" s="51"/>
      <c r="Y376" s="51"/>
      <c r="Z376" s="51"/>
    </row>
    <row r="377" spans="1:26" x14ac:dyDescent="0.3">
      <c r="A377" s="51"/>
      <c r="B377" s="102"/>
      <c r="C377" s="51"/>
      <c r="E377" s="51"/>
      <c r="F377" s="51"/>
      <c r="G377" s="51"/>
      <c r="H377" s="51"/>
      <c r="I377" s="51"/>
      <c r="J377" s="51"/>
      <c r="K377" s="51"/>
      <c r="L377" s="106"/>
      <c r="M377" s="51"/>
      <c r="N377" s="94"/>
      <c r="O377" s="51"/>
      <c r="P377" s="51"/>
      <c r="Q377" s="51"/>
      <c r="R377" s="51"/>
      <c r="S377" s="51"/>
      <c r="T377" s="51"/>
      <c r="U377" s="51"/>
      <c r="V377" s="51"/>
      <c r="W377" s="51"/>
      <c r="X377" s="51"/>
      <c r="Y377" s="51"/>
      <c r="Z377" s="51"/>
    </row>
    <row r="378" spans="1:26" x14ac:dyDescent="0.3">
      <c r="A378" s="51"/>
      <c r="B378" s="102"/>
      <c r="C378" s="51"/>
      <c r="E378" s="51"/>
      <c r="F378" s="51"/>
      <c r="G378" s="51"/>
      <c r="H378" s="51"/>
      <c r="I378" s="51"/>
      <c r="J378" s="51"/>
      <c r="K378" s="51"/>
      <c r="L378" s="106"/>
      <c r="M378" s="51"/>
      <c r="N378" s="94"/>
      <c r="O378" s="51"/>
      <c r="P378" s="51"/>
      <c r="Q378" s="51"/>
      <c r="R378" s="51"/>
      <c r="S378" s="51"/>
      <c r="T378" s="51"/>
      <c r="U378" s="51"/>
      <c r="V378" s="51"/>
      <c r="W378" s="51"/>
      <c r="X378" s="51"/>
      <c r="Y378" s="51"/>
      <c r="Z378" s="51"/>
    </row>
    <row r="379" spans="1:26" x14ac:dyDescent="0.3">
      <c r="A379" s="51"/>
      <c r="B379" s="102"/>
      <c r="C379" s="51"/>
      <c r="E379" s="51"/>
      <c r="F379" s="51"/>
      <c r="G379" s="51"/>
      <c r="H379" s="51"/>
      <c r="I379" s="51"/>
      <c r="J379" s="51"/>
      <c r="K379" s="51"/>
      <c r="L379" s="106"/>
      <c r="M379" s="51"/>
      <c r="N379" s="94"/>
      <c r="O379" s="51"/>
      <c r="P379" s="51"/>
      <c r="Q379" s="51"/>
      <c r="R379" s="51"/>
      <c r="S379" s="51"/>
      <c r="T379" s="51"/>
      <c r="U379" s="51"/>
      <c r="V379" s="51"/>
      <c r="W379" s="51"/>
      <c r="X379" s="51"/>
      <c r="Y379" s="51"/>
      <c r="Z379" s="51"/>
    </row>
    <row r="380" spans="1:26" x14ac:dyDescent="0.3">
      <c r="A380" s="51"/>
      <c r="B380" s="102"/>
      <c r="C380" s="51"/>
      <c r="E380" s="51"/>
      <c r="F380" s="51"/>
      <c r="G380" s="51"/>
      <c r="H380" s="51"/>
      <c r="I380" s="51"/>
      <c r="J380" s="51"/>
      <c r="K380" s="51"/>
      <c r="L380" s="106"/>
      <c r="M380" s="51"/>
      <c r="N380" s="94"/>
      <c r="O380" s="51"/>
      <c r="P380" s="51"/>
      <c r="Q380" s="51"/>
      <c r="R380" s="51"/>
      <c r="S380" s="51"/>
      <c r="T380" s="51"/>
      <c r="U380" s="51"/>
      <c r="V380" s="51"/>
      <c r="W380" s="51"/>
      <c r="X380" s="51"/>
      <c r="Y380" s="51"/>
      <c r="Z380" s="51"/>
    </row>
    <row r="381" spans="1:26" x14ac:dyDescent="0.3">
      <c r="A381" s="51"/>
      <c r="B381" s="102"/>
      <c r="C381" s="51"/>
      <c r="E381" s="51"/>
      <c r="F381" s="51"/>
      <c r="G381" s="51"/>
      <c r="H381" s="51"/>
      <c r="I381" s="51"/>
      <c r="J381" s="51"/>
      <c r="K381" s="51"/>
      <c r="L381" s="106"/>
      <c r="M381" s="51"/>
      <c r="N381" s="94"/>
      <c r="O381" s="51"/>
      <c r="P381" s="51"/>
      <c r="Q381" s="51"/>
      <c r="R381" s="51"/>
      <c r="S381" s="51"/>
      <c r="T381" s="51"/>
      <c r="U381" s="51"/>
      <c r="V381" s="51"/>
      <c r="W381" s="51"/>
      <c r="X381" s="51"/>
      <c r="Y381" s="51"/>
      <c r="Z381" s="51"/>
    </row>
    <row r="382" spans="1:26" x14ac:dyDescent="0.3">
      <c r="A382" s="51"/>
      <c r="B382" s="102"/>
      <c r="C382" s="51"/>
      <c r="E382" s="51"/>
      <c r="F382" s="51"/>
      <c r="G382" s="51"/>
      <c r="H382" s="51"/>
      <c r="I382" s="51"/>
      <c r="J382" s="51"/>
      <c r="K382" s="51"/>
      <c r="L382" s="106"/>
      <c r="M382" s="51"/>
      <c r="N382" s="94"/>
      <c r="O382" s="51"/>
      <c r="P382" s="51"/>
      <c r="Q382" s="51"/>
      <c r="R382" s="51"/>
      <c r="S382" s="51"/>
      <c r="T382" s="51"/>
      <c r="U382" s="51"/>
      <c r="V382" s="51"/>
      <c r="W382" s="51"/>
      <c r="X382" s="51"/>
      <c r="Y382" s="51"/>
      <c r="Z382" s="51"/>
    </row>
    <row r="383" spans="1:26" x14ac:dyDescent="0.3">
      <c r="A383" s="51"/>
      <c r="B383" s="102"/>
      <c r="C383" s="51"/>
      <c r="E383" s="51"/>
      <c r="F383" s="51"/>
      <c r="G383" s="51"/>
      <c r="H383" s="51"/>
      <c r="I383" s="51"/>
      <c r="J383" s="51"/>
      <c r="K383" s="51"/>
      <c r="L383" s="106"/>
      <c r="M383" s="51"/>
      <c r="N383" s="94"/>
      <c r="O383" s="51"/>
      <c r="P383" s="51"/>
      <c r="Q383" s="51"/>
      <c r="R383" s="51"/>
      <c r="S383" s="51"/>
      <c r="T383" s="51"/>
      <c r="U383" s="51"/>
      <c r="V383" s="51"/>
      <c r="W383" s="51"/>
      <c r="X383" s="51"/>
      <c r="Y383" s="51"/>
      <c r="Z383" s="51"/>
    </row>
    <row r="384" spans="1:26" x14ac:dyDescent="0.3">
      <c r="A384" s="51"/>
      <c r="B384" s="102"/>
      <c r="C384" s="51"/>
      <c r="E384" s="51"/>
      <c r="F384" s="51"/>
      <c r="G384" s="51"/>
      <c r="H384" s="51"/>
      <c r="I384" s="51"/>
      <c r="J384" s="51"/>
      <c r="K384" s="51"/>
      <c r="L384" s="106"/>
      <c r="M384" s="51"/>
      <c r="N384" s="94"/>
      <c r="O384" s="51"/>
      <c r="P384" s="51"/>
      <c r="Q384" s="51"/>
      <c r="R384" s="51"/>
      <c r="S384" s="51"/>
      <c r="T384" s="51"/>
      <c r="U384" s="51"/>
      <c r="V384" s="51"/>
      <c r="W384" s="51"/>
      <c r="X384" s="51"/>
      <c r="Y384" s="51"/>
      <c r="Z384" s="51"/>
    </row>
    <row r="385" spans="1:26" x14ac:dyDescent="0.3">
      <c r="A385" s="51"/>
      <c r="B385" s="102"/>
      <c r="C385" s="51"/>
      <c r="E385" s="51"/>
      <c r="F385" s="51"/>
      <c r="G385" s="51"/>
      <c r="H385" s="51"/>
      <c r="I385" s="51"/>
      <c r="J385" s="51"/>
      <c r="K385" s="51"/>
      <c r="L385" s="106"/>
      <c r="M385" s="51"/>
      <c r="N385" s="94"/>
      <c r="O385" s="51"/>
      <c r="P385" s="51"/>
      <c r="Q385" s="51"/>
      <c r="R385" s="51"/>
      <c r="S385" s="51"/>
      <c r="T385" s="51"/>
      <c r="U385" s="51"/>
      <c r="V385" s="51"/>
      <c r="W385" s="51"/>
      <c r="X385" s="51"/>
      <c r="Y385" s="51"/>
      <c r="Z385" s="51"/>
    </row>
    <row r="386" spans="1:26" x14ac:dyDescent="0.3">
      <c r="A386" s="51"/>
      <c r="B386" s="102"/>
      <c r="C386" s="51"/>
      <c r="E386" s="51"/>
      <c r="F386" s="51"/>
      <c r="G386" s="51"/>
      <c r="H386" s="51"/>
      <c r="I386" s="51"/>
      <c r="J386" s="51"/>
      <c r="K386" s="51"/>
      <c r="L386" s="106"/>
      <c r="M386" s="51"/>
      <c r="N386" s="94"/>
      <c r="O386" s="51"/>
      <c r="P386" s="51"/>
      <c r="Q386" s="51"/>
      <c r="R386" s="51"/>
      <c r="S386" s="51"/>
      <c r="T386" s="51"/>
      <c r="U386" s="51"/>
      <c r="V386" s="51"/>
      <c r="W386" s="51"/>
      <c r="X386" s="51"/>
      <c r="Y386" s="51"/>
      <c r="Z386" s="51"/>
    </row>
    <row r="387" spans="1:26" x14ac:dyDescent="0.3">
      <c r="A387" s="51"/>
      <c r="B387" s="102"/>
      <c r="C387" s="51"/>
      <c r="E387" s="51"/>
      <c r="F387" s="51"/>
      <c r="G387" s="51"/>
      <c r="H387" s="51"/>
      <c r="I387" s="51"/>
      <c r="J387" s="51"/>
      <c r="K387" s="51"/>
      <c r="L387" s="106"/>
      <c r="M387" s="51"/>
      <c r="N387" s="94"/>
      <c r="O387" s="51"/>
      <c r="P387" s="51"/>
      <c r="Q387" s="51"/>
      <c r="R387" s="51"/>
      <c r="S387" s="51"/>
      <c r="T387" s="51"/>
      <c r="U387" s="51"/>
      <c r="V387" s="51"/>
      <c r="W387" s="51"/>
      <c r="X387" s="51"/>
      <c r="Y387" s="51"/>
      <c r="Z387" s="51"/>
    </row>
    <row r="388" spans="1:26" x14ac:dyDescent="0.3">
      <c r="A388" s="51"/>
      <c r="B388" s="102"/>
      <c r="C388" s="51"/>
      <c r="E388" s="51"/>
      <c r="F388" s="51"/>
      <c r="G388" s="51"/>
      <c r="H388" s="51"/>
      <c r="I388" s="51"/>
      <c r="J388" s="51"/>
      <c r="K388" s="51"/>
      <c r="L388" s="106"/>
      <c r="M388" s="51"/>
      <c r="N388" s="94"/>
      <c r="O388" s="51"/>
      <c r="P388" s="51"/>
      <c r="Q388" s="51"/>
      <c r="R388" s="51"/>
      <c r="S388" s="51"/>
      <c r="T388" s="51"/>
      <c r="U388" s="51"/>
      <c r="V388" s="51"/>
      <c r="W388" s="51"/>
      <c r="X388" s="51"/>
      <c r="Y388" s="51"/>
      <c r="Z388" s="51"/>
    </row>
    <row r="389" spans="1:26" x14ac:dyDescent="0.3">
      <c r="A389" s="51"/>
      <c r="B389" s="102"/>
      <c r="C389" s="51"/>
      <c r="E389" s="51"/>
      <c r="F389" s="51"/>
      <c r="G389" s="51"/>
      <c r="H389" s="51"/>
      <c r="I389" s="51"/>
      <c r="J389" s="51"/>
      <c r="K389" s="51"/>
      <c r="L389" s="106"/>
      <c r="M389" s="51"/>
      <c r="N389" s="94"/>
      <c r="O389" s="51"/>
      <c r="P389" s="51"/>
      <c r="Q389" s="51"/>
      <c r="R389" s="51"/>
      <c r="S389" s="51"/>
      <c r="T389" s="51"/>
      <c r="U389" s="51"/>
      <c r="V389" s="51"/>
      <c r="W389" s="51"/>
      <c r="X389" s="51"/>
      <c r="Y389" s="51"/>
      <c r="Z389" s="51"/>
    </row>
    <row r="390" spans="1:26" x14ac:dyDescent="0.3">
      <c r="A390" s="51"/>
      <c r="B390" s="102"/>
      <c r="C390" s="51"/>
      <c r="E390" s="51"/>
      <c r="F390" s="51"/>
      <c r="G390" s="51"/>
      <c r="H390" s="51"/>
      <c r="I390" s="51"/>
      <c r="J390" s="51"/>
      <c r="K390" s="51"/>
      <c r="L390" s="106"/>
      <c r="M390" s="51"/>
      <c r="N390" s="94"/>
      <c r="O390" s="51"/>
      <c r="P390" s="51"/>
      <c r="Q390" s="51"/>
      <c r="R390" s="51"/>
      <c r="S390" s="51"/>
      <c r="T390" s="51"/>
      <c r="U390" s="51"/>
      <c r="V390" s="51"/>
      <c r="W390" s="51"/>
      <c r="X390" s="51"/>
      <c r="Y390" s="51"/>
      <c r="Z390" s="51"/>
    </row>
    <row r="391" spans="1:26" x14ac:dyDescent="0.3">
      <c r="A391" s="51"/>
      <c r="B391" s="102"/>
      <c r="C391" s="51"/>
      <c r="E391" s="51"/>
      <c r="F391" s="51"/>
      <c r="G391" s="51"/>
      <c r="H391" s="51"/>
      <c r="I391" s="51"/>
      <c r="J391" s="51"/>
      <c r="K391" s="51"/>
      <c r="L391" s="106"/>
      <c r="M391" s="51"/>
      <c r="N391" s="94"/>
      <c r="O391" s="51"/>
      <c r="P391" s="51"/>
      <c r="Q391" s="51"/>
      <c r="R391" s="51"/>
      <c r="S391" s="51"/>
      <c r="T391" s="51"/>
      <c r="U391" s="51"/>
      <c r="V391" s="51"/>
      <c r="W391" s="51"/>
      <c r="X391" s="51"/>
      <c r="Y391" s="51"/>
      <c r="Z391" s="51"/>
    </row>
    <row r="392" spans="1:26" x14ac:dyDescent="0.3">
      <c r="A392" s="51"/>
      <c r="B392" s="102"/>
      <c r="C392" s="51"/>
      <c r="E392" s="51"/>
      <c r="F392" s="51"/>
      <c r="G392" s="51"/>
      <c r="H392" s="51"/>
      <c r="I392" s="51"/>
      <c r="J392" s="51"/>
      <c r="K392" s="51"/>
      <c r="L392" s="106"/>
      <c r="M392" s="51"/>
      <c r="N392" s="94"/>
      <c r="O392" s="51"/>
      <c r="P392" s="51"/>
      <c r="Q392" s="51"/>
      <c r="R392" s="51"/>
      <c r="S392" s="51"/>
      <c r="T392" s="51"/>
      <c r="U392" s="51"/>
      <c r="V392" s="51"/>
      <c r="W392" s="51"/>
      <c r="X392" s="51"/>
      <c r="Y392" s="51"/>
      <c r="Z392" s="51"/>
    </row>
    <row r="393" spans="1:26" x14ac:dyDescent="0.3">
      <c r="A393" s="51"/>
      <c r="B393" s="102"/>
      <c r="C393" s="51"/>
      <c r="E393" s="51"/>
      <c r="F393" s="51"/>
      <c r="G393" s="51"/>
      <c r="H393" s="51"/>
      <c r="I393" s="51"/>
      <c r="J393" s="51"/>
      <c r="K393" s="51"/>
      <c r="L393" s="106"/>
      <c r="M393" s="51"/>
      <c r="N393" s="94"/>
      <c r="O393" s="51"/>
      <c r="P393" s="51"/>
      <c r="Q393" s="51"/>
      <c r="R393" s="51"/>
      <c r="S393" s="51"/>
      <c r="T393" s="51"/>
      <c r="U393" s="51"/>
      <c r="V393" s="51"/>
      <c r="W393" s="51"/>
      <c r="X393" s="51"/>
      <c r="Y393" s="51"/>
      <c r="Z393" s="51"/>
    </row>
    <row r="394" spans="1:26" x14ac:dyDescent="0.3">
      <c r="A394" s="51"/>
      <c r="B394" s="102"/>
      <c r="C394" s="51"/>
      <c r="E394" s="51"/>
      <c r="F394" s="51"/>
      <c r="G394" s="51"/>
      <c r="H394" s="51"/>
      <c r="I394" s="51"/>
      <c r="J394" s="51"/>
      <c r="K394" s="51"/>
      <c r="L394" s="106"/>
      <c r="M394" s="51"/>
      <c r="N394" s="94"/>
      <c r="O394" s="51"/>
      <c r="P394" s="51"/>
      <c r="Q394" s="51"/>
      <c r="R394" s="51"/>
      <c r="S394" s="51"/>
      <c r="T394" s="51"/>
      <c r="U394" s="51"/>
      <c r="V394" s="51"/>
      <c r="W394" s="51"/>
      <c r="X394" s="51"/>
      <c r="Y394" s="51"/>
      <c r="Z394" s="51"/>
    </row>
    <row r="395" spans="1:26" x14ac:dyDescent="0.3">
      <c r="A395" s="51"/>
      <c r="B395" s="102"/>
      <c r="C395" s="51"/>
      <c r="E395" s="51"/>
      <c r="F395" s="51"/>
      <c r="G395" s="51"/>
      <c r="H395" s="51"/>
      <c r="I395" s="51"/>
      <c r="J395" s="51"/>
      <c r="K395" s="51"/>
      <c r="L395" s="106"/>
      <c r="M395" s="51"/>
      <c r="N395" s="94"/>
      <c r="O395" s="51"/>
      <c r="P395" s="51"/>
      <c r="Q395" s="51"/>
      <c r="R395" s="51"/>
      <c r="S395" s="51"/>
      <c r="T395" s="51"/>
      <c r="U395" s="51"/>
      <c r="V395" s="51"/>
      <c r="W395" s="51"/>
      <c r="X395" s="51"/>
      <c r="Y395" s="51"/>
      <c r="Z395" s="51"/>
    </row>
    <row r="396" spans="1:26" x14ac:dyDescent="0.3">
      <c r="A396" s="51"/>
      <c r="B396" s="102"/>
      <c r="C396" s="51"/>
      <c r="E396" s="51"/>
      <c r="F396" s="51"/>
      <c r="G396" s="51"/>
      <c r="H396" s="51"/>
      <c r="I396" s="51"/>
      <c r="J396" s="51"/>
      <c r="K396" s="51"/>
      <c r="L396" s="106"/>
      <c r="M396" s="51"/>
      <c r="N396" s="94"/>
      <c r="O396" s="51"/>
      <c r="P396" s="51"/>
      <c r="Q396" s="51"/>
      <c r="R396" s="51"/>
      <c r="S396" s="51"/>
      <c r="T396" s="51"/>
      <c r="U396" s="51"/>
      <c r="V396" s="51"/>
      <c r="W396" s="51"/>
      <c r="X396" s="51"/>
      <c r="Y396" s="51"/>
      <c r="Z396" s="51"/>
    </row>
    <row r="397" spans="1:26" x14ac:dyDescent="0.3">
      <c r="A397" s="51"/>
      <c r="B397" s="102"/>
      <c r="C397" s="51"/>
      <c r="E397" s="51"/>
      <c r="F397" s="51"/>
      <c r="G397" s="51"/>
      <c r="H397" s="51"/>
      <c r="I397" s="51"/>
      <c r="J397" s="51"/>
      <c r="K397" s="51"/>
      <c r="L397" s="106"/>
      <c r="M397" s="51"/>
      <c r="N397" s="94"/>
      <c r="O397" s="51"/>
      <c r="P397" s="51"/>
      <c r="Q397" s="51"/>
      <c r="R397" s="51"/>
      <c r="S397" s="51"/>
      <c r="T397" s="51"/>
      <c r="U397" s="51"/>
      <c r="V397" s="51"/>
      <c r="W397" s="51"/>
      <c r="X397" s="51"/>
      <c r="Y397" s="51"/>
      <c r="Z397" s="51"/>
    </row>
    <row r="398" spans="1:26" x14ac:dyDescent="0.3">
      <c r="A398" s="51"/>
      <c r="B398" s="102"/>
      <c r="C398" s="51"/>
      <c r="E398" s="51"/>
      <c r="F398" s="51"/>
      <c r="G398" s="51"/>
      <c r="H398" s="51"/>
      <c r="I398" s="51"/>
      <c r="J398" s="51"/>
      <c r="K398" s="51"/>
      <c r="L398" s="106"/>
      <c r="M398" s="51"/>
      <c r="N398" s="94"/>
      <c r="O398" s="51"/>
      <c r="P398" s="51"/>
      <c r="Q398" s="51"/>
      <c r="R398" s="51"/>
      <c r="S398" s="51"/>
      <c r="T398" s="51"/>
      <c r="U398" s="51"/>
      <c r="V398" s="51"/>
      <c r="W398" s="51"/>
      <c r="X398" s="51"/>
      <c r="Y398" s="51"/>
      <c r="Z398" s="51"/>
    </row>
    <row r="399" spans="1:26" x14ac:dyDescent="0.3">
      <c r="A399" s="51"/>
      <c r="B399" s="102"/>
      <c r="C399" s="51"/>
      <c r="E399" s="51"/>
      <c r="F399" s="51"/>
      <c r="G399" s="51"/>
      <c r="H399" s="51"/>
      <c r="I399" s="51"/>
      <c r="J399" s="51"/>
      <c r="K399" s="51"/>
      <c r="L399" s="106"/>
      <c r="M399" s="51"/>
      <c r="N399" s="94"/>
      <c r="O399" s="51"/>
      <c r="P399" s="51"/>
      <c r="Q399" s="51"/>
      <c r="R399" s="51"/>
      <c r="S399" s="51"/>
      <c r="T399" s="51"/>
      <c r="U399" s="51"/>
      <c r="V399" s="51"/>
      <c r="W399" s="51"/>
      <c r="X399" s="51"/>
      <c r="Y399" s="51"/>
      <c r="Z399" s="51"/>
    </row>
    <row r="400" spans="1:26" x14ac:dyDescent="0.3">
      <c r="A400" s="51"/>
      <c r="B400" s="102"/>
      <c r="C400" s="51"/>
      <c r="E400" s="51"/>
      <c r="F400" s="51"/>
      <c r="G400" s="51"/>
      <c r="H400" s="51"/>
      <c r="I400" s="51"/>
      <c r="J400" s="51"/>
      <c r="K400" s="51"/>
      <c r="L400" s="106"/>
      <c r="M400" s="51"/>
      <c r="N400" s="94"/>
      <c r="O400" s="51"/>
      <c r="P400" s="51"/>
      <c r="Q400" s="51"/>
      <c r="R400" s="51"/>
      <c r="S400" s="51"/>
      <c r="T400" s="51"/>
      <c r="U400" s="51"/>
      <c r="V400" s="51"/>
      <c r="W400" s="51"/>
      <c r="X400" s="51"/>
      <c r="Y400" s="51"/>
      <c r="Z400" s="51"/>
    </row>
    <row r="401" spans="1:26" x14ac:dyDescent="0.3">
      <c r="A401" s="51"/>
      <c r="B401" s="102"/>
      <c r="C401" s="51"/>
      <c r="E401" s="51"/>
      <c r="F401" s="51"/>
      <c r="G401" s="51"/>
      <c r="H401" s="51"/>
      <c r="I401" s="51"/>
      <c r="J401" s="51"/>
      <c r="K401" s="51"/>
      <c r="L401" s="106"/>
      <c r="M401" s="51"/>
      <c r="N401" s="94"/>
      <c r="O401" s="51"/>
      <c r="P401" s="51"/>
      <c r="Q401" s="51"/>
      <c r="R401" s="51"/>
      <c r="S401" s="51"/>
      <c r="T401" s="51"/>
      <c r="U401" s="51"/>
      <c r="V401" s="51"/>
      <c r="W401" s="51"/>
      <c r="X401" s="51"/>
      <c r="Y401" s="51"/>
      <c r="Z401" s="51"/>
    </row>
    <row r="402" spans="1:26" x14ac:dyDescent="0.3">
      <c r="A402" s="51"/>
      <c r="B402" s="102"/>
      <c r="C402" s="51"/>
      <c r="E402" s="51"/>
      <c r="F402" s="51"/>
      <c r="G402" s="51"/>
      <c r="H402" s="51"/>
      <c r="I402" s="51"/>
      <c r="J402" s="51"/>
      <c r="K402" s="51"/>
      <c r="L402" s="106"/>
      <c r="M402" s="51"/>
      <c r="N402" s="94"/>
      <c r="O402" s="51"/>
      <c r="P402" s="51"/>
      <c r="Q402" s="51"/>
      <c r="R402" s="51"/>
      <c r="S402" s="51"/>
      <c r="T402" s="51"/>
      <c r="U402" s="51"/>
      <c r="V402" s="51"/>
      <c r="W402" s="51"/>
      <c r="X402" s="51"/>
      <c r="Y402" s="51"/>
      <c r="Z402" s="51"/>
    </row>
    <row r="403" spans="1:26" x14ac:dyDescent="0.3">
      <c r="A403" s="51"/>
      <c r="B403" s="102"/>
      <c r="C403" s="51"/>
      <c r="E403" s="51"/>
      <c r="F403" s="51"/>
      <c r="G403" s="51"/>
      <c r="H403" s="51"/>
      <c r="I403" s="51"/>
      <c r="J403" s="51"/>
      <c r="K403" s="51"/>
      <c r="L403" s="106"/>
      <c r="M403" s="51"/>
      <c r="N403" s="94"/>
      <c r="O403" s="51"/>
      <c r="P403" s="51"/>
      <c r="Q403" s="51"/>
      <c r="R403" s="51"/>
      <c r="S403" s="51"/>
      <c r="T403" s="51"/>
      <c r="U403" s="51"/>
      <c r="V403" s="51"/>
      <c r="W403" s="51"/>
      <c r="X403" s="51"/>
      <c r="Y403" s="51"/>
      <c r="Z403" s="51"/>
    </row>
    <row r="404" spans="1:26" x14ac:dyDescent="0.3">
      <c r="A404" s="51"/>
      <c r="B404" s="102"/>
      <c r="C404" s="51"/>
      <c r="E404" s="51"/>
      <c r="F404" s="51"/>
      <c r="G404" s="51"/>
      <c r="H404" s="51"/>
      <c r="I404" s="51"/>
      <c r="J404" s="51"/>
      <c r="K404" s="51"/>
      <c r="L404" s="106"/>
      <c r="M404" s="51"/>
      <c r="N404" s="94"/>
      <c r="O404" s="51"/>
      <c r="P404" s="51"/>
      <c r="Q404" s="51"/>
      <c r="R404" s="51"/>
      <c r="S404" s="51"/>
      <c r="T404" s="51"/>
      <c r="U404" s="51"/>
      <c r="V404" s="51"/>
      <c r="W404" s="51"/>
      <c r="X404" s="51"/>
      <c r="Y404" s="51"/>
      <c r="Z404" s="51"/>
    </row>
    <row r="405" spans="1:26" x14ac:dyDescent="0.3">
      <c r="A405" s="51"/>
      <c r="B405" s="102"/>
      <c r="C405" s="51"/>
      <c r="E405" s="51"/>
      <c r="F405" s="51"/>
      <c r="G405" s="51"/>
      <c r="H405" s="51"/>
      <c r="I405" s="51"/>
      <c r="J405" s="51"/>
      <c r="K405" s="51"/>
      <c r="L405" s="106"/>
      <c r="M405" s="51"/>
      <c r="N405" s="94"/>
      <c r="O405" s="51"/>
      <c r="P405" s="51"/>
      <c r="Q405" s="51"/>
      <c r="R405" s="51"/>
      <c r="S405" s="51"/>
      <c r="T405" s="51"/>
      <c r="U405" s="51"/>
      <c r="V405" s="51"/>
      <c r="W405" s="51"/>
      <c r="X405" s="51"/>
      <c r="Y405" s="51"/>
      <c r="Z405" s="51"/>
    </row>
    <row r="406" spans="1:26" x14ac:dyDescent="0.3">
      <c r="A406" s="51"/>
      <c r="B406" s="102"/>
      <c r="C406" s="51"/>
      <c r="E406" s="51"/>
      <c r="F406" s="51"/>
      <c r="G406" s="51"/>
      <c r="H406" s="51"/>
      <c r="I406" s="51"/>
      <c r="J406" s="51"/>
      <c r="K406" s="51"/>
      <c r="L406" s="106"/>
      <c r="M406" s="51"/>
      <c r="N406" s="94"/>
      <c r="O406" s="51"/>
      <c r="P406" s="51"/>
      <c r="Q406" s="51"/>
      <c r="R406" s="51"/>
      <c r="S406" s="51"/>
      <c r="T406" s="51"/>
      <c r="U406" s="51"/>
      <c r="V406" s="51"/>
      <c r="W406" s="51"/>
      <c r="X406" s="51"/>
      <c r="Y406" s="51"/>
      <c r="Z406" s="51"/>
    </row>
    <row r="407" spans="1:26" x14ac:dyDescent="0.3">
      <c r="A407" s="51"/>
      <c r="B407" s="102"/>
      <c r="C407" s="51"/>
      <c r="E407" s="51"/>
      <c r="F407" s="51"/>
      <c r="G407" s="51"/>
      <c r="H407" s="51"/>
      <c r="I407" s="51"/>
      <c r="J407" s="51"/>
      <c r="K407" s="51"/>
      <c r="L407" s="106"/>
      <c r="M407" s="51"/>
      <c r="N407" s="94"/>
      <c r="O407" s="51"/>
      <c r="P407" s="51"/>
      <c r="Q407" s="51"/>
      <c r="R407" s="51"/>
      <c r="S407" s="51"/>
      <c r="T407" s="51"/>
      <c r="U407" s="51"/>
      <c r="V407" s="51"/>
      <c r="W407" s="51"/>
      <c r="X407" s="51"/>
      <c r="Y407" s="51"/>
      <c r="Z407" s="51"/>
    </row>
    <row r="408" spans="1:26" x14ac:dyDescent="0.3">
      <c r="A408" s="51"/>
      <c r="B408" s="102"/>
      <c r="C408" s="51"/>
      <c r="E408" s="51"/>
      <c r="F408" s="51"/>
      <c r="G408" s="51"/>
      <c r="H408" s="51"/>
      <c r="I408" s="51"/>
      <c r="J408" s="51"/>
      <c r="K408" s="51"/>
      <c r="L408" s="106"/>
      <c r="M408" s="51"/>
      <c r="N408" s="94"/>
      <c r="O408" s="51"/>
      <c r="P408" s="51"/>
      <c r="Q408" s="51"/>
      <c r="R408" s="51"/>
      <c r="S408" s="51"/>
      <c r="T408" s="51"/>
      <c r="U408" s="51"/>
      <c r="V408" s="51"/>
      <c r="W408" s="51"/>
      <c r="X408" s="51"/>
      <c r="Y408" s="51"/>
      <c r="Z408" s="51"/>
    </row>
    <row r="409" spans="1:26" x14ac:dyDescent="0.3">
      <c r="A409" s="51"/>
      <c r="B409" s="102"/>
      <c r="C409" s="51"/>
      <c r="E409" s="51"/>
      <c r="F409" s="51"/>
      <c r="G409" s="51"/>
      <c r="H409" s="51"/>
      <c r="I409" s="51"/>
      <c r="J409" s="51"/>
      <c r="K409" s="51"/>
      <c r="L409" s="106"/>
      <c r="M409" s="51"/>
      <c r="N409" s="94"/>
      <c r="O409" s="51"/>
      <c r="P409" s="51"/>
      <c r="Q409" s="51"/>
      <c r="R409" s="51"/>
      <c r="S409" s="51"/>
      <c r="T409" s="51"/>
      <c r="U409" s="51"/>
      <c r="V409" s="51"/>
      <c r="W409" s="51"/>
      <c r="X409" s="51"/>
      <c r="Y409" s="51"/>
      <c r="Z409" s="51"/>
    </row>
    <row r="410" spans="1:26" x14ac:dyDescent="0.3">
      <c r="A410" s="51"/>
      <c r="B410" s="102"/>
      <c r="C410" s="51"/>
      <c r="E410" s="51"/>
      <c r="F410" s="51"/>
      <c r="G410" s="51"/>
      <c r="H410" s="51"/>
      <c r="I410" s="51"/>
      <c r="J410" s="51"/>
      <c r="K410" s="51"/>
      <c r="L410" s="106"/>
      <c r="M410" s="51"/>
      <c r="N410" s="94"/>
      <c r="O410" s="51"/>
      <c r="P410" s="51"/>
      <c r="Q410" s="51"/>
      <c r="R410" s="51"/>
      <c r="S410" s="51"/>
      <c r="T410" s="51"/>
      <c r="U410" s="51"/>
      <c r="V410" s="51"/>
      <c r="W410" s="51"/>
      <c r="X410" s="51"/>
      <c r="Y410" s="51"/>
      <c r="Z410" s="51"/>
    </row>
    <row r="411" spans="1:26" x14ac:dyDescent="0.3">
      <c r="A411" s="51"/>
      <c r="B411" s="102"/>
      <c r="C411" s="51"/>
      <c r="E411" s="51"/>
      <c r="F411" s="51"/>
      <c r="G411" s="51"/>
      <c r="H411" s="51"/>
      <c r="I411" s="51"/>
      <c r="J411" s="51"/>
      <c r="K411" s="51"/>
      <c r="L411" s="106"/>
      <c r="M411" s="51"/>
      <c r="N411" s="94"/>
      <c r="O411" s="51"/>
      <c r="P411" s="51"/>
      <c r="Q411" s="51"/>
      <c r="R411" s="51"/>
      <c r="S411" s="51"/>
      <c r="T411" s="51"/>
      <c r="U411" s="51"/>
      <c r="V411" s="51"/>
      <c r="W411" s="51"/>
      <c r="X411" s="51"/>
      <c r="Y411" s="51"/>
      <c r="Z411" s="51"/>
    </row>
    <row r="412" spans="1:26" x14ac:dyDescent="0.3">
      <c r="A412" s="51"/>
      <c r="B412" s="102"/>
      <c r="C412" s="51"/>
      <c r="E412" s="51"/>
      <c r="F412" s="51"/>
      <c r="G412" s="51"/>
      <c r="H412" s="51"/>
      <c r="I412" s="51"/>
      <c r="J412" s="51"/>
      <c r="K412" s="51"/>
      <c r="L412" s="106"/>
      <c r="M412" s="51"/>
      <c r="N412" s="94"/>
      <c r="O412" s="51"/>
      <c r="P412" s="51"/>
      <c r="Q412" s="51"/>
      <c r="R412" s="51"/>
      <c r="S412" s="51"/>
      <c r="T412" s="51"/>
      <c r="U412" s="51"/>
      <c r="V412" s="51"/>
      <c r="W412" s="51"/>
      <c r="X412" s="51"/>
      <c r="Y412" s="51"/>
      <c r="Z412" s="51"/>
    </row>
    <row r="413" spans="1:26" x14ac:dyDescent="0.3">
      <c r="A413" s="51"/>
      <c r="B413" s="102"/>
      <c r="C413" s="51"/>
      <c r="E413" s="51"/>
      <c r="F413" s="51"/>
      <c r="G413" s="51"/>
      <c r="H413" s="51"/>
      <c r="I413" s="51"/>
      <c r="J413" s="51"/>
      <c r="K413" s="51"/>
      <c r="L413" s="106"/>
      <c r="M413" s="51"/>
      <c r="N413" s="94"/>
      <c r="O413" s="51"/>
      <c r="P413" s="51"/>
      <c r="Q413" s="51"/>
      <c r="R413" s="51"/>
      <c r="S413" s="51"/>
      <c r="T413" s="51"/>
      <c r="U413" s="51"/>
      <c r="V413" s="51"/>
      <c r="W413" s="51"/>
      <c r="X413" s="51"/>
      <c r="Y413" s="51"/>
      <c r="Z413" s="51"/>
    </row>
    <row r="414" spans="1:26" x14ac:dyDescent="0.3">
      <c r="A414" s="51"/>
      <c r="B414" s="102"/>
      <c r="C414" s="51"/>
      <c r="E414" s="51"/>
      <c r="F414" s="51"/>
      <c r="G414" s="51"/>
      <c r="H414" s="51"/>
      <c r="I414" s="51"/>
      <c r="J414" s="51"/>
      <c r="K414" s="51"/>
      <c r="L414" s="106"/>
      <c r="M414" s="51"/>
      <c r="N414" s="94"/>
      <c r="O414" s="51"/>
      <c r="P414" s="51"/>
      <c r="Q414" s="51"/>
      <c r="R414" s="51"/>
      <c r="S414" s="51"/>
      <c r="T414" s="51"/>
      <c r="U414" s="51"/>
      <c r="V414" s="51"/>
      <c r="W414" s="51"/>
      <c r="X414" s="51"/>
      <c r="Y414" s="51"/>
      <c r="Z414" s="51"/>
    </row>
    <row r="415" spans="1:26" x14ac:dyDescent="0.3">
      <c r="A415" s="51"/>
      <c r="B415" s="102"/>
      <c r="C415" s="51"/>
      <c r="E415" s="51"/>
      <c r="F415" s="51"/>
      <c r="G415" s="51"/>
      <c r="H415" s="51"/>
      <c r="I415" s="51"/>
      <c r="J415" s="51"/>
      <c r="K415" s="51"/>
      <c r="L415" s="106"/>
      <c r="M415" s="51"/>
      <c r="N415" s="94"/>
      <c r="O415" s="51"/>
      <c r="P415" s="51"/>
      <c r="Q415" s="51"/>
      <c r="R415" s="51"/>
      <c r="S415" s="51"/>
      <c r="T415" s="51"/>
      <c r="U415" s="51"/>
      <c r="V415" s="51"/>
      <c r="W415" s="51"/>
      <c r="X415" s="51"/>
      <c r="Y415" s="51"/>
      <c r="Z415" s="51"/>
    </row>
    <row r="416" spans="1:26" x14ac:dyDescent="0.3">
      <c r="A416" s="51"/>
      <c r="B416" s="102"/>
      <c r="C416" s="51"/>
      <c r="E416" s="51"/>
      <c r="F416" s="51"/>
      <c r="G416" s="51"/>
      <c r="H416" s="51"/>
      <c r="I416" s="51"/>
      <c r="J416" s="51"/>
      <c r="K416" s="51"/>
      <c r="L416" s="106"/>
      <c r="M416" s="51"/>
      <c r="N416" s="94"/>
      <c r="O416" s="51"/>
      <c r="P416" s="51"/>
      <c r="Q416" s="51"/>
      <c r="R416" s="51"/>
      <c r="S416" s="51"/>
      <c r="T416" s="51"/>
      <c r="U416" s="51"/>
      <c r="V416" s="51"/>
      <c r="W416" s="51"/>
      <c r="X416" s="51"/>
      <c r="Y416" s="51"/>
      <c r="Z416" s="51"/>
    </row>
    <row r="417" spans="1:26" x14ac:dyDescent="0.3">
      <c r="A417" s="51"/>
      <c r="B417" s="102"/>
      <c r="C417" s="51"/>
      <c r="E417" s="51"/>
      <c r="F417" s="51"/>
      <c r="G417" s="51"/>
      <c r="H417" s="51"/>
      <c r="I417" s="51"/>
      <c r="J417" s="51"/>
      <c r="K417" s="51"/>
      <c r="L417" s="106"/>
      <c r="M417" s="51"/>
      <c r="N417" s="94"/>
      <c r="O417" s="51"/>
      <c r="P417" s="51"/>
      <c r="Q417" s="51"/>
      <c r="R417" s="51"/>
      <c r="S417" s="51"/>
      <c r="T417" s="51"/>
      <c r="U417" s="51"/>
      <c r="V417" s="51"/>
      <c r="W417" s="51"/>
      <c r="X417" s="51"/>
      <c r="Y417" s="51"/>
      <c r="Z417" s="51"/>
    </row>
    <row r="418" spans="1:26" x14ac:dyDescent="0.3">
      <c r="A418" s="51"/>
      <c r="B418" s="102"/>
      <c r="C418" s="51"/>
      <c r="E418" s="51"/>
      <c r="F418" s="51"/>
      <c r="G418" s="51"/>
      <c r="H418" s="51"/>
      <c r="I418" s="51"/>
      <c r="J418" s="51"/>
      <c r="K418" s="51"/>
      <c r="L418" s="106"/>
      <c r="M418" s="51"/>
      <c r="N418" s="94"/>
      <c r="O418" s="51"/>
      <c r="P418" s="51"/>
      <c r="Q418" s="51"/>
      <c r="R418" s="51"/>
      <c r="S418" s="51"/>
      <c r="T418" s="51"/>
      <c r="U418" s="51"/>
      <c r="V418" s="51"/>
      <c r="W418" s="51"/>
      <c r="X418" s="51"/>
      <c r="Y418" s="51"/>
      <c r="Z418" s="51"/>
    </row>
    <row r="419" spans="1:26" x14ac:dyDescent="0.3">
      <c r="A419" s="51"/>
      <c r="B419" s="102"/>
      <c r="C419" s="51"/>
      <c r="E419" s="51"/>
      <c r="F419" s="51"/>
      <c r="G419" s="51"/>
      <c r="H419" s="51"/>
      <c r="I419" s="51"/>
      <c r="J419" s="51"/>
      <c r="K419" s="51"/>
      <c r="L419" s="106"/>
      <c r="M419" s="51"/>
      <c r="N419" s="94"/>
      <c r="O419" s="51"/>
      <c r="P419" s="51"/>
      <c r="Q419" s="51"/>
      <c r="R419" s="51"/>
      <c r="S419" s="51"/>
      <c r="T419" s="51"/>
      <c r="U419" s="51"/>
      <c r="V419" s="51"/>
      <c r="W419" s="51"/>
      <c r="X419" s="51"/>
      <c r="Y419" s="51"/>
      <c r="Z419" s="51"/>
    </row>
    <row r="420" spans="1:26" x14ac:dyDescent="0.3">
      <c r="A420" s="51"/>
      <c r="B420" s="102"/>
      <c r="C420" s="51"/>
      <c r="E420" s="51"/>
      <c r="F420" s="51"/>
      <c r="G420" s="51"/>
      <c r="H420" s="51"/>
      <c r="I420" s="51"/>
      <c r="J420" s="51"/>
      <c r="K420" s="51"/>
      <c r="L420" s="106"/>
      <c r="M420" s="51"/>
      <c r="N420" s="94"/>
      <c r="O420" s="51"/>
      <c r="P420" s="51"/>
      <c r="Q420" s="51"/>
      <c r="R420" s="51"/>
      <c r="S420" s="51"/>
      <c r="T420" s="51"/>
      <c r="U420" s="51"/>
      <c r="V420" s="51"/>
      <c r="W420" s="51"/>
      <c r="X420" s="51"/>
      <c r="Y420" s="51"/>
      <c r="Z420" s="51"/>
    </row>
    <row r="421" spans="1:26" x14ac:dyDescent="0.3">
      <c r="A421" s="51"/>
      <c r="B421" s="102"/>
      <c r="C421" s="51"/>
      <c r="E421" s="51"/>
      <c r="F421" s="51"/>
      <c r="G421" s="51"/>
      <c r="H421" s="51"/>
      <c r="I421" s="51"/>
      <c r="J421" s="51"/>
      <c r="K421" s="51"/>
      <c r="L421" s="106"/>
      <c r="M421" s="51"/>
      <c r="N421" s="94"/>
      <c r="O421" s="51"/>
      <c r="P421" s="51"/>
      <c r="Q421" s="51"/>
      <c r="R421" s="51"/>
      <c r="S421" s="51"/>
      <c r="T421" s="51"/>
      <c r="U421" s="51"/>
      <c r="V421" s="51"/>
      <c r="W421" s="51"/>
      <c r="X421" s="51"/>
      <c r="Y421" s="51"/>
      <c r="Z421" s="51"/>
    </row>
    <row r="422" spans="1:26" x14ac:dyDescent="0.3">
      <c r="A422" s="51"/>
      <c r="B422" s="102"/>
      <c r="C422" s="51"/>
      <c r="E422" s="51"/>
      <c r="F422" s="51"/>
      <c r="G422" s="51"/>
      <c r="H422" s="51"/>
      <c r="I422" s="51"/>
      <c r="J422" s="51"/>
      <c r="K422" s="51"/>
      <c r="L422" s="106"/>
      <c r="M422" s="51"/>
      <c r="N422" s="94"/>
      <c r="O422" s="51"/>
      <c r="P422" s="51"/>
      <c r="Q422" s="51"/>
      <c r="R422" s="51"/>
      <c r="S422" s="51"/>
      <c r="T422" s="51"/>
      <c r="U422" s="51"/>
      <c r="V422" s="51"/>
      <c r="W422" s="51"/>
      <c r="X422" s="51"/>
      <c r="Y422" s="51"/>
      <c r="Z422" s="51"/>
    </row>
    <row r="423" spans="1:26" x14ac:dyDescent="0.3">
      <c r="A423" s="51"/>
      <c r="B423" s="102"/>
      <c r="C423" s="51"/>
      <c r="E423" s="51"/>
      <c r="F423" s="51"/>
      <c r="G423" s="51"/>
      <c r="H423" s="51"/>
      <c r="I423" s="51"/>
      <c r="J423" s="51"/>
      <c r="K423" s="51"/>
      <c r="L423" s="106"/>
      <c r="M423" s="51"/>
      <c r="N423" s="94"/>
      <c r="O423" s="51"/>
      <c r="P423" s="51"/>
      <c r="Q423" s="51"/>
      <c r="R423" s="51"/>
      <c r="S423" s="51"/>
      <c r="T423" s="51"/>
      <c r="U423" s="51"/>
      <c r="V423" s="51"/>
      <c r="W423" s="51"/>
      <c r="X423" s="51"/>
      <c r="Y423" s="51"/>
      <c r="Z423" s="51"/>
    </row>
    <row r="424" spans="1:26" x14ac:dyDescent="0.3">
      <c r="A424" s="51"/>
      <c r="B424" s="102"/>
      <c r="C424" s="51"/>
      <c r="E424" s="51"/>
      <c r="F424" s="51"/>
      <c r="G424" s="51"/>
      <c r="H424" s="51"/>
      <c r="I424" s="51"/>
      <c r="J424" s="51"/>
      <c r="K424" s="51"/>
      <c r="L424" s="106"/>
      <c r="M424" s="51"/>
      <c r="N424" s="94"/>
      <c r="O424" s="51"/>
      <c r="P424" s="51"/>
      <c r="Q424" s="51"/>
      <c r="R424" s="51"/>
      <c r="S424" s="51"/>
      <c r="T424" s="51"/>
      <c r="U424" s="51"/>
      <c r="V424" s="51"/>
      <c r="W424" s="51"/>
      <c r="X424" s="51"/>
      <c r="Y424" s="51"/>
      <c r="Z424" s="51"/>
    </row>
    <row r="425" spans="1:26" x14ac:dyDescent="0.3">
      <c r="A425" s="51"/>
      <c r="B425" s="102"/>
      <c r="C425" s="51"/>
      <c r="E425" s="51"/>
      <c r="F425" s="51"/>
      <c r="G425" s="51"/>
      <c r="H425" s="51"/>
      <c r="I425" s="51"/>
      <c r="J425" s="51"/>
      <c r="K425" s="51"/>
      <c r="L425" s="106"/>
      <c r="M425" s="51"/>
      <c r="N425" s="94"/>
      <c r="O425" s="51"/>
      <c r="P425" s="51"/>
      <c r="Q425" s="51"/>
      <c r="R425" s="51"/>
      <c r="S425" s="51"/>
      <c r="T425" s="51"/>
      <c r="U425" s="51"/>
      <c r="V425" s="51"/>
      <c r="W425" s="51"/>
      <c r="X425" s="51"/>
      <c r="Y425" s="51"/>
      <c r="Z425" s="51"/>
    </row>
    <row r="426" spans="1:26" x14ac:dyDescent="0.3">
      <c r="A426" s="51"/>
      <c r="B426" s="102"/>
      <c r="C426" s="51"/>
      <c r="E426" s="51"/>
      <c r="F426" s="51"/>
      <c r="G426" s="51"/>
      <c r="H426" s="51"/>
      <c r="I426" s="51"/>
      <c r="J426" s="51"/>
      <c r="K426" s="51"/>
      <c r="L426" s="106"/>
      <c r="M426" s="51"/>
      <c r="N426" s="94"/>
      <c r="O426" s="51"/>
      <c r="P426" s="51"/>
      <c r="Q426" s="51"/>
      <c r="R426" s="51"/>
      <c r="S426" s="51"/>
      <c r="T426" s="51"/>
      <c r="U426" s="51"/>
      <c r="V426" s="51"/>
      <c r="W426" s="51"/>
      <c r="X426" s="51"/>
      <c r="Y426" s="51"/>
      <c r="Z426" s="51"/>
    </row>
    <row r="427" spans="1:26" x14ac:dyDescent="0.3">
      <c r="A427" s="51"/>
      <c r="B427" s="102"/>
      <c r="C427" s="51"/>
      <c r="E427" s="51"/>
      <c r="F427" s="51"/>
      <c r="G427" s="51"/>
      <c r="H427" s="51"/>
      <c r="I427" s="51"/>
      <c r="J427" s="51"/>
      <c r="K427" s="51"/>
      <c r="L427" s="106"/>
      <c r="M427" s="51"/>
      <c r="N427" s="94"/>
      <c r="O427" s="51"/>
      <c r="P427" s="51"/>
      <c r="Q427" s="51"/>
      <c r="R427" s="51"/>
      <c r="S427" s="51"/>
      <c r="T427" s="51"/>
      <c r="U427" s="51"/>
      <c r="V427" s="51"/>
      <c r="W427" s="51"/>
      <c r="X427" s="51"/>
      <c r="Y427" s="51"/>
      <c r="Z427" s="51"/>
    </row>
    <row r="428" spans="1:26" x14ac:dyDescent="0.3">
      <c r="A428" s="51"/>
      <c r="B428" s="102"/>
      <c r="C428" s="51"/>
      <c r="E428" s="51"/>
      <c r="F428" s="51"/>
      <c r="G428" s="51"/>
      <c r="H428" s="51"/>
      <c r="I428" s="51"/>
      <c r="J428" s="51"/>
      <c r="K428" s="51"/>
      <c r="L428" s="106"/>
      <c r="M428" s="51"/>
      <c r="N428" s="94"/>
      <c r="O428" s="51"/>
      <c r="P428" s="51"/>
      <c r="Q428" s="51"/>
      <c r="R428" s="51"/>
      <c r="S428" s="51"/>
      <c r="T428" s="51"/>
      <c r="U428" s="51"/>
      <c r="V428" s="51"/>
      <c r="W428" s="51"/>
      <c r="X428" s="51"/>
      <c r="Y428" s="51"/>
      <c r="Z428" s="51"/>
    </row>
    <row r="429" spans="1:26" x14ac:dyDescent="0.3">
      <c r="A429" s="51"/>
      <c r="B429" s="102"/>
      <c r="C429" s="51"/>
      <c r="E429" s="51"/>
      <c r="F429" s="51"/>
      <c r="G429" s="51"/>
      <c r="H429" s="51"/>
      <c r="I429" s="51"/>
      <c r="J429" s="51"/>
      <c r="K429" s="51"/>
      <c r="L429" s="106"/>
      <c r="M429" s="51"/>
      <c r="N429" s="94"/>
      <c r="O429" s="51"/>
      <c r="P429" s="51"/>
      <c r="Q429" s="51"/>
      <c r="R429" s="51"/>
      <c r="S429" s="51"/>
      <c r="T429" s="51"/>
      <c r="U429" s="51"/>
      <c r="V429" s="51"/>
      <c r="W429" s="51"/>
      <c r="X429" s="51"/>
      <c r="Y429" s="51"/>
      <c r="Z429" s="51"/>
    </row>
    <row r="430" spans="1:26" x14ac:dyDescent="0.3">
      <c r="A430" s="51"/>
      <c r="B430" s="102"/>
      <c r="C430" s="51"/>
      <c r="E430" s="51"/>
      <c r="F430" s="51"/>
      <c r="G430" s="51"/>
      <c r="H430" s="51"/>
      <c r="I430" s="51"/>
      <c r="J430" s="51"/>
      <c r="K430" s="51"/>
      <c r="L430" s="106"/>
      <c r="M430" s="51"/>
      <c r="N430" s="94"/>
      <c r="O430" s="51"/>
      <c r="P430" s="51"/>
      <c r="Q430" s="51"/>
      <c r="R430" s="51"/>
      <c r="S430" s="51"/>
      <c r="T430" s="51"/>
      <c r="U430" s="51"/>
      <c r="V430" s="51"/>
      <c r="W430" s="51"/>
      <c r="X430" s="51"/>
      <c r="Y430" s="51"/>
      <c r="Z430" s="51"/>
    </row>
    <row r="431" spans="1:26" x14ac:dyDescent="0.3">
      <c r="A431" s="51"/>
      <c r="B431" s="102"/>
      <c r="C431" s="51"/>
      <c r="E431" s="51"/>
      <c r="F431" s="51"/>
      <c r="G431" s="51"/>
      <c r="H431" s="51"/>
      <c r="I431" s="51"/>
      <c r="J431" s="51"/>
      <c r="K431" s="51"/>
      <c r="L431" s="106"/>
      <c r="M431" s="51"/>
      <c r="N431" s="94"/>
      <c r="O431" s="51"/>
      <c r="P431" s="51"/>
      <c r="Q431" s="51"/>
      <c r="R431" s="51"/>
      <c r="S431" s="51"/>
      <c r="T431" s="51"/>
      <c r="U431" s="51"/>
      <c r="V431" s="51"/>
      <c r="W431" s="51"/>
      <c r="X431" s="51"/>
      <c r="Y431" s="51"/>
      <c r="Z431" s="51"/>
    </row>
    <row r="432" spans="1:26" x14ac:dyDescent="0.3">
      <c r="A432" s="51"/>
      <c r="B432" s="102"/>
      <c r="C432" s="51"/>
      <c r="E432" s="51"/>
      <c r="F432" s="51"/>
      <c r="G432" s="51"/>
      <c r="H432" s="51"/>
      <c r="I432" s="51"/>
      <c r="J432" s="51"/>
      <c r="K432" s="51"/>
      <c r="L432" s="106"/>
      <c r="M432" s="51"/>
      <c r="N432" s="94"/>
      <c r="O432" s="51"/>
      <c r="P432" s="51"/>
      <c r="Q432" s="51"/>
      <c r="R432" s="51"/>
      <c r="S432" s="51"/>
      <c r="T432" s="51"/>
      <c r="U432" s="51"/>
      <c r="V432" s="51"/>
      <c r="W432" s="51"/>
      <c r="X432" s="51"/>
      <c r="Y432" s="51"/>
      <c r="Z432" s="51"/>
    </row>
    <row r="433" spans="1:26" x14ac:dyDescent="0.3">
      <c r="A433" s="51"/>
      <c r="B433" s="102"/>
      <c r="C433" s="51"/>
      <c r="E433" s="51"/>
      <c r="F433" s="51"/>
      <c r="G433" s="51"/>
      <c r="H433" s="51"/>
      <c r="I433" s="51"/>
      <c r="J433" s="51"/>
      <c r="K433" s="51"/>
      <c r="L433" s="106"/>
      <c r="M433" s="51"/>
      <c r="N433" s="94"/>
      <c r="O433" s="51"/>
      <c r="P433" s="51"/>
      <c r="Q433" s="51"/>
      <c r="R433" s="51"/>
      <c r="S433" s="51"/>
      <c r="T433" s="51"/>
      <c r="U433" s="51"/>
      <c r="V433" s="51"/>
      <c r="W433" s="51"/>
      <c r="X433" s="51"/>
      <c r="Y433" s="51"/>
      <c r="Z433" s="51"/>
    </row>
    <row r="434" spans="1:26" x14ac:dyDescent="0.3">
      <c r="A434" s="51"/>
      <c r="B434" s="102"/>
      <c r="C434" s="51"/>
      <c r="E434" s="51"/>
      <c r="F434" s="51"/>
      <c r="G434" s="51"/>
      <c r="H434" s="51"/>
      <c r="I434" s="51"/>
      <c r="J434" s="51"/>
      <c r="K434" s="51"/>
      <c r="L434" s="106"/>
      <c r="M434" s="51"/>
      <c r="N434" s="94"/>
      <c r="O434" s="51"/>
      <c r="P434" s="51"/>
      <c r="Q434" s="51"/>
      <c r="R434" s="51"/>
      <c r="S434" s="51"/>
      <c r="T434" s="51"/>
      <c r="U434" s="51"/>
      <c r="V434" s="51"/>
      <c r="W434" s="51"/>
      <c r="X434" s="51"/>
      <c r="Y434" s="51"/>
      <c r="Z434" s="51"/>
    </row>
    <row r="435" spans="1:26" x14ac:dyDescent="0.3">
      <c r="A435" s="51"/>
      <c r="B435" s="102"/>
      <c r="C435" s="51"/>
      <c r="E435" s="51"/>
      <c r="F435" s="51"/>
      <c r="G435" s="51"/>
      <c r="H435" s="51"/>
      <c r="I435" s="51"/>
      <c r="J435" s="51"/>
      <c r="K435" s="51"/>
      <c r="L435" s="106"/>
      <c r="M435" s="51"/>
      <c r="N435" s="94"/>
      <c r="O435" s="51"/>
      <c r="P435" s="51"/>
      <c r="Q435" s="51"/>
      <c r="R435" s="51"/>
      <c r="S435" s="51"/>
      <c r="T435" s="51"/>
      <c r="U435" s="51"/>
      <c r="V435" s="51"/>
      <c r="W435" s="51"/>
      <c r="X435" s="51"/>
      <c r="Y435" s="51"/>
      <c r="Z435" s="51"/>
    </row>
    <row r="436" spans="1:26" x14ac:dyDescent="0.3">
      <c r="A436" s="51"/>
      <c r="B436" s="102"/>
      <c r="C436" s="51"/>
      <c r="E436" s="51"/>
      <c r="F436" s="51"/>
      <c r="G436" s="51"/>
      <c r="H436" s="51"/>
      <c r="I436" s="51"/>
      <c r="J436" s="51"/>
      <c r="K436" s="51"/>
      <c r="L436" s="106"/>
      <c r="M436" s="51"/>
      <c r="N436" s="94"/>
      <c r="O436" s="51"/>
      <c r="P436" s="51"/>
      <c r="Q436" s="51"/>
      <c r="R436" s="51"/>
      <c r="S436" s="51"/>
      <c r="T436" s="51"/>
      <c r="U436" s="51"/>
      <c r="V436" s="51"/>
      <c r="W436" s="51"/>
      <c r="X436" s="51"/>
      <c r="Y436" s="51"/>
      <c r="Z436" s="51"/>
    </row>
    <row r="437" spans="1:26" x14ac:dyDescent="0.3">
      <c r="A437" s="51"/>
      <c r="B437" s="102"/>
      <c r="C437" s="51"/>
      <c r="E437" s="51"/>
      <c r="F437" s="51"/>
      <c r="G437" s="51"/>
      <c r="H437" s="51"/>
      <c r="I437" s="51"/>
      <c r="J437" s="51"/>
      <c r="K437" s="51"/>
      <c r="L437" s="106"/>
      <c r="M437" s="51"/>
      <c r="N437" s="94"/>
      <c r="O437" s="51"/>
      <c r="P437" s="51"/>
      <c r="Q437" s="51"/>
      <c r="R437" s="51"/>
      <c r="S437" s="51"/>
      <c r="T437" s="51"/>
      <c r="U437" s="51"/>
      <c r="V437" s="51"/>
      <c r="W437" s="51"/>
      <c r="X437" s="51"/>
      <c r="Y437" s="51"/>
      <c r="Z437" s="51"/>
    </row>
    <row r="438" spans="1:26" x14ac:dyDescent="0.3">
      <c r="A438" s="51"/>
      <c r="B438" s="102"/>
      <c r="C438" s="51"/>
      <c r="E438" s="51"/>
      <c r="F438" s="51"/>
      <c r="G438" s="51"/>
      <c r="H438" s="51"/>
      <c r="I438" s="51"/>
      <c r="J438" s="51"/>
      <c r="K438" s="51"/>
      <c r="L438" s="106"/>
      <c r="M438" s="51"/>
      <c r="N438" s="94"/>
      <c r="O438" s="51"/>
      <c r="P438" s="51"/>
      <c r="Q438" s="51"/>
      <c r="R438" s="51"/>
      <c r="S438" s="51"/>
      <c r="T438" s="51"/>
      <c r="U438" s="51"/>
      <c r="V438" s="51"/>
      <c r="W438" s="51"/>
      <c r="X438" s="51"/>
      <c r="Y438" s="51"/>
      <c r="Z438" s="51"/>
    </row>
    <row r="439" spans="1:26" x14ac:dyDescent="0.3">
      <c r="A439" s="51"/>
      <c r="B439" s="102"/>
      <c r="C439" s="51"/>
      <c r="E439" s="51"/>
      <c r="F439" s="51"/>
      <c r="G439" s="51"/>
      <c r="H439" s="51"/>
      <c r="I439" s="51"/>
      <c r="J439" s="51"/>
      <c r="K439" s="51"/>
      <c r="L439" s="106"/>
      <c r="M439" s="51"/>
      <c r="N439" s="94"/>
      <c r="O439" s="51"/>
      <c r="P439" s="51"/>
      <c r="Q439" s="51"/>
      <c r="R439" s="51"/>
      <c r="S439" s="51"/>
      <c r="T439" s="51"/>
      <c r="U439" s="51"/>
      <c r="V439" s="51"/>
      <c r="W439" s="51"/>
      <c r="X439" s="51"/>
      <c r="Y439" s="51"/>
      <c r="Z439" s="51"/>
    </row>
    <row r="440" spans="1:26" x14ac:dyDescent="0.3">
      <c r="A440" s="51"/>
      <c r="B440" s="102"/>
      <c r="C440" s="51"/>
      <c r="E440" s="51"/>
      <c r="F440" s="51"/>
      <c r="G440" s="51"/>
      <c r="H440" s="51"/>
      <c r="I440" s="51"/>
      <c r="J440" s="51"/>
      <c r="K440" s="51"/>
      <c r="L440" s="106"/>
      <c r="M440" s="51"/>
      <c r="N440" s="94"/>
      <c r="O440" s="51"/>
      <c r="P440" s="51"/>
      <c r="Q440" s="51"/>
      <c r="R440" s="51"/>
      <c r="S440" s="51"/>
      <c r="T440" s="51"/>
      <c r="U440" s="51"/>
      <c r="V440" s="51"/>
      <c r="W440" s="51"/>
      <c r="X440" s="51"/>
      <c r="Y440" s="51"/>
      <c r="Z440" s="51"/>
    </row>
    <row r="441" spans="1:26" x14ac:dyDescent="0.3">
      <c r="A441" s="51"/>
      <c r="B441" s="102"/>
      <c r="C441" s="51"/>
      <c r="E441" s="51"/>
      <c r="F441" s="51"/>
      <c r="G441" s="51"/>
      <c r="H441" s="51"/>
      <c r="I441" s="51"/>
      <c r="J441" s="51"/>
      <c r="K441" s="51"/>
      <c r="L441" s="106"/>
      <c r="M441" s="51"/>
      <c r="N441" s="94"/>
      <c r="O441" s="51"/>
      <c r="P441" s="51"/>
      <c r="Q441" s="51"/>
      <c r="R441" s="51"/>
      <c r="S441" s="51"/>
      <c r="T441" s="51"/>
      <c r="U441" s="51"/>
      <c r="V441" s="51"/>
      <c r="W441" s="51"/>
      <c r="X441" s="51"/>
      <c r="Y441" s="51"/>
      <c r="Z441" s="51"/>
    </row>
    <row r="442" spans="1:26" x14ac:dyDescent="0.3">
      <c r="A442" s="51"/>
      <c r="B442" s="102"/>
      <c r="C442" s="51"/>
      <c r="E442" s="51"/>
      <c r="F442" s="51"/>
      <c r="G442" s="51"/>
      <c r="H442" s="51"/>
      <c r="I442" s="51"/>
      <c r="J442" s="51"/>
      <c r="K442" s="51"/>
      <c r="L442" s="106"/>
      <c r="M442" s="51"/>
      <c r="N442" s="94"/>
      <c r="O442" s="51"/>
      <c r="P442" s="51"/>
      <c r="Q442" s="51"/>
      <c r="R442" s="51"/>
      <c r="S442" s="51"/>
      <c r="T442" s="51"/>
      <c r="U442" s="51"/>
      <c r="V442" s="51"/>
      <c r="W442" s="51"/>
      <c r="X442" s="51"/>
      <c r="Y442" s="51"/>
      <c r="Z442" s="51"/>
    </row>
    <row r="443" spans="1:26" x14ac:dyDescent="0.3">
      <c r="A443" s="51"/>
      <c r="B443" s="102"/>
      <c r="C443" s="51"/>
      <c r="E443" s="51"/>
      <c r="F443" s="51"/>
      <c r="G443" s="51"/>
      <c r="H443" s="51"/>
      <c r="I443" s="51"/>
      <c r="J443" s="51"/>
      <c r="K443" s="51"/>
      <c r="L443" s="106"/>
      <c r="M443" s="51"/>
      <c r="N443" s="94"/>
      <c r="O443" s="51"/>
      <c r="P443" s="51"/>
      <c r="Q443" s="51"/>
      <c r="R443" s="51"/>
      <c r="S443" s="51"/>
      <c r="T443" s="51"/>
      <c r="U443" s="51"/>
      <c r="V443" s="51"/>
      <c r="W443" s="51"/>
      <c r="X443" s="51"/>
      <c r="Y443" s="51"/>
      <c r="Z443" s="51"/>
    </row>
    <row r="444" spans="1:26" x14ac:dyDescent="0.3">
      <c r="A444" s="51"/>
      <c r="B444" s="102"/>
      <c r="C444" s="51"/>
      <c r="E444" s="51"/>
      <c r="F444" s="51"/>
      <c r="G444" s="51"/>
      <c r="H444" s="51"/>
      <c r="I444" s="51"/>
      <c r="J444" s="51"/>
      <c r="K444" s="51"/>
      <c r="L444" s="106"/>
      <c r="M444" s="51"/>
      <c r="N444" s="94"/>
      <c r="O444" s="51"/>
      <c r="P444" s="51"/>
      <c r="Q444" s="51"/>
      <c r="R444" s="51"/>
      <c r="S444" s="51"/>
      <c r="T444" s="51"/>
      <c r="U444" s="51"/>
      <c r="V444" s="51"/>
      <c r="W444" s="51"/>
      <c r="X444" s="51"/>
      <c r="Y444" s="51"/>
      <c r="Z444" s="51"/>
    </row>
    <row r="445" spans="1:26" x14ac:dyDescent="0.3">
      <c r="A445" s="51"/>
      <c r="B445" s="102"/>
      <c r="C445" s="51"/>
      <c r="E445" s="51"/>
      <c r="F445" s="51"/>
      <c r="G445" s="51"/>
      <c r="H445" s="51"/>
      <c r="I445" s="51"/>
      <c r="J445" s="51"/>
      <c r="K445" s="51"/>
      <c r="L445" s="106"/>
      <c r="M445" s="51"/>
      <c r="N445" s="94"/>
      <c r="O445" s="51"/>
      <c r="P445" s="51"/>
      <c r="Q445" s="51"/>
      <c r="R445" s="51"/>
      <c r="S445" s="51"/>
      <c r="T445" s="51"/>
      <c r="U445" s="51"/>
      <c r="V445" s="51"/>
      <c r="W445" s="51"/>
      <c r="X445" s="51"/>
      <c r="Y445" s="51"/>
      <c r="Z445" s="51"/>
    </row>
    <row r="446" spans="1:26" x14ac:dyDescent="0.3">
      <c r="A446" s="51"/>
      <c r="B446" s="102"/>
      <c r="C446" s="51"/>
      <c r="E446" s="51"/>
      <c r="F446" s="51"/>
      <c r="G446" s="51"/>
      <c r="H446" s="51"/>
      <c r="I446" s="51"/>
      <c r="J446" s="51"/>
      <c r="K446" s="51"/>
      <c r="L446" s="106"/>
      <c r="M446" s="51"/>
      <c r="N446" s="94"/>
      <c r="O446" s="51"/>
      <c r="P446" s="51"/>
      <c r="Q446" s="51"/>
      <c r="R446" s="51"/>
      <c r="S446" s="51"/>
      <c r="T446" s="51"/>
      <c r="U446" s="51"/>
      <c r="V446" s="51"/>
      <c r="W446" s="51"/>
      <c r="X446" s="51"/>
      <c r="Y446" s="51"/>
      <c r="Z446" s="51"/>
    </row>
    <row r="447" spans="1:26" x14ac:dyDescent="0.3">
      <c r="A447" s="51"/>
      <c r="B447" s="102"/>
      <c r="C447" s="51"/>
      <c r="E447" s="51"/>
      <c r="F447" s="51"/>
      <c r="G447" s="51"/>
      <c r="H447" s="51"/>
      <c r="I447" s="51"/>
      <c r="J447" s="51"/>
      <c r="K447" s="51"/>
      <c r="L447" s="106"/>
      <c r="M447" s="51"/>
      <c r="N447" s="94"/>
      <c r="O447" s="51"/>
      <c r="P447" s="51"/>
      <c r="Q447" s="51"/>
      <c r="R447" s="51"/>
      <c r="S447" s="51"/>
      <c r="T447" s="51"/>
      <c r="U447" s="51"/>
      <c r="V447" s="51"/>
      <c r="W447" s="51"/>
      <c r="X447" s="51"/>
      <c r="Y447" s="51"/>
      <c r="Z447" s="51"/>
    </row>
    <row r="448" spans="1:26" x14ac:dyDescent="0.3">
      <c r="A448" s="51"/>
      <c r="B448" s="102"/>
      <c r="C448" s="51"/>
      <c r="E448" s="51"/>
      <c r="F448" s="51"/>
      <c r="G448" s="51"/>
      <c r="H448" s="51"/>
      <c r="I448" s="51"/>
      <c r="J448" s="51"/>
      <c r="K448" s="51"/>
      <c r="L448" s="106"/>
      <c r="M448" s="51"/>
      <c r="N448" s="94"/>
      <c r="O448" s="51"/>
      <c r="P448" s="51"/>
      <c r="Q448" s="51"/>
      <c r="R448" s="51"/>
      <c r="S448" s="51"/>
      <c r="T448" s="51"/>
      <c r="U448" s="51"/>
      <c r="V448" s="51"/>
      <c r="W448" s="51"/>
      <c r="X448" s="51"/>
      <c r="Y448" s="51"/>
      <c r="Z448" s="51"/>
    </row>
    <row r="449" spans="1:26" x14ac:dyDescent="0.3">
      <c r="A449" s="51"/>
      <c r="B449" s="102"/>
      <c r="C449" s="51"/>
      <c r="E449" s="51"/>
      <c r="F449" s="51"/>
      <c r="G449" s="51"/>
      <c r="H449" s="51"/>
      <c r="I449" s="51"/>
      <c r="J449" s="51"/>
      <c r="K449" s="51"/>
      <c r="L449" s="106"/>
      <c r="M449" s="51"/>
      <c r="N449" s="94"/>
      <c r="O449" s="51"/>
      <c r="P449" s="51"/>
      <c r="Q449" s="51"/>
      <c r="R449" s="51"/>
      <c r="S449" s="51"/>
      <c r="T449" s="51"/>
      <c r="U449" s="51"/>
      <c r="V449" s="51"/>
      <c r="W449" s="51"/>
      <c r="X449" s="51"/>
      <c r="Y449" s="51"/>
      <c r="Z449" s="51"/>
    </row>
    <row r="450" spans="1:26" x14ac:dyDescent="0.3">
      <c r="A450" s="51"/>
      <c r="B450" s="102"/>
      <c r="C450" s="51"/>
      <c r="E450" s="51"/>
      <c r="F450" s="51"/>
      <c r="G450" s="51"/>
      <c r="H450" s="51"/>
      <c r="I450" s="51"/>
      <c r="J450" s="51"/>
      <c r="K450" s="51"/>
      <c r="L450" s="106"/>
      <c r="M450" s="51"/>
      <c r="N450" s="94"/>
      <c r="O450" s="51"/>
      <c r="P450" s="51"/>
      <c r="Q450" s="51"/>
      <c r="R450" s="51"/>
      <c r="S450" s="51"/>
      <c r="T450" s="51"/>
      <c r="U450" s="51"/>
      <c r="V450" s="51"/>
      <c r="W450" s="51"/>
      <c r="X450" s="51"/>
      <c r="Y450" s="51"/>
      <c r="Z450" s="51"/>
    </row>
    <row r="451" spans="1:26" x14ac:dyDescent="0.3">
      <c r="A451" s="51"/>
      <c r="B451" s="102"/>
      <c r="C451" s="51"/>
      <c r="E451" s="51"/>
      <c r="F451" s="51"/>
      <c r="G451" s="51"/>
      <c r="H451" s="51"/>
      <c r="I451" s="51"/>
      <c r="J451" s="51"/>
      <c r="K451" s="51"/>
      <c r="L451" s="106"/>
      <c r="M451" s="51"/>
      <c r="N451" s="94"/>
      <c r="O451" s="51"/>
      <c r="P451" s="51"/>
      <c r="Q451" s="51"/>
      <c r="R451" s="51"/>
      <c r="S451" s="51"/>
      <c r="T451" s="51"/>
      <c r="U451" s="51"/>
      <c r="V451" s="51"/>
      <c r="W451" s="51"/>
      <c r="X451" s="51"/>
      <c r="Y451" s="51"/>
      <c r="Z451" s="51"/>
    </row>
    <row r="452" spans="1:26" x14ac:dyDescent="0.3">
      <c r="A452" s="51"/>
      <c r="B452" s="102"/>
      <c r="C452" s="51"/>
      <c r="E452" s="51"/>
      <c r="F452" s="51"/>
      <c r="G452" s="51"/>
      <c r="H452" s="51"/>
      <c r="I452" s="51"/>
      <c r="J452" s="51"/>
      <c r="K452" s="51"/>
      <c r="L452" s="106"/>
      <c r="M452" s="51"/>
      <c r="N452" s="94"/>
      <c r="O452" s="51"/>
      <c r="P452" s="51"/>
      <c r="Q452" s="51"/>
      <c r="R452" s="51"/>
      <c r="S452" s="51"/>
      <c r="T452" s="51"/>
      <c r="U452" s="51"/>
      <c r="V452" s="51"/>
      <c r="W452" s="51"/>
      <c r="X452" s="51"/>
      <c r="Y452" s="51"/>
      <c r="Z452" s="51"/>
    </row>
    <row r="453" spans="1:26" x14ac:dyDescent="0.3">
      <c r="A453" s="51"/>
      <c r="B453" s="102"/>
      <c r="C453" s="51"/>
      <c r="E453" s="51"/>
      <c r="F453" s="51"/>
      <c r="G453" s="51"/>
      <c r="H453" s="51"/>
      <c r="I453" s="51"/>
      <c r="J453" s="51"/>
      <c r="K453" s="51"/>
      <c r="L453" s="106"/>
      <c r="M453" s="51"/>
      <c r="N453" s="94"/>
      <c r="O453" s="51"/>
      <c r="P453" s="51"/>
      <c r="Q453" s="51"/>
      <c r="R453" s="51"/>
      <c r="S453" s="51"/>
      <c r="T453" s="51"/>
      <c r="U453" s="51"/>
      <c r="V453" s="51"/>
      <c r="W453" s="51"/>
      <c r="X453" s="51"/>
      <c r="Y453" s="51"/>
      <c r="Z453" s="51"/>
    </row>
    <row r="454" spans="1:26" x14ac:dyDescent="0.3">
      <c r="A454" s="51"/>
      <c r="B454" s="102"/>
      <c r="C454" s="51"/>
      <c r="E454" s="51"/>
      <c r="F454" s="51"/>
      <c r="G454" s="51"/>
      <c r="H454" s="51"/>
      <c r="I454" s="51"/>
      <c r="J454" s="51"/>
      <c r="K454" s="51"/>
      <c r="L454" s="106"/>
      <c r="M454" s="51"/>
      <c r="N454" s="94"/>
      <c r="O454" s="51"/>
      <c r="P454" s="51"/>
      <c r="Q454" s="51"/>
      <c r="R454" s="51"/>
      <c r="S454" s="51"/>
      <c r="T454" s="51"/>
      <c r="U454" s="51"/>
      <c r="V454" s="51"/>
      <c r="W454" s="51"/>
      <c r="X454" s="51"/>
      <c r="Y454" s="51"/>
      <c r="Z454" s="51"/>
    </row>
    <row r="455" spans="1:26" x14ac:dyDescent="0.3">
      <c r="A455" s="51"/>
      <c r="B455" s="102"/>
      <c r="C455" s="51"/>
      <c r="E455" s="51"/>
      <c r="F455" s="51"/>
      <c r="G455" s="51"/>
      <c r="H455" s="51"/>
      <c r="I455" s="51"/>
      <c r="J455" s="51"/>
      <c r="K455" s="51"/>
      <c r="L455" s="106"/>
      <c r="M455" s="51"/>
      <c r="N455" s="94"/>
      <c r="O455" s="51"/>
      <c r="P455" s="51"/>
      <c r="Q455" s="51"/>
      <c r="R455" s="51"/>
      <c r="S455" s="51"/>
      <c r="T455" s="51"/>
      <c r="U455" s="51"/>
      <c r="V455" s="51"/>
      <c r="W455" s="51"/>
      <c r="X455" s="51"/>
      <c r="Y455" s="51"/>
      <c r="Z455" s="51"/>
    </row>
    <row r="456" spans="1:26" x14ac:dyDescent="0.3">
      <c r="A456" s="51"/>
      <c r="B456" s="102"/>
      <c r="C456" s="51"/>
      <c r="E456" s="51"/>
      <c r="F456" s="51"/>
      <c r="G456" s="51"/>
      <c r="H456" s="51"/>
      <c r="I456" s="51"/>
      <c r="J456" s="51"/>
      <c r="K456" s="51"/>
      <c r="L456" s="106"/>
      <c r="M456" s="51"/>
      <c r="N456" s="94"/>
      <c r="O456" s="51"/>
      <c r="P456" s="51"/>
      <c r="Q456" s="51"/>
      <c r="R456" s="51"/>
      <c r="S456" s="51"/>
      <c r="T456" s="51"/>
      <c r="U456" s="51"/>
      <c r="V456" s="51"/>
      <c r="W456" s="51"/>
      <c r="X456" s="51"/>
      <c r="Y456" s="51"/>
      <c r="Z456" s="51"/>
    </row>
    <row r="457" spans="1:26" x14ac:dyDescent="0.3">
      <c r="A457" s="51"/>
      <c r="B457" s="102"/>
      <c r="C457" s="51"/>
      <c r="E457" s="51"/>
      <c r="F457" s="51"/>
      <c r="G457" s="51"/>
      <c r="H457" s="51"/>
      <c r="I457" s="51"/>
      <c r="J457" s="51"/>
      <c r="K457" s="51"/>
      <c r="L457" s="106"/>
      <c r="M457" s="51"/>
      <c r="N457" s="94"/>
      <c r="O457" s="51"/>
      <c r="P457" s="51"/>
      <c r="Q457" s="51"/>
      <c r="R457" s="51"/>
      <c r="S457" s="51"/>
      <c r="T457" s="51"/>
      <c r="U457" s="51"/>
      <c r="V457" s="51"/>
      <c r="W457" s="51"/>
      <c r="X457" s="51"/>
      <c r="Y457" s="51"/>
      <c r="Z457" s="51"/>
    </row>
    <row r="458" spans="1:26" x14ac:dyDescent="0.3">
      <c r="A458" s="51"/>
      <c r="B458" s="102"/>
      <c r="C458" s="51"/>
      <c r="E458" s="51"/>
      <c r="F458" s="51"/>
      <c r="G458" s="51"/>
      <c r="H458" s="51"/>
      <c r="I458" s="51"/>
      <c r="J458" s="51"/>
      <c r="K458" s="51"/>
      <c r="L458" s="106"/>
      <c r="M458" s="51"/>
      <c r="N458" s="94"/>
      <c r="O458" s="51"/>
      <c r="P458" s="51"/>
      <c r="Q458" s="51"/>
      <c r="R458" s="51"/>
      <c r="S458" s="51"/>
      <c r="T458" s="51"/>
      <c r="U458" s="51"/>
      <c r="V458" s="51"/>
      <c r="W458" s="51"/>
      <c r="X458" s="51"/>
      <c r="Y458" s="51"/>
      <c r="Z458" s="51"/>
    </row>
    <row r="459" spans="1:26" x14ac:dyDescent="0.3">
      <c r="A459" s="51"/>
      <c r="B459" s="102"/>
      <c r="C459" s="51"/>
      <c r="E459" s="51"/>
      <c r="F459" s="51"/>
      <c r="G459" s="51"/>
      <c r="H459" s="51"/>
      <c r="I459" s="51"/>
      <c r="J459" s="51"/>
      <c r="K459" s="51"/>
      <c r="L459" s="106"/>
      <c r="M459" s="51"/>
      <c r="N459" s="94"/>
      <c r="O459" s="51"/>
      <c r="P459" s="51"/>
      <c r="Q459" s="51"/>
      <c r="R459" s="51"/>
      <c r="S459" s="51"/>
      <c r="T459" s="51"/>
      <c r="U459" s="51"/>
      <c r="V459" s="51"/>
      <c r="W459" s="51"/>
      <c r="X459" s="51"/>
      <c r="Y459" s="51"/>
      <c r="Z459" s="51"/>
    </row>
    <row r="460" spans="1:26" x14ac:dyDescent="0.3">
      <c r="A460" s="51"/>
      <c r="B460" s="102"/>
      <c r="C460" s="51"/>
      <c r="E460" s="51"/>
      <c r="F460" s="51"/>
      <c r="G460" s="51"/>
      <c r="H460" s="51"/>
      <c r="I460" s="51"/>
      <c r="J460" s="51"/>
      <c r="K460" s="51"/>
      <c r="L460" s="106"/>
      <c r="M460" s="51"/>
      <c r="N460" s="94"/>
      <c r="O460" s="51"/>
      <c r="P460" s="51"/>
      <c r="Q460" s="51"/>
      <c r="R460" s="51"/>
      <c r="S460" s="51"/>
      <c r="T460" s="51"/>
      <c r="U460" s="51"/>
      <c r="V460" s="51"/>
      <c r="W460" s="51"/>
      <c r="X460" s="51"/>
      <c r="Y460" s="51"/>
      <c r="Z460" s="51"/>
    </row>
    <row r="461" spans="1:26" x14ac:dyDescent="0.3">
      <c r="A461" s="51"/>
      <c r="B461" s="102"/>
      <c r="C461" s="51"/>
      <c r="E461" s="51"/>
      <c r="F461" s="51"/>
      <c r="G461" s="51"/>
      <c r="H461" s="51"/>
      <c r="I461" s="51"/>
      <c r="J461" s="51"/>
      <c r="K461" s="51"/>
      <c r="L461" s="106"/>
      <c r="M461" s="51"/>
      <c r="N461" s="94"/>
      <c r="O461" s="51"/>
      <c r="P461" s="51"/>
      <c r="Q461" s="51"/>
      <c r="R461" s="51"/>
      <c r="S461" s="51"/>
      <c r="T461" s="51"/>
      <c r="U461" s="51"/>
      <c r="V461" s="51"/>
      <c r="W461" s="51"/>
      <c r="X461" s="51"/>
      <c r="Y461" s="51"/>
      <c r="Z461" s="51"/>
    </row>
    <row r="462" spans="1:26" x14ac:dyDescent="0.3">
      <c r="A462" s="51"/>
      <c r="B462" s="102"/>
      <c r="C462" s="51"/>
      <c r="E462" s="51"/>
      <c r="F462" s="51"/>
      <c r="G462" s="51"/>
      <c r="H462" s="51"/>
      <c r="I462" s="51"/>
      <c r="J462" s="51"/>
      <c r="K462" s="51"/>
      <c r="L462" s="106"/>
      <c r="M462" s="51"/>
      <c r="N462" s="94"/>
      <c r="O462" s="51"/>
      <c r="P462" s="51"/>
      <c r="Q462" s="51"/>
      <c r="R462" s="51"/>
      <c r="S462" s="51"/>
      <c r="T462" s="51"/>
      <c r="U462" s="51"/>
      <c r="V462" s="51"/>
      <c r="W462" s="51"/>
      <c r="X462" s="51"/>
      <c r="Y462" s="51"/>
      <c r="Z462" s="51"/>
    </row>
    <row r="463" spans="1:26" x14ac:dyDescent="0.3">
      <c r="A463" s="51"/>
      <c r="B463" s="102"/>
      <c r="C463" s="51"/>
      <c r="E463" s="51"/>
      <c r="F463" s="51"/>
      <c r="G463" s="51"/>
      <c r="H463" s="51"/>
      <c r="I463" s="51"/>
      <c r="J463" s="51"/>
      <c r="K463" s="51"/>
      <c r="L463" s="106"/>
      <c r="M463" s="51"/>
      <c r="N463" s="94"/>
      <c r="O463" s="51"/>
      <c r="P463" s="51"/>
      <c r="Q463" s="51"/>
      <c r="R463" s="51"/>
      <c r="S463" s="51"/>
      <c r="T463" s="51"/>
      <c r="U463" s="51"/>
      <c r="V463" s="51"/>
      <c r="W463" s="51"/>
      <c r="X463" s="51"/>
      <c r="Y463" s="51"/>
      <c r="Z463" s="51"/>
    </row>
    <row r="464" spans="1:26" x14ac:dyDescent="0.3">
      <c r="A464" s="51"/>
      <c r="B464" s="102"/>
      <c r="C464" s="51"/>
      <c r="E464" s="51"/>
      <c r="F464" s="51"/>
      <c r="G464" s="51"/>
      <c r="H464" s="51"/>
      <c r="I464" s="51"/>
      <c r="J464" s="51"/>
      <c r="K464" s="51"/>
      <c r="L464" s="106"/>
      <c r="M464" s="51"/>
      <c r="N464" s="94"/>
      <c r="O464" s="51"/>
      <c r="P464" s="51"/>
      <c r="Q464" s="51"/>
      <c r="R464" s="51"/>
      <c r="S464" s="51"/>
      <c r="T464" s="51"/>
      <c r="U464" s="51"/>
      <c r="V464" s="51"/>
      <c r="W464" s="51"/>
      <c r="X464" s="51"/>
      <c r="Y464" s="51"/>
      <c r="Z464" s="51"/>
    </row>
    <row r="465" spans="1:26" x14ac:dyDescent="0.3">
      <c r="A465" s="51"/>
      <c r="B465" s="102"/>
      <c r="C465" s="51"/>
      <c r="E465" s="51"/>
      <c r="F465" s="51"/>
      <c r="G465" s="51"/>
      <c r="H465" s="51"/>
      <c r="I465" s="51"/>
      <c r="J465" s="51"/>
      <c r="K465" s="51"/>
      <c r="L465" s="106"/>
      <c r="M465" s="51"/>
      <c r="N465" s="94"/>
      <c r="O465" s="51"/>
      <c r="P465" s="51"/>
      <c r="Q465" s="51"/>
      <c r="R465" s="51"/>
      <c r="S465" s="51"/>
      <c r="T465" s="51"/>
      <c r="U465" s="51"/>
      <c r="V465" s="51"/>
      <c r="W465" s="51"/>
      <c r="X465" s="51"/>
      <c r="Y465" s="51"/>
      <c r="Z465" s="51"/>
    </row>
    <row r="466" spans="1:26" x14ac:dyDescent="0.3">
      <c r="A466" s="51"/>
      <c r="B466" s="102"/>
      <c r="C466" s="51"/>
      <c r="E466" s="51"/>
      <c r="F466" s="51"/>
      <c r="G466" s="51"/>
      <c r="H466" s="51"/>
      <c r="I466" s="51"/>
      <c r="J466" s="51"/>
      <c r="K466" s="51"/>
      <c r="L466" s="106"/>
      <c r="M466" s="51"/>
      <c r="N466" s="94"/>
      <c r="O466" s="51"/>
      <c r="P466" s="51"/>
      <c r="Q466" s="51"/>
      <c r="R466" s="51"/>
      <c r="S466" s="51"/>
      <c r="T466" s="51"/>
      <c r="U466" s="51"/>
      <c r="V466" s="51"/>
      <c r="W466" s="51"/>
      <c r="X466" s="51"/>
      <c r="Y466" s="51"/>
      <c r="Z466" s="51"/>
    </row>
    <row r="467" spans="1:26" x14ac:dyDescent="0.3">
      <c r="A467" s="51"/>
      <c r="B467" s="102"/>
      <c r="C467" s="51"/>
      <c r="E467" s="51"/>
      <c r="F467" s="51"/>
      <c r="G467" s="51"/>
      <c r="H467" s="51"/>
      <c r="I467" s="51"/>
      <c r="J467" s="51"/>
      <c r="K467" s="51"/>
      <c r="L467" s="106"/>
      <c r="M467" s="51"/>
      <c r="N467" s="94"/>
      <c r="O467" s="51"/>
      <c r="P467" s="51"/>
      <c r="Q467" s="51"/>
      <c r="R467" s="51"/>
      <c r="S467" s="51"/>
      <c r="T467" s="51"/>
      <c r="U467" s="51"/>
      <c r="V467" s="51"/>
      <c r="W467" s="51"/>
      <c r="X467" s="51"/>
      <c r="Y467" s="51"/>
      <c r="Z467" s="51"/>
    </row>
    <row r="468" spans="1:26" x14ac:dyDescent="0.3">
      <c r="A468" s="51"/>
      <c r="B468" s="102"/>
      <c r="C468" s="51"/>
      <c r="E468" s="51"/>
      <c r="F468" s="51"/>
      <c r="G468" s="51"/>
      <c r="H468" s="51"/>
      <c r="I468" s="51"/>
      <c r="J468" s="51"/>
      <c r="K468" s="51"/>
      <c r="L468" s="106"/>
      <c r="M468" s="51"/>
      <c r="N468" s="94"/>
      <c r="O468" s="51"/>
      <c r="P468" s="51"/>
      <c r="Q468" s="51"/>
      <c r="R468" s="51"/>
      <c r="S468" s="51"/>
      <c r="T468" s="51"/>
      <c r="U468" s="51"/>
      <c r="V468" s="51"/>
      <c r="W468" s="51"/>
      <c r="X468" s="51"/>
      <c r="Y468" s="51"/>
      <c r="Z468" s="51"/>
    </row>
    <row r="469" spans="1:26" x14ac:dyDescent="0.3">
      <c r="A469" s="51"/>
      <c r="B469" s="102"/>
      <c r="C469" s="51"/>
      <c r="E469" s="51"/>
      <c r="F469" s="51"/>
      <c r="G469" s="51"/>
      <c r="H469" s="51"/>
      <c r="I469" s="51"/>
      <c r="J469" s="51"/>
      <c r="K469" s="51"/>
      <c r="L469" s="106"/>
      <c r="M469" s="51"/>
      <c r="N469" s="94"/>
      <c r="O469" s="51"/>
      <c r="P469" s="51"/>
      <c r="Q469" s="51"/>
      <c r="R469" s="51"/>
      <c r="S469" s="51"/>
      <c r="T469" s="51"/>
      <c r="U469" s="51"/>
      <c r="V469" s="51"/>
      <c r="W469" s="51"/>
      <c r="X469" s="51"/>
      <c r="Y469" s="51"/>
      <c r="Z469" s="51"/>
    </row>
    <row r="470" spans="1:26" x14ac:dyDescent="0.3">
      <c r="A470" s="51"/>
      <c r="B470" s="102"/>
      <c r="C470" s="51"/>
      <c r="E470" s="51"/>
      <c r="F470" s="51"/>
      <c r="G470" s="51"/>
      <c r="H470" s="51"/>
      <c r="I470" s="51"/>
      <c r="J470" s="51"/>
      <c r="K470" s="51"/>
      <c r="L470" s="106"/>
      <c r="M470" s="51"/>
      <c r="N470" s="94"/>
      <c r="O470" s="51"/>
      <c r="P470" s="51"/>
      <c r="Q470" s="51"/>
      <c r="R470" s="51"/>
      <c r="S470" s="51"/>
      <c r="T470" s="51"/>
      <c r="U470" s="51"/>
      <c r="V470" s="51"/>
      <c r="W470" s="51"/>
      <c r="X470" s="51"/>
      <c r="Y470" s="51"/>
      <c r="Z470" s="51"/>
    </row>
    <row r="471" spans="1:26" x14ac:dyDescent="0.3">
      <c r="A471" s="51"/>
      <c r="B471" s="102"/>
      <c r="C471" s="51"/>
      <c r="E471" s="51"/>
      <c r="F471" s="51"/>
      <c r="G471" s="51"/>
      <c r="H471" s="51"/>
      <c r="I471" s="51"/>
      <c r="J471" s="51"/>
      <c r="K471" s="51"/>
      <c r="L471" s="106"/>
      <c r="M471" s="51"/>
      <c r="N471" s="94"/>
      <c r="O471" s="51"/>
      <c r="P471" s="51"/>
      <c r="Q471" s="51"/>
      <c r="R471" s="51"/>
      <c r="S471" s="51"/>
      <c r="T471" s="51"/>
      <c r="U471" s="51"/>
      <c r="V471" s="51"/>
      <c r="W471" s="51"/>
      <c r="X471" s="51"/>
      <c r="Y471" s="51"/>
      <c r="Z471" s="51"/>
    </row>
    <row r="472" spans="1:26" x14ac:dyDescent="0.3">
      <c r="A472" s="51"/>
      <c r="B472" s="102"/>
      <c r="C472" s="51"/>
      <c r="E472" s="51"/>
      <c r="F472" s="51"/>
      <c r="G472" s="51"/>
      <c r="H472" s="51"/>
      <c r="I472" s="51"/>
      <c r="J472" s="51"/>
      <c r="K472" s="51"/>
      <c r="L472" s="106"/>
      <c r="M472" s="51"/>
      <c r="N472" s="94"/>
      <c r="O472" s="51"/>
      <c r="P472" s="51"/>
      <c r="Q472" s="51"/>
      <c r="R472" s="51"/>
      <c r="S472" s="51"/>
      <c r="T472" s="51"/>
      <c r="U472" s="51"/>
      <c r="V472" s="51"/>
      <c r="W472" s="51"/>
      <c r="X472" s="51"/>
      <c r="Y472" s="51"/>
      <c r="Z472" s="51"/>
    </row>
    <row r="473" spans="1:26" x14ac:dyDescent="0.3">
      <c r="A473" s="51"/>
      <c r="B473" s="102"/>
      <c r="C473" s="51"/>
      <c r="E473" s="51"/>
      <c r="F473" s="51"/>
      <c r="G473" s="51"/>
      <c r="H473" s="51"/>
      <c r="I473" s="51"/>
      <c r="J473" s="51"/>
      <c r="K473" s="51"/>
      <c r="L473" s="106"/>
      <c r="M473" s="51"/>
      <c r="N473" s="94"/>
      <c r="O473" s="51"/>
      <c r="P473" s="51"/>
      <c r="Q473" s="51"/>
      <c r="R473" s="51"/>
      <c r="S473" s="51"/>
      <c r="T473" s="51"/>
      <c r="U473" s="51"/>
      <c r="V473" s="51"/>
      <c r="W473" s="51"/>
      <c r="X473" s="51"/>
      <c r="Y473" s="51"/>
      <c r="Z473" s="51"/>
    </row>
    <row r="474" spans="1:26" x14ac:dyDescent="0.3">
      <c r="A474" s="51"/>
      <c r="B474" s="102"/>
      <c r="C474" s="51"/>
      <c r="E474" s="51"/>
      <c r="F474" s="51"/>
      <c r="G474" s="51"/>
      <c r="H474" s="51"/>
      <c r="I474" s="51"/>
      <c r="J474" s="51"/>
      <c r="K474" s="51"/>
      <c r="L474" s="106"/>
      <c r="M474" s="51"/>
      <c r="N474" s="94"/>
      <c r="O474" s="51"/>
      <c r="P474" s="51"/>
      <c r="Q474" s="51"/>
      <c r="R474" s="51"/>
      <c r="S474" s="51"/>
      <c r="T474" s="51"/>
      <c r="U474" s="51"/>
      <c r="V474" s="51"/>
      <c r="W474" s="51"/>
      <c r="X474" s="51"/>
      <c r="Y474" s="51"/>
      <c r="Z474" s="51"/>
    </row>
    <row r="475" spans="1:26" x14ac:dyDescent="0.3">
      <c r="A475" s="51"/>
      <c r="B475" s="102"/>
      <c r="C475" s="51"/>
      <c r="E475" s="51"/>
      <c r="F475" s="51"/>
      <c r="G475" s="51"/>
      <c r="H475" s="51"/>
      <c r="I475" s="51"/>
      <c r="J475" s="51"/>
      <c r="K475" s="51"/>
      <c r="L475" s="106"/>
      <c r="M475" s="51"/>
      <c r="N475" s="94"/>
      <c r="O475" s="51"/>
      <c r="P475" s="51"/>
      <c r="Q475" s="51"/>
      <c r="R475" s="51"/>
      <c r="S475" s="51"/>
      <c r="T475" s="51"/>
      <c r="U475" s="51"/>
      <c r="V475" s="51"/>
      <c r="W475" s="51"/>
      <c r="X475" s="51"/>
      <c r="Y475" s="51"/>
      <c r="Z475" s="51"/>
    </row>
    <row r="476" spans="1:26" x14ac:dyDescent="0.3">
      <c r="A476" s="51"/>
      <c r="B476" s="102"/>
      <c r="C476" s="51"/>
      <c r="E476" s="51"/>
      <c r="F476" s="51"/>
      <c r="G476" s="51"/>
      <c r="H476" s="51"/>
      <c r="I476" s="51"/>
      <c r="J476" s="51"/>
      <c r="K476" s="51"/>
      <c r="L476" s="106"/>
      <c r="M476" s="51"/>
      <c r="N476" s="94"/>
      <c r="O476" s="51"/>
      <c r="P476" s="51"/>
      <c r="Q476" s="51"/>
      <c r="R476" s="51"/>
      <c r="S476" s="51"/>
      <c r="T476" s="51"/>
      <c r="U476" s="51"/>
      <c r="V476" s="51"/>
      <c r="W476" s="51"/>
      <c r="X476" s="51"/>
      <c r="Y476" s="51"/>
      <c r="Z476" s="51"/>
    </row>
    <row r="477" spans="1:26" x14ac:dyDescent="0.3">
      <c r="A477" s="51"/>
      <c r="B477" s="102"/>
      <c r="C477" s="51"/>
      <c r="E477" s="51"/>
      <c r="F477" s="51"/>
      <c r="G477" s="51"/>
      <c r="H477" s="51"/>
      <c r="I477" s="51"/>
      <c r="J477" s="51"/>
      <c r="K477" s="51"/>
      <c r="L477" s="106"/>
      <c r="M477" s="51"/>
      <c r="N477" s="94"/>
      <c r="O477" s="51"/>
      <c r="P477" s="51"/>
      <c r="Q477" s="51"/>
      <c r="R477" s="51"/>
      <c r="S477" s="51"/>
      <c r="T477" s="51"/>
      <c r="U477" s="51"/>
      <c r="V477" s="51"/>
      <c r="W477" s="51"/>
      <c r="X477" s="51"/>
      <c r="Y477" s="51"/>
      <c r="Z477" s="51"/>
    </row>
    <row r="478" spans="1:26" x14ac:dyDescent="0.3">
      <c r="A478" s="51"/>
      <c r="B478" s="102"/>
      <c r="C478" s="51"/>
      <c r="E478" s="51"/>
      <c r="F478" s="51"/>
      <c r="G478" s="51"/>
      <c r="H478" s="51"/>
      <c r="I478" s="51"/>
      <c r="J478" s="51"/>
      <c r="K478" s="51"/>
      <c r="L478" s="106"/>
      <c r="M478" s="51"/>
      <c r="N478" s="94"/>
      <c r="O478" s="51"/>
      <c r="P478" s="51"/>
      <c r="Q478" s="51"/>
      <c r="R478" s="51"/>
      <c r="S478" s="51"/>
      <c r="T478" s="51"/>
      <c r="U478" s="51"/>
      <c r="V478" s="51"/>
      <c r="W478" s="51"/>
      <c r="X478" s="51"/>
      <c r="Y478" s="51"/>
      <c r="Z478" s="51"/>
    </row>
    <row r="479" spans="1:26" x14ac:dyDescent="0.3">
      <c r="A479" s="51"/>
      <c r="B479" s="102"/>
      <c r="C479" s="51"/>
      <c r="E479" s="51"/>
      <c r="F479" s="51"/>
      <c r="G479" s="51"/>
      <c r="H479" s="51"/>
      <c r="I479" s="51"/>
      <c r="J479" s="51"/>
      <c r="K479" s="51"/>
      <c r="L479" s="106"/>
      <c r="M479" s="51"/>
      <c r="N479" s="94"/>
      <c r="O479" s="51"/>
      <c r="P479" s="51"/>
      <c r="Q479" s="51"/>
      <c r="R479" s="51"/>
      <c r="S479" s="51"/>
      <c r="T479" s="51"/>
      <c r="U479" s="51"/>
      <c r="V479" s="51"/>
      <c r="W479" s="51"/>
      <c r="X479" s="51"/>
      <c r="Y479" s="51"/>
      <c r="Z479" s="51"/>
    </row>
    <row r="480" spans="1:26" x14ac:dyDescent="0.3">
      <c r="A480" s="51"/>
      <c r="B480" s="102"/>
      <c r="C480" s="51"/>
      <c r="E480" s="51"/>
      <c r="F480" s="51"/>
      <c r="G480" s="51"/>
      <c r="H480" s="51"/>
      <c r="I480" s="51"/>
      <c r="J480" s="51"/>
      <c r="K480" s="51"/>
      <c r="L480" s="106"/>
      <c r="M480" s="51"/>
      <c r="N480" s="94"/>
      <c r="O480" s="51"/>
      <c r="P480" s="51"/>
      <c r="Q480" s="51"/>
      <c r="R480" s="51"/>
      <c r="S480" s="51"/>
      <c r="T480" s="51"/>
      <c r="U480" s="51"/>
      <c r="V480" s="51"/>
      <c r="W480" s="51"/>
      <c r="X480" s="51"/>
      <c r="Y480" s="51"/>
      <c r="Z480" s="51"/>
    </row>
    <row r="481" spans="1:26" x14ac:dyDescent="0.3">
      <c r="A481" s="51"/>
      <c r="B481" s="102"/>
      <c r="C481" s="51"/>
      <c r="E481" s="51"/>
      <c r="F481" s="51"/>
      <c r="G481" s="51"/>
      <c r="H481" s="51"/>
      <c r="I481" s="51"/>
      <c r="J481" s="51"/>
      <c r="K481" s="51"/>
      <c r="L481" s="106"/>
      <c r="M481" s="51"/>
      <c r="N481" s="94"/>
      <c r="O481" s="51"/>
      <c r="P481" s="51"/>
      <c r="Q481" s="51"/>
      <c r="R481" s="51"/>
      <c r="S481" s="51"/>
      <c r="T481" s="51"/>
      <c r="U481" s="51"/>
      <c r="V481" s="51"/>
      <c r="W481" s="51"/>
      <c r="X481" s="51"/>
      <c r="Y481" s="51"/>
      <c r="Z481" s="51"/>
    </row>
    <row r="482" spans="1:26" x14ac:dyDescent="0.3">
      <c r="A482" s="51"/>
      <c r="B482" s="102"/>
      <c r="C482" s="51"/>
      <c r="E482" s="51"/>
      <c r="F482" s="51"/>
      <c r="G482" s="51"/>
      <c r="H482" s="51"/>
      <c r="I482" s="51"/>
      <c r="J482" s="51"/>
      <c r="K482" s="51"/>
      <c r="L482" s="106"/>
      <c r="M482" s="51"/>
      <c r="N482" s="94"/>
      <c r="O482" s="51"/>
      <c r="P482" s="51"/>
      <c r="Q482" s="51"/>
      <c r="R482" s="51"/>
      <c r="S482" s="51"/>
      <c r="T482" s="51"/>
      <c r="U482" s="51"/>
      <c r="V482" s="51"/>
      <c r="W482" s="51"/>
      <c r="X482" s="51"/>
      <c r="Y482" s="51"/>
      <c r="Z482" s="51"/>
    </row>
    <row r="483" spans="1:26" x14ac:dyDescent="0.3">
      <c r="A483" s="51"/>
      <c r="B483" s="102"/>
      <c r="C483" s="51"/>
      <c r="E483" s="51"/>
      <c r="F483" s="51"/>
      <c r="G483" s="51"/>
      <c r="H483" s="51"/>
      <c r="I483" s="51"/>
      <c r="J483" s="51"/>
      <c r="K483" s="51"/>
      <c r="L483" s="106"/>
      <c r="M483" s="51"/>
      <c r="N483" s="94"/>
      <c r="O483" s="51"/>
      <c r="P483" s="51"/>
      <c r="Q483" s="51"/>
      <c r="R483" s="51"/>
      <c r="S483" s="51"/>
      <c r="T483" s="51"/>
      <c r="U483" s="51"/>
      <c r="V483" s="51"/>
      <c r="W483" s="51"/>
      <c r="X483" s="51"/>
      <c r="Y483" s="51"/>
      <c r="Z483" s="51"/>
    </row>
    <row r="484" spans="1:26" x14ac:dyDescent="0.3">
      <c r="A484" s="51"/>
      <c r="B484" s="102"/>
      <c r="C484" s="51"/>
      <c r="E484" s="51"/>
      <c r="F484" s="51"/>
      <c r="G484" s="51"/>
      <c r="H484" s="51"/>
      <c r="I484" s="51"/>
      <c r="J484" s="51"/>
      <c r="K484" s="51"/>
      <c r="L484" s="106"/>
      <c r="M484" s="51"/>
      <c r="N484" s="94"/>
      <c r="O484" s="51"/>
      <c r="P484" s="51"/>
      <c r="Q484" s="51"/>
      <c r="R484" s="51"/>
      <c r="S484" s="51"/>
      <c r="T484" s="51"/>
      <c r="U484" s="51"/>
      <c r="V484" s="51"/>
      <c r="W484" s="51"/>
      <c r="X484" s="51"/>
      <c r="Y484" s="51"/>
      <c r="Z484" s="51"/>
    </row>
    <row r="485" spans="1:26" x14ac:dyDescent="0.3">
      <c r="A485" s="51"/>
      <c r="B485" s="102"/>
      <c r="C485" s="51"/>
      <c r="E485" s="51"/>
      <c r="F485" s="51"/>
      <c r="G485" s="51"/>
      <c r="H485" s="51"/>
      <c r="I485" s="51"/>
      <c r="J485" s="51"/>
      <c r="K485" s="51"/>
      <c r="L485" s="106"/>
      <c r="M485" s="51"/>
      <c r="N485" s="94"/>
      <c r="O485" s="51"/>
      <c r="P485" s="51"/>
      <c r="Q485" s="51"/>
      <c r="R485" s="51"/>
      <c r="S485" s="51"/>
      <c r="T485" s="51"/>
      <c r="U485" s="51"/>
      <c r="V485" s="51"/>
      <c r="W485" s="51"/>
      <c r="X485" s="51"/>
      <c r="Y485" s="51"/>
      <c r="Z485" s="51"/>
    </row>
    <row r="486" spans="1:26" x14ac:dyDescent="0.3">
      <c r="A486" s="51"/>
      <c r="B486" s="102"/>
      <c r="C486" s="51"/>
      <c r="E486" s="51"/>
      <c r="F486" s="51"/>
      <c r="G486" s="51"/>
      <c r="H486" s="51"/>
      <c r="I486" s="51"/>
      <c r="J486" s="51"/>
      <c r="K486" s="51"/>
      <c r="L486" s="106"/>
      <c r="M486" s="51"/>
      <c r="N486" s="94"/>
      <c r="O486" s="51"/>
      <c r="P486" s="51"/>
      <c r="Q486" s="51"/>
      <c r="R486" s="51"/>
      <c r="S486" s="51"/>
      <c r="T486" s="51"/>
      <c r="U486" s="51"/>
      <c r="V486" s="51"/>
      <c r="W486" s="51"/>
      <c r="X486" s="51"/>
      <c r="Y486" s="51"/>
      <c r="Z486" s="51"/>
    </row>
    <row r="487" spans="1:26" x14ac:dyDescent="0.3">
      <c r="A487" s="51"/>
      <c r="B487" s="102"/>
      <c r="C487" s="51"/>
      <c r="E487" s="51"/>
      <c r="F487" s="51"/>
      <c r="G487" s="51"/>
      <c r="H487" s="51"/>
      <c r="I487" s="51"/>
      <c r="J487" s="51"/>
      <c r="K487" s="51"/>
      <c r="L487" s="106"/>
      <c r="M487" s="51"/>
      <c r="N487" s="94"/>
      <c r="O487" s="51"/>
      <c r="P487" s="51"/>
      <c r="Q487" s="51"/>
      <c r="R487" s="51"/>
      <c r="S487" s="51"/>
      <c r="T487" s="51"/>
      <c r="U487" s="51"/>
      <c r="V487" s="51"/>
      <c r="W487" s="51"/>
      <c r="X487" s="51"/>
      <c r="Y487" s="51"/>
      <c r="Z487" s="51"/>
    </row>
    <row r="488" spans="1:26" x14ac:dyDescent="0.3">
      <c r="A488" s="51"/>
      <c r="B488" s="102"/>
      <c r="C488" s="51"/>
      <c r="E488" s="51"/>
      <c r="F488" s="51"/>
      <c r="G488" s="51"/>
      <c r="H488" s="51"/>
      <c r="I488" s="51"/>
      <c r="J488" s="51"/>
      <c r="K488" s="51"/>
      <c r="L488" s="106"/>
      <c r="M488" s="51"/>
      <c r="N488" s="94"/>
      <c r="O488" s="51"/>
      <c r="P488" s="51"/>
      <c r="Q488" s="51"/>
      <c r="R488" s="51"/>
      <c r="S488" s="51"/>
      <c r="T488" s="51"/>
      <c r="U488" s="51"/>
      <c r="V488" s="51"/>
      <c r="W488" s="51"/>
      <c r="X488" s="51"/>
      <c r="Y488" s="51"/>
      <c r="Z488" s="51"/>
    </row>
    <row r="489" spans="1:26" x14ac:dyDescent="0.3">
      <c r="A489" s="51"/>
      <c r="B489" s="102"/>
      <c r="C489" s="51"/>
      <c r="E489" s="51"/>
      <c r="F489" s="51"/>
      <c r="G489" s="51"/>
      <c r="H489" s="51"/>
      <c r="I489" s="51"/>
      <c r="J489" s="51"/>
      <c r="K489" s="51"/>
      <c r="L489" s="106"/>
      <c r="M489" s="51"/>
      <c r="N489" s="94"/>
      <c r="O489" s="51"/>
      <c r="P489" s="51"/>
      <c r="Q489" s="51"/>
      <c r="R489" s="51"/>
      <c r="S489" s="51"/>
      <c r="T489" s="51"/>
      <c r="U489" s="51"/>
      <c r="V489" s="51"/>
      <c r="W489" s="51"/>
      <c r="X489" s="51"/>
      <c r="Y489" s="51"/>
      <c r="Z489" s="51"/>
    </row>
    <row r="490" spans="1:26" x14ac:dyDescent="0.3">
      <c r="A490" s="51"/>
      <c r="B490" s="102"/>
      <c r="C490" s="51"/>
      <c r="E490" s="51"/>
      <c r="F490" s="51"/>
      <c r="G490" s="51"/>
      <c r="H490" s="51"/>
      <c r="I490" s="51"/>
      <c r="J490" s="51"/>
      <c r="K490" s="51"/>
      <c r="L490" s="106"/>
      <c r="M490" s="51"/>
      <c r="N490" s="94"/>
      <c r="O490" s="51"/>
      <c r="P490" s="51"/>
      <c r="Q490" s="51"/>
      <c r="R490" s="51"/>
      <c r="S490" s="51"/>
      <c r="T490" s="51"/>
      <c r="U490" s="51"/>
      <c r="V490" s="51"/>
      <c r="W490" s="51"/>
      <c r="X490" s="51"/>
      <c r="Y490" s="51"/>
      <c r="Z490" s="51"/>
    </row>
    <row r="491" spans="1:26" x14ac:dyDescent="0.3">
      <c r="A491" s="51"/>
      <c r="B491" s="102"/>
      <c r="C491" s="51"/>
      <c r="E491" s="51"/>
      <c r="F491" s="51"/>
      <c r="G491" s="51"/>
      <c r="H491" s="51"/>
      <c r="I491" s="51"/>
      <c r="J491" s="51"/>
      <c r="K491" s="51"/>
      <c r="L491" s="106"/>
      <c r="M491" s="51"/>
      <c r="N491" s="94"/>
      <c r="O491" s="51"/>
      <c r="P491" s="51"/>
      <c r="Q491" s="51"/>
      <c r="R491" s="51"/>
      <c r="S491" s="51"/>
      <c r="T491" s="51"/>
      <c r="U491" s="51"/>
      <c r="V491" s="51"/>
      <c r="W491" s="51"/>
      <c r="X491" s="51"/>
      <c r="Y491" s="51"/>
      <c r="Z491" s="51"/>
    </row>
    <row r="492" spans="1:26" x14ac:dyDescent="0.3">
      <c r="A492" s="51"/>
      <c r="B492" s="102"/>
      <c r="C492" s="51"/>
      <c r="E492" s="51"/>
      <c r="F492" s="51"/>
      <c r="G492" s="51"/>
      <c r="H492" s="51"/>
      <c r="I492" s="51"/>
      <c r="J492" s="51"/>
      <c r="K492" s="51"/>
      <c r="L492" s="106"/>
      <c r="M492" s="51"/>
      <c r="N492" s="94"/>
      <c r="O492" s="51"/>
      <c r="P492" s="51"/>
      <c r="Q492" s="51"/>
      <c r="R492" s="51"/>
      <c r="S492" s="51"/>
      <c r="T492" s="51"/>
      <c r="U492" s="51"/>
      <c r="V492" s="51"/>
      <c r="W492" s="51"/>
      <c r="X492" s="51"/>
      <c r="Y492" s="51"/>
      <c r="Z492" s="51"/>
    </row>
    <row r="493" spans="1:26" x14ac:dyDescent="0.3">
      <c r="A493" s="51"/>
      <c r="B493" s="102"/>
      <c r="C493" s="51"/>
      <c r="E493" s="51"/>
      <c r="F493" s="51"/>
      <c r="G493" s="51"/>
      <c r="H493" s="51"/>
      <c r="I493" s="51"/>
      <c r="J493" s="51"/>
      <c r="K493" s="51"/>
      <c r="L493" s="106"/>
      <c r="M493" s="51"/>
      <c r="N493" s="94"/>
      <c r="O493" s="51"/>
      <c r="P493" s="51"/>
      <c r="Q493" s="51"/>
      <c r="R493" s="51"/>
      <c r="S493" s="51"/>
      <c r="T493" s="51"/>
      <c r="U493" s="51"/>
      <c r="V493" s="51"/>
      <c r="W493" s="51"/>
      <c r="X493" s="51"/>
      <c r="Y493" s="51"/>
      <c r="Z493" s="51"/>
    </row>
    <row r="494" spans="1:26" x14ac:dyDescent="0.3">
      <c r="A494" s="51"/>
      <c r="B494" s="102"/>
      <c r="C494" s="51"/>
      <c r="E494" s="51"/>
      <c r="F494" s="51"/>
      <c r="G494" s="51"/>
      <c r="H494" s="51"/>
      <c r="I494" s="51"/>
      <c r="J494" s="51"/>
      <c r="K494" s="51"/>
      <c r="L494" s="106"/>
      <c r="M494" s="51"/>
      <c r="N494" s="94"/>
      <c r="O494" s="51"/>
      <c r="P494" s="51"/>
      <c r="Q494" s="51"/>
      <c r="R494" s="51"/>
      <c r="S494" s="51"/>
      <c r="T494" s="51"/>
      <c r="U494" s="51"/>
      <c r="V494" s="51"/>
      <c r="W494" s="51"/>
      <c r="X494" s="51"/>
      <c r="Y494" s="51"/>
      <c r="Z494" s="51"/>
    </row>
    <row r="495" spans="1:26" x14ac:dyDescent="0.3">
      <c r="A495" s="51"/>
      <c r="B495" s="102"/>
      <c r="C495" s="51"/>
      <c r="E495" s="51"/>
      <c r="F495" s="51"/>
      <c r="G495" s="51"/>
      <c r="H495" s="51"/>
      <c r="I495" s="51"/>
      <c r="J495" s="51"/>
      <c r="K495" s="51"/>
      <c r="L495" s="106"/>
      <c r="M495" s="51"/>
      <c r="N495" s="94"/>
      <c r="O495" s="51"/>
      <c r="P495" s="51"/>
      <c r="Q495" s="51"/>
      <c r="R495" s="51"/>
      <c r="S495" s="51"/>
      <c r="T495" s="51"/>
      <c r="U495" s="51"/>
      <c r="V495" s="51"/>
      <c r="W495" s="51"/>
      <c r="X495" s="51"/>
      <c r="Y495" s="51"/>
      <c r="Z495" s="51"/>
    </row>
    <row r="496" spans="1:26" x14ac:dyDescent="0.3">
      <c r="A496" s="51"/>
      <c r="B496" s="102"/>
      <c r="C496" s="51"/>
      <c r="E496" s="51"/>
      <c r="F496" s="51"/>
      <c r="G496" s="51"/>
      <c r="H496" s="51"/>
      <c r="I496" s="51"/>
      <c r="J496" s="51"/>
      <c r="K496" s="51"/>
      <c r="L496" s="106"/>
      <c r="M496" s="51"/>
      <c r="N496" s="94"/>
      <c r="O496" s="51"/>
      <c r="P496" s="51"/>
      <c r="Q496" s="51"/>
      <c r="R496" s="51"/>
      <c r="S496" s="51"/>
      <c r="T496" s="51"/>
      <c r="U496" s="51"/>
      <c r="V496" s="51"/>
      <c r="W496" s="51"/>
      <c r="X496" s="51"/>
      <c r="Y496" s="51"/>
      <c r="Z496" s="51"/>
    </row>
    <row r="497" spans="1:26" x14ac:dyDescent="0.3">
      <c r="A497" s="51"/>
      <c r="B497" s="102"/>
      <c r="C497" s="51"/>
      <c r="E497" s="51"/>
      <c r="F497" s="51"/>
      <c r="G497" s="51"/>
      <c r="H497" s="51"/>
      <c r="I497" s="51"/>
      <c r="J497" s="51"/>
      <c r="K497" s="51"/>
      <c r="L497" s="106"/>
      <c r="M497" s="51"/>
      <c r="N497" s="94"/>
      <c r="O497" s="51"/>
      <c r="P497" s="51"/>
      <c r="Q497" s="51"/>
      <c r="R497" s="51"/>
      <c r="S497" s="51"/>
      <c r="T497" s="51"/>
      <c r="U497" s="51"/>
      <c r="V497" s="51"/>
      <c r="W497" s="51"/>
      <c r="X497" s="51"/>
      <c r="Y497" s="51"/>
      <c r="Z497" s="51"/>
    </row>
    <row r="498" spans="1:26" x14ac:dyDescent="0.3">
      <c r="A498" s="51"/>
      <c r="B498" s="102"/>
      <c r="C498" s="51"/>
      <c r="E498" s="51"/>
      <c r="F498" s="51"/>
      <c r="G498" s="51"/>
      <c r="H498" s="51"/>
      <c r="I498" s="51"/>
      <c r="J498" s="51"/>
      <c r="K498" s="51"/>
      <c r="L498" s="106"/>
      <c r="M498" s="51"/>
      <c r="N498" s="94"/>
      <c r="O498" s="51"/>
      <c r="P498" s="51"/>
      <c r="Q498" s="51"/>
      <c r="R498" s="51"/>
      <c r="S498" s="51"/>
      <c r="T498" s="51"/>
      <c r="U498" s="51"/>
      <c r="V498" s="51"/>
      <c r="W498" s="51"/>
      <c r="X498" s="51"/>
      <c r="Y498" s="51"/>
      <c r="Z498" s="51"/>
    </row>
    <row r="499" spans="1:26" x14ac:dyDescent="0.3">
      <c r="A499" s="51"/>
      <c r="B499" s="102"/>
      <c r="C499" s="51"/>
      <c r="E499" s="51"/>
      <c r="F499" s="51"/>
      <c r="G499" s="51"/>
      <c r="H499" s="51"/>
      <c r="I499" s="51"/>
      <c r="J499" s="51"/>
      <c r="K499" s="51"/>
      <c r="L499" s="106"/>
      <c r="M499" s="51"/>
      <c r="N499" s="94"/>
      <c r="O499" s="51"/>
      <c r="P499" s="51"/>
      <c r="Q499" s="51"/>
      <c r="R499" s="51"/>
      <c r="S499" s="51"/>
      <c r="T499" s="51"/>
      <c r="U499" s="51"/>
      <c r="V499" s="51"/>
      <c r="W499" s="51"/>
      <c r="X499" s="51"/>
      <c r="Y499" s="51"/>
      <c r="Z499" s="51"/>
    </row>
    <row r="500" spans="1:26" x14ac:dyDescent="0.3">
      <c r="A500" s="51"/>
      <c r="B500" s="102"/>
      <c r="C500" s="51"/>
      <c r="E500" s="51"/>
      <c r="F500" s="51"/>
      <c r="G500" s="51"/>
      <c r="H500" s="51"/>
      <c r="I500" s="51"/>
      <c r="J500" s="51"/>
      <c r="K500" s="51"/>
      <c r="L500" s="106"/>
      <c r="M500" s="51"/>
      <c r="N500" s="94"/>
      <c r="O500" s="51"/>
      <c r="P500" s="51"/>
      <c r="Q500" s="51"/>
      <c r="R500" s="51"/>
      <c r="S500" s="51"/>
      <c r="T500" s="51"/>
      <c r="U500" s="51"/>
      <c r="V500" s="51"/>
      <c r="W500" s="51"/>
      <c r="X500" s="51"/>
      <c r="Y500" s="51"/>
      <c r="Z500" s="51"/>
    </row>
    <row r="501" spans="1:26" x14ac:dyDescent="0.3">
      <c r="A501" s="51"/>
      <c r="B501" s="102"/>
      <c r="C501" s="51"/>
      <c r="E501" s="51"/>
      <c r="F501" s="51"/>
      <c r="G501" s="51"/>
      <c r="H501" s="51"/>
      <c r="I501" s="51"/>
      <c r="J501" s="51"/>
      <c r="K501" s="51"/>
      <c r="L501" s="106"/>
      <c r="M501" s="51"/>
      <c r="N501" s="94"/>
      <c r="O501" s="51"/>
      <c r="P501" s="51"/>
      <c r="Q501" s="51"/>
      <c r="R501" s="51"/>
      <c r="S501" s="51"/>
      <c r="T501" s="51"/>
      <c r="U501" s="51"/>
      <c r="V501" s="51"/>
      <c r="W501" s="51"/>
      <c r="X501" s="51"/>
      <c r="Y501" s="51"/>
      <c r="Z501" s="51"/>
    </row>
    <row r="502" spans="1:26" x14ac:dyDescent="0.3">
      <c r="A502" s="51"/>
      <c r="B502" s="102"/>
      <c r="C502" s="51"/>
      <c r="E502" s="51"/>
      <c r="F502" s="51"/>
      <c r="G502" s="51"/>
      <c r="H502" s="51"/>
      <c r="I502" s="51"/>
      <c r="J502" s="51"/>
      <c r="K502" s="51"/>
      <c r="L502" s="106"/>
      <c r="M502" s="51"/>
      <c r="N502" s="94"/>
      <c r="O502" s="51"/>
      <c r="P502" s="51"/>
      <c r="Q502" s="51"/>
      <c r="R502" s="51"/>
      <c r="S502" s="51"/>
      <c r="T502" s="51"/>
      <c r="U502" s="51"/>
      <c r="V502" s="51"/>
      <c r="W502" s="51"/>
      <c r="X502" s="51"/>
      <c r="Y502" s="51"/>
      <c r="Z502" s="51"/>
    </row>
    <row r="503" spans="1:26" x14ac:dyDescent="0.3">
      <c r="A503" s="51"/>
      <c r="B503" s="102"/>
      <c r="C503" s="51"/>
      <c r="E503" s="51"/>
      <c r="F503" s="51"/>
      <c r="G503" s="51"/>
      <c r="H503" s="51"/>
      <c r="I503" s="51"/>
      <c r="J503" s="51"/>
      <c r="K503" s="51"/>
      <c r="L503" s="106"/>
      <c r="M503" s="51"/>
      <c r="N503" s="94"/>
      <c r="O503" s="51"/>
      <c r="P503" s="51"/>
      <c r="Q503" s="51"/>
      <c r="R503" s="51"/>
      <c r="S503" s="51"/>
      <c r="T503" s="51"/>
      <c r="U503" s="51"/>
      <c r="V503" s="51"/>
      <c r="W503" s="51"/>
      <c r="X503" s="51"/>
      <c r="Y503" s="51"/>
      <c r="Z503" s="51"/>
    </row>
    <row r="504" spans="1:26" x14ac:dyDescent="0.3">
      <c r="A504" s="51"/>
      <c r="B504" s="102"/>
      <c r="C504" s="51"/>
      <c r="E504" s="51"/>
      <c r="F504" s="51"/>
      <c r="G504" s="51"/>
      <c r="H504" s="51"/>
      <c r="I504" s="51"/>
      <c r="J504" s="51"/>
      <c r="K504" s="51"/>
      <c r="L504" s="106"/>
      <c r="M504" s="51"/>
      <c r="N504" s="94"/>
      <c r="O504" s="51"/>
      <c r="P504" s="51"/>
      <c r="Q504" s="51"/>
      <c r="R504" s="51"/>
      <c r="S504" s="51"/>
      <c r="T504" s="51"/>
      <c r="U504" s="51"/>
      <c r="V504" s="51"/>
      <c r="W504" s="51"/>
      <c r="X504" s="51"/>
      <c r="Y504" s="51"/>
      <c r="Z504" s="51"/>
    </row>
    <row r="505" spans="1:26" x14ac:dyDescent="0.3">
      <c r="A505" s="51"/>
      <c r="B505" s="102"/>
      <c r="C505" s="51"/>
      <c r="E505" s="51"/>
      <c r="F505" s="51"/>
      <c r="G505" s="51"/>
      <c r="H505" s="51"/>
      <c r="I505" s="51"/>
      <c r="J505" s="51"/>
      <c r="K505" s="51"/>
      <c r="L505" s="106"/>
      <c r="M505" s="51"/>
      <c r="N505" s="94"/>
      <c r="O505" s="51"/>
      <c r="P505" s="51"/>
      <c r="Q505" s="51"/>
      <c r="R505" s="51"/>
      <c r="S505" s="51"/>
      <c r="T505" s="51"/>
      <c r="U505" s="51"/>
      <c r="V505" s="51"/>
      <c r="W505" s="51"/>
      <c r="X505" s="51"/>
      <c r="Y505" s="51"/>
      <c r="Z505" s="51"/>
    </row>
    <row r="506" spans="1:26" x14ac:dyDescent="0.3">
      <c r="A506" s="51"/>
      <c r="B506" s="102"/>
      <c r="C506" s="51"/>
      <c r="E506" s="51"/>
      <c r="F506" s="51"/>
      <c r="G506" s="51"/>
      <c r="H506" s="51"/>
      <c r="I506" s="51"/>
      <c r="J506" s="51"/>
      <c r="K506" s="51"/>
      <c r="L506" s="106"/>
      <c r="M506" s="51"/>
      <c r="N506" s="94"/>
      <c r="O506" s="51"/>
      <c r="P506" s="51"/>
      <c r="Q506" s="51"/>
      <c r="R506" s="51"/>
      <c r="S506" s="51"/>
      <c r="T506" s="51"/>
      <c r="U506" s="51"/>
      <c r="V506" s="51"/>
      <c r="W506" s="51"/>
      <c r="X506" s="51"/>
      <c r="Y506" s="51"/>
      <c r="Z506" s="51"/>
    </row>
    <row r="507" spans="1:26" x14ac:dyDescent="0.3">
      <c r="A507" s="51"/>
      <c r="B507" s="102"/>
      <c r="C507" s="51"/>
      <c r="E507" s="51"/>
      <c r="F507" s="51"/>
      <c r="G507" s="51"/>
      <c r="H507" s="51"/>
      <c r="I507" s="51"/>
      <c r="J507" s="51"/>
      <c r="K507" s="51"/>
      <c r="L507" s="106"/>
      <c r="M507" s="51"/>
      <c r="N507" s="94"/>
      <c r="O507" s="51"/>
      <c r="P507" s="51"/>
      <c r="Q507" s="51"/>
      <c r="R507" s="51"/>
      <c r="S507" s="51"/>
      <c r="T507" s="51"/>
      <c r="U507" s="51"/>
      <c r="V507" s="51"/>
      <c r="W507" s="51"/>
      <c r="X507" s="51"/>
      <c r="Y507" s="51"/>
      <c r="Z507" s="51"/>
    </row>
    <row r="508" spans="1:26" x14ac:dyDescent="0.3">
      <c r="A508" s="51"/>
      <c r="B508" s="102"/>
      <c r="C508" s="51"/>
      <c r="E508" s="51"/>
      <c r="F508" s="51"/>
      <c r="G508" s="51"/>
      <c r="H508" s="51"/>
      <c r="I508" s="51"/>
      <c r="J508" s="51"/>
      <c r="K508" s="51"/>
      <c r="L508" s="106"/>
      <c r="M508" s="51"/>
      <c r="N508" s="94"/>
      <c r="O508" s="51"/>
      <c r="P508" s="51"/>
      <c r="Q508" s="51"/>
      <c r="R508" s="51"/>
      <c r="S508" s="51"/>
      <c r="T508" s="51"/>
      <c r="U508" s="51"/>
      <c r="V508" s="51"/>
      <c r="W508" s="51"/>
      <c r="X508" s="51"/>
      <c r="Y508" s="51"/>
      <c r="Z508" s="51"/>
    </row>
    <row r="509" spans="1:26" x14ac:dyDescent="0.3">
      <c r="A509" s="51"/>
      <c r="B509" s="102"/>
      <c r="C509" s="51"/>
      <c r="E509" s="51"/>
      <c r="F509" s="51"/>
      <c r="G509" s="51"/>
      <c r="H509" s="51"/>
      <c r="I509" s="51"/>
      <c r="J509" s="51"/>
      <c r="K509" s="51"/>
      <c r="L509" s="106"/>
      <c r="M509" s="51"/>
      <c r="N509" s="94"/>
      <c r="O509" s="51"/>
      <c r="P509" s="51"/>
      <c r="Q509" s="51"/>
      <c r="R509" s="51"/>
      <c r="S509" s="51"/>
      <c r="T509" s="51"/>
      <c r="U509" s="51"/>
      <c r="V509" s="51"/>
      <c r="W509" s="51"/>
      <c r="X509" s="51"/>
      <c r="Y509" s="51"/>
      <c r="Z509" s="51"/>
    </row>
    <row r="510" spans="1:26" x14ac:dyDescent="0.3">
      <c r="A510" s="51"/>
      <c r="B510" s="102"/>
      <c r="C510" s="51"/>
      <c r="E510" s="51"/>
      <c r="F510" s="51"/>
      <c r="G510" s="51"/>
      <c r="H510" s="51"/>
      <c r="I510" s="51"/>
      <c r="J510" s="51"/>
      <c r="K510" s="51"/>
      <c r="L510" s="106"/>
      <c r="M510" s="51"/>
      <c r="N510" s="94"/>
      <c r="O510" s="51"/>
      <c r="P510" s="51"/>
      <c r="Q510" s="51"/>
      <c r="R510" s="51"/>
      <c r="S510" s="51"/>
      <c r="T510" s="51"/>
      <c r="U510" s="51"/>
      <c r="V510" s="51"/>
      <c r="W510" s="51"/>
      <c r="X510" s="51"/>
      <c r="Y510" s="51"/>
      <c r="Z510" s="51"/>
    </row>
    <row r="511" spans="1:26" x14ac:dyDescent="0.3">
      <c r="A511" s="51"/>
      <c r="B511" s="102"/>
      <c r="C511" s="51"/>
      <c r="E511" s="51"/>
      <c r="F511" s="51"/>
      <c r="G511" s="51"/>
      <c r="H511" s="51"/>
      <c r="I511" s="51"/>
      <c r="J511" s="51"/>
      <c r="K511" s="51"/>
      <c r="L511" s="106"/>
      <c r="M511" s="51"/>
      <c r="N511" s="94"/>
      <c r="O511" s="51"/>
      <c r="P511" s="51"/>
      <c r="Q511" s="51"/>
      <c r="R511" s="51"/>
      <c r="S511" s="51"/>
      <c r="T511" s="51"/>
      <c r="U511" s="51"/>
      <c r="V511" s="51"/>
      <c r="W511" s="51"/>
      <c r="X511" s="51"/>
      <c r="Y511" s="51"/>
      <c r="Z511" s="51"/>
    </row>
    <row r="512" spans="1:26" x14ac:dyDescent="0.3">
      <c r="A512" s="51"/>
      <c r="B512" s="102"/>
      <c r="C512" s="51"/>
      <c r="E512" s="51"/>
      <c r="F512" s="51"/>
      <c r="G512" s="51"/>
      <c r="H512" s="51"/>
      <c r="I512" s="51"/>
      <c r="J512" s="51"/>
      <c r="K512" s="51"/>
      <c r="L512" s="106"/>
      <c r="M512" s="51"/>
      <c r="N512" s="94"/>
      <c r="O512" s="51"/>
      <c r="P512" s="51"/>
      <c r="Q512" s="51"/>
      <c r="R512" s="51"/>
      <c r="S512" s="51"/>
      <c r="T512" s="51"/>
      <c r="U512" s="51"/>
      <c r="V512" s="51"/>
      <c r="W512" s="51"/>
      <c r="X512" s="51"/>
      <c r="Y512" s="51"/>
      <c r="Z512" s="51"/>
    </row>
    <row r="513" spans="1:26" x14ac:dyDescent="0.3">
      <c r="A513" s="51"/>
      <c r="B513" s="102"/>
      <c r="C513" s="51"/>
      <c r="E513" s="51"/>
      <c r="F513" s="51"/>
      <c r="G513" s="51"/>
      <c r="H513" s="51"/>
      <c r="I513" s="51"/>
      <c r="J513" s="51"/>
      <c r="K513" s="51"/>
      <c r="L513" s="106"/>
      <c r="M513" s="51"/>
      <c r="N513" s="94"/>
      <c r="O513" s="51"/>
      <c r="P513" s="51"/>
      <c r="Q513" s="51"/>
      <c r="R513" s="51"/>
      <c r="S513" s="51"/>
      <c r="T513" s="51"/>
      <c r="U513" s="51"/>
      <c r="V513" s="51"/>
      <c r="W513" s="51"/>
      <c r="X513" s="51"/>
      <c r="Y513" s="51"/>
      <c r="Z513" s="51"/>
    </row>
    <row r="514" spans="1:26" x14ac:dyDescent="0.3">
      <c r="A514" s="51"/>
      <c r="B514" s="102"/>
      <c r="C514" s="51"/>
      <c r="E514" s="51"/>
      <c r="F514" s="51"/>
      <c r="G514" s="51"/>
      <c r="H514" s="51"/>
      <c r="I514" s="51"/>
      <c r="J514" s="51"/>
      <c r="K514" s="51"/>
      <c r="L514" s="106"/>
      <c r="M514" s="51"/>
      <c r="N514" s="94"/>
      <c r="O514" s="51"/>
      <c r="P514" s="51"/>
      <c r="Q514" s="51"/>
      <c r="R514" s="51"/>
      <c r="S514" s="51"/>
      <c r="T514" s="51"/>
      <c r="U514" s="51"/>
      <c r="V514" s="51"/>
      <c r="W514" s="51"/>
      <c r="X514" s="51"/>
      <c r="Y514" s="51"/>
      <c r="Z514" s="51"/>
    </row>
    <row r="515" spans="1:26" x14ac:dyDescent="0.3">
      <c r="A515" s="51"/>
      <c r="B515" s="102"/>
      <c r="C515" s="51"/>
      <c r="E515" s="51"/>
      <c r="F515" s="51"/>
      <c r="G515" s="51"/>
      <c r="H515" s="51"/>
      <c r="I515" s="51"/>
      <c r="J515" s="51"/>
      <c r="K515" s="51"/>
      <c r="L515" s="106"/>
      <c r="M515" s="51"/>
      <c r="N515" s="94"/>
      <c r="O515" s="51"/>
      <c r="P515" s="51"/>
      <c r="Q515" s="51"/>
      <c r="R515" s="51"/>
      <c r="S515" s="51"/>
      <c r="T515" s="51"/>
      <c r="U515" s="51"/>
      <c r="V515" s="51"/>
      <c r="W515" s="51"/>
      <c r="X515" s="51"/>
      <c r="Y515" s="51"/>
      <c r="Z515" s="51"/>
    </row>
    <row r="516" spans="1:26" x14ac:dyDescent="0.3">
      <c r="A516" s="51"/>
      <c r="B516" s="102"/>
      <c r="C516" s="51"/>
      <c r="E516" s="51"/>
      <c r="F516" s="51"/>
      <c r="G516" s="51"/>
      <c r="H516" s="51"/>
      <c r="I516" s="51"/>
      <c r="J516" s="51"/>
      <c r="K516" s="51"/>
      <c r="L516" s="106"/>
      <c r="M516" s="51"/>
      <c r="N516" s="94"/>
      <c r="O516" s="51"/>
      <c r="P516" s="51"/>
      <c r="Q516" s="51"/>
      <c r="R516" s="51"/>
      <c r="S516" s="51"/>
      <c r="T516" s="51"/>
      <c r="U516" s="51"/>
      <c r="V516" s="51"/>
      <c r="W516" s="51"/>
      <c r="X516" s="51"/>
      <c r="Y516" s="51"/>
      <c r="Z516" s="51"/>
    </row>
    <row r="517" spans="1:26" x14ac:dyDescent="0.3">
      <c r="A517" s="51"/>
      <c r="B517" s="102"/>
      <c r="C517" s="51"/>
      <c r="E517" s="51"/>
      <c r="F517" s="51"/>
      <c r="G517" s="51"/>
      <c r="H517" s="51"/>
      <c r="I517" s="51"/>
      <c r="J517" s="51"/>
      <c r="K517" s="51"/>
      <c r="L517" s="106"/>
      <c r="M517" s="51"/>
      <c r="N517" s="94"/>
      <c r="O517" s="51"/>
      <c r="P517" s="51"/>
      <c r="Q517" s="51"/>
      <c r="R517" s="51"/>
      <c r="S517" s="51"/>
      <c r="T517" s="51"/>
      <c r="U517" s="51"/>
      <c r="V517" s="51"/>
      <c r="W517" s="51"/>
      <c r="X517" s="51"/>
      <c r="Y517" s="51"/>
      <c r="Z517" s="51"/>
    </row>
    <row r="518" spans="1:26" x14ac:dyDescent="0.3">
      <c r="A518" s="51"/>
      <c r="B518" s="102"/>
      <c r="C518" s="51"/>
      <c r="E518" s="51"/>
      <c r="F518" s="51"/>
      <c r="G518" s="51"/>
      <c r="H518" s="51"/>
      <c r="I518" s="51"/>
      <c r="J518" s="51"/>
      <c r="K518" s="51"/>
      <c r="L518" s="106"/>
      <c r="M518" s="51"/>
      <c r="N518" s="94"/>
      <c r="O518" s="51"/>
      <c r="P518" s="51"/>
      <c r="Q518" s="51"/>
      <c r="R518" s="51"/>
      <c r="S518" s="51"/>
      <c r="T518" s="51"/>
      <c r="U518" s="51"/>
      <c r="V518" s="51"/>
      <c r="W518" s="51"/>
      <c r="X518" s="51"/>
      <c r="Y518" s="51"/>
      <c r="Z518" s="51"/>
    </row>
    <row r="519" spans="1:26" x14ac:dyDescent="0.3">
      <c r="A519" s="51"/>
      <c r="B519" s="102"/>
      <c r="C519" s="51"/>
      <c r="E519" s="51"/>
      <c r="F519" s="51"/>
      <c r="G519" s="51"/>
      <c r="H519" s="51"/>
      <c r="I519" s="51"/>
      <c r="J519" s="51"/>
      <c r="K519" s="51"/>
      <c r="L519" s="106"/>
      <c r="M519" s="51"/>
      <c r="N519" s="94"/>
      <c r="O519" s="51"/>
      <c r="P519" s="51"/>
      <c r="Q519" s="51"/>
      <c r="R519" s="51"/>
      <c r="S519" s="51"/>
      <c r="T519" s="51"/>
      <c r="U519" s="51"/>
      <c r="V519" s="51"/>
      <c r="W519" s="51"/>
      <c r="X519" s="51"/>
      <c r="Y519" s="51"/>
      <c r="Z519" s="51"/>
    </row>
    <row r="520" spans="1:26" x14ac:dyDescent="0.3">
      <c r="A520" s="51"/>
      <c r="B520" s="102"/>
      <c r="C520" s="51"/>
      <c r="E520" s="51"/>
      <c r="F520" s="51"/>
      <c r="G520" s="51"/>
      <c r="H520" s="51"/>
      <c r="I520" s="51"/>
      <c r="J520" s="51"/>
      <c r="K520" s="51"/>
      <c r="L520" s="106"/>
      <c r="M520" s="51"/>
      <c r="N520" s="94"/>
      <c r="O520" s="51"/>
      <c r="P520" s="51"/>
      <c r="Q520" s="51"/>
      <c r="R520" s="51"/>
      <c r="S520" s="51"/>
      <c r="T520" s="51"/>
      <c r="U520" s="51"/>
      <c r="V520" s="51"/>
      <c r="W520" s="51"/>
      <c r="X520" s="51"/>
      <c r="Y520" s="51"/>
      <c r="Z520" s="51"/>
    </row>
    <row r="521" spans="1:26" x14ac:dyDescent="0.3">
      <c r="A521" s="51"/>
      <c r="B521" s="102"/>
      <c r="C521" s="51"/>
      <c r="E521" s="51"/>
      <c r="F521" s="51"/>
      <c r="G521" s="51"/>
      <c r="H521" s="51"/>
      <c r="I521" s="51"/>
      <c r="J521" s="51"/>
      <c r="K521" s="51"/>
      <c r="L521" s="106"/>
      <c r="M521" s="51"/>
      <c r="N521" s="94"/>
      <c r="O521" s="51"/>
      <c r="P521" s="51"/>
      <c r="Q521" s="51"/>
      <c r="R521" s="51"/>
      <c r="S521" s="51"/>
      <c r="T521" s="51"/>
      <c r="U521" s="51"/>
      <c r="V521" s="51"/>
      <c r="W521" s="51"/>
      <c r="X521" s="51"/>
      <c r="Y521" s="51"/>
      <c r="Z521" s="51"/>
    </row>
    <row r="522" spans="1:26" x14ac:dyDescent="0.3">
      <c r="A522" s="51"/>
      <c r="B522" s="102"/>
      <c r="C522" s="51"/>
      <c r="E522" s="51"/>
      <c r="F522" s="51"/>
      <c r="G522" s="51"/>
      <c r="H522" s="51"/>
      <c r="I522" s="51"/>
      <c r="J522" s="51"/>
      <c r="K522" s="51"/>
      <c r="L522" s="106"/>
      <c r="M522" s="51"/>
      <c r="N522" s="94"/>
      <c r="O522" s="51"/>
      <c r="P522" s="51"/>
      <c r="Q522" s="51"/>
      <c r="R522" s="51"/>
      <c r="S522" s="51"/>
      <c r="T522" s="51"/>
      <c r="U522" s="51"/>
      <c r="V522" s="51"/>
      <c r="W522" s="51"/>
      <c r="X522" s="51"/>
      <c r="Y522" s="51"/>
      <c r="Z522" s="51"/>
    </row>
    <row r="523" spans="1:26" x14ac:dyDescent="0.3">
      <c r="A523" s="51"/>
      <c r="B523" s="102"/>
      <c r="C523" s="51"/>
      <c r="E523" s="51"/>
      <c r="F523" s="51"/>
      <c r="G523" s="51"/>
      <c r="H523" s="51"/>
      <c r="I523" s="51"/>
      <c r="J523" s="51"/>
      <c r="K523" s="51"/>
      <c r="L523" s="106"/>
      <c r="M523" s="51"/>
      <c r="N523" s="94"/>
      <c r="O523" s="51"/>
      <c r="P523" s="51"/>
      <c r="Q523" s="51"/>
      <c r="R523" s="51"/>
      <c r="S523" s="51"/>
      <c r="T523" s="51"/>
      <c r="U523" s="51"/>
      <c r="V523" s="51"/>
      <c r="W523" s="51"/>
      <c r="X523" s="51"/>
      <c r="Y523" s="51"/>
      <c r="Z523" s="51"/>
    </row>
    <row r="524" spans="1:26" x14ac:dyDescent="0.3">
      <c r="A524" s="51"/>
      <c r="B524" s="102"/>
      <c r="C524" s="51"/>
      <c r="E524" s="51"/>
      <c r="F524" s="51"/>
      <c r="G524" s="51"/>
      <c r="H524" s="51"/>
      <c r="I524" s="51"/>
      <c r="J524" s="51"/>
      <c r="K524" s="51"/>
      <c r="L524" s="106"/>
      <c r="M524" s="51"/>
      <c r="N524" s="94"/>
      <c r="O524" s="51"/>
      <c r="P524" s="51"/>
      <c r="Q524" s="51"/>
      <c r="R524" s="51"/>
      <c r="S524" s="51"/>
      <c r="T524" s="51"/>
      <c r="U524" s="51"/>
      <c r="V524" s="51"/>
      <c r="W524" s="51"/>
      <c r="X524" s="51"/>
      <c r="Y524" s="51"/>
      <c r="Z524" s="51"/>
    </row>
    <row r="525" spans="1:26" x14ac:dyDescent="0.3">
      <c r="A525" s="51"/>
      <c r="B525" s="102"/>
      <c r="C525" s="51"/>
      <c r="E525" s="51"/>
      <c r="F525" s="51"/>
      <c r="G525" s="51"/>
      <c r="H525" s="51"/>
      <c r="I525" s="51"/>
      <c r="J525" s="51"/>
      <c r="K525" s="51"/>
      <c r="L525" s="106"/>
      <c r="M525" s="51"/>
      <c r="N525" s="94"/>
      <c r="O525" s="51"/>
      <c r="P525" s="51"/>
      <c r="Q525" s="51"/>
      <c r="R525" s="51"/>
      <c r="S525" s="51"/>
      <c r="T525" s="51"/>
      <c r="U525" s="51"/>
      <c r="V525" s="51"/>
      <c r="W525" s="51"/>
      <c r="X525" s="51"/>
      <c r="Y525" s="51"/>
      <c r="Z525" s="51"/>
    </row>
    <row r="526" spans="1:26" x14ac:dyDescent="0.3">
      <c r="A526" s="51"/>
      <c r="B526" s="102"/>
      <c r="C526" s="51"/>
      <c r="E526" s="51"/>
      <c r="F526" s="51"/>
      <c r="G526" s="51"/>
      <c r="H526" s="51"/>
      <c r="I526" s="51"/>
      <c r="J526" s="51"/>
      <c r="K526" s="51"/>
      <c r="L526" s="106"/>
      <c r="M526" s="51"/>
      <c r="N526" s="94"/>
      <c r="O526" s="51"/>
      <c r="P526" s="51"/>
      <c r="Q526" s="51"/>
      <c r="R526" s="51"/>
      <c r="S526" s="51"/>
      <c r="T526" s="51"/>
      <c r="U526" s="51"/>
      <c r="V526" s="51"/>
      <c r="W526" s="51"/>
      <c r="X526" s="51"/>
      <c r="Y526" s="51"/>
      <c r="Z526" s="51"/>
    </row>
    <row r="527" spans="1:26" x14ac:dyDescent="0.3">
      <c r="A527" s="51"/>
      <c r="B527" s="102"/>
      <c r="C527" s="51"/>
      <c r="E527" s="51"/>
      <c r="F527" s="51"/>
      <c r="G527" s="51"/>
      <c r="H527" s="51"/>
      <c r="I527" s="51"/>
      <c r="J527" s="51"/>
      <c r="K527" s="51"/>
      <c r="L527" s="106"/>
      <c r="M527" s="51"/>
      <c r="N527" s="94"/>
      <c r="O527" s="51"/>
      <c r="P527" s="51"/>
      <c r="Q527" s="51"/>
      <c r="R527" s="51"/>
      <c r="S527" s="51"/>
      <c r="T527" s="51"/>
      <c r="U527" s="51"/>
      <c r="V527" s="51"/>
      <c r="W527" s="51"/>
      <c r="X527" s="51"/>
      <c r="Y527" s="51"/>
      <c r="Z527" s="51"/>
    </row>
    <row r="528" spans="1:26" x14ac:dyDescent="0.3">
      <c r="A528" s="51"/>
      <c r="B528" s="102"/>
      <c r="C528" s="51"/>
      <c r="E528" s="51"/>
      <c r="F528" s="51"/>
      <c r="G528" s="51"/>
      <c r="H528" s="51"/>
      <c r="I528" s="51"/>
      <c r="J528" s="51"/>
      <c r="K528" s="51"/>
      <c r="L528" s="106"/>
      <c r="M528" s="51"/>
      <c r="N528" s="94"/>
      <c r="O528" s="51"/>
      <c r="P528" s="51"/>
      <c r="Q528" s="51"/>
      <c r="R528" s="51"/>
      <c r="S528" s="51"/>
      <c r="T528" s="51"/>
      <c r="U528" s="51"/>
      <c r="V528" s="51"/>
      <c r="W528" s="51"/>
      <c r="X528" s="51"/>
      <c r="Y528" s="51"/>
      <c r="Z528" s="51"/>
    </row>
    <row r="529" spans="1:26" x14ac:dyDescent="0.3">
      <c r="A529" s="51"/>
      <c r="B529" s="102"/>
      <c r="C529" s="51"/>
      <c r="E529" s="51"/>
      <c r="F529" s="51"/>
      <c r="G529" s="51"/>
      <c r="H529" s="51"/>
      <c r="I529" s="51"/>
      <c r="J529" s="51"/>
      <c r="K529" s="51"/>
      <c r="L529" s="106"/>
      <c r="M529" s="51"/>
      <c r="N529" s="94"/>
      <c r="O529" s="51"/>
      <c r="P529" s="51"/>
      <c r="Q529" s="51"/>
      <c r="R529" s="51"/>
      <c r="S529" s="51"/>
      <c r="T529" s="51"/>
      <c r="U529" s="51"/>
      <c r="V529" s="51"/>
      <c r="W529" s="51"/>
      <c r="X529" s="51"/>
      <c r="Y529" s="51"/>
      <c r="Z529" s="51"/>
    </row>
    <row r="530" spans="1:26" x14ac:dyDescent="0.3">
      <c r="A530" s="51"/>
      <c r="B530" s="102"/>
      <c r="C530" s="51"/>
      <c r="E530" s="51"/>
      <c r="F530" s="51"/>
      <c r="G530" s="51"/>
      <c r="H530" s="51"/>
      <c r="I530" s="51"/>
      <c r="J530" s="51"/>
      <c r="K530" s="51"/>
      <c r="L530" s="106"/>
      <c r="M530" s="51"/>
      <c r="N530" s="94"/>
      <c r="O530" s="51"/>
      <c r="P530" s="51"/>
      <c r="Q530" s="51"/>
      <c r="R530" s="51"/>
      <c r="S530" s="51"/>
      <c r="T530" s="51"/>
      <c r="U530" s="51"/>
      <c r="V530" s="51"/>
      <c r="W530" s="51"/>
      <c r="X530" s="51"/>
      <c r="Y530" s="51"/>
      <c r="Z530" s="51"/>
    </row>
    <row r="531" spans="1:26" x14ac:dyDescent="0.3">
      <c r="A531" s="51"/>
      <c r="B531" s="102"/>
      <c r="C531" s="51"/>
      <c r="E531" s="51"/>
      <c r="F531" s="51"/>
      <c r="G531" s="51"/>
      <c r="H531" s="51"/>
      <c r="I531" s="51"/>
      <c r="J531" s="51"/>
      <c r="K531" s="51"/>
      <c r="L531" s="106"/>
      <c r="M531" s="51"/>
      <c r="N531" s="94"/>
      <c r="O531" s="51"/>
      <c r="P531" s="51"/>
      <c r="Q531" s="51"/>
      <c r="R531" s="51"/>
      <c r="S531" s="51"/>
      <c r="T531" s="51"/>
      <c r="U531" s="51"/>
      <c r="V531" s="51"/>
      <c r="W531" s="51"/>
      <c r="X531" s="51"/>
      <c r="Y531" s="51"/>
      <c r="Z531" s="51"/>
    </row>
    <row r="532" spans="1:26" x14ac:dyDescent="0.3">
      <c r="A532" s="51"/>
      <c r="B532" s="102"/>
      <c r="C532" s="51"/>
      <c r="E532" s="51"/>
      <c r="F532" s="51"/>
      <c r="G532" s="51"/>
      <c r="H532" s="51"/>
      <c r="I532" s="51"/>
      <c r="J532" s="51"/>
      <c r="K532" s="51"/>
      <c r="L532" s="106"/>
      <c r="M532" s="51"/>
      <c r="N532" s="94"/>
      <c r="O532" s="51"/>
      <c r="P532" s="51"/>
      <c r="Q532" s="51"/>
      <c r="R532" s="51"/>
      <c r="S532" s="51"/>
      <c r="T532" s="51"/>
      <c r="U532" s="51"/>
      <c r="V532" s="51"/>
      <c r="W532" s="51"/>
      <c r="X532" s="51"/>
      <c r="Y532" s="51"/>
      <c r="Z532" s="51"/>
    </row>
    <row r="533" spans="1:26" x14ac:dyDescent="0.3">
      <c r="A533" s="51"/>
      <c r="B533" s="102"/>
      <c r="C533" s="51"/>
      <c r="E533" s="51"/>
      <c r="F533" s="51"/>
      <c r="G533" s="51"/>
      <c r="H533" s="51"/>
      <c r="I533" s="51"/>
      <c r="J533" s="51"/>
      <c r="K533" s="51"/>
      <c r="L533" s="106"/>
      <c r="M533" s="51"/>
      <c r="N533" s="94"/>
      <c r="O533" s="51"/>
      <c r="P533" s="51"/>
      <c r="Q533" s="51"/>
      <c r="R533" s="51"/>
      <c r="S533" s="51"/>
      <c r="T533" s="51"/>
      <c r="U533" s="51"/>
      <c r="V533" s="51"/>
      <c r="W533" s="51"/>
      <c r="X533" s="51"/>
      <c r="Y533" s="51"/>
      <c r="Z533" s="51"/>
    </row>
    <row r="534" spans="1:26" x14ac:dyDescent="0.3">
      <c r="A534" s="51"/>
      <c r="B534" s="102"/>
      <c r="C534" s="51"/>
      <c r="E534" s="51"/>
      <c r="F534" s="51"/>
      <c r="G534" s="51"/>
      <c r="H534" s="51"/>
      <c r="I534" s="51"/>
      <c r="J534" s="51"/>
      <c r="K534" s="51"/>
      <c r="L534" s="106"/>
      <c r="M534" s="51"/>
      <c r="N534" s="94"/>
      <c r="O534" s="51"/>
      <c r="P534" s="51"/>
      <c r="Q534" s="51"/>
      <c r="R534" s="51"/>
      <c r="S534" s="51"/>
      <c r="T534" s="51"/>
      <c r="U534" s="51"/>
      <c r="V534" s="51"/>
      <c r="W534" s="51"/>
      <c r="X534" s="51"/>
      <c r="Y534" s="51"/>
      <c r="Z534" s="51"/>
    </row>
    <row r="535" spans="1:26" x14ac:dyDescent="0.3">
      <c r="A535" s="51"/>
      <c r="B535" s="102"/>
      <c r="C535" s="51"/>
      <c r="E535" s="51"/>
      <c r="F535" s="51"/>
      <c r="G535" s="51"/>
      <c r="H535" s="51"/>
      <c r="I535" s="51"/>
      <c r="J535" s="51"/>
      <c r="K535" s="51"/>
      <c r="L535" s="106"/>
      <c r="M535" s="51"/>
      <c r="N535" s="94"/>
      <c r="O535" s="51"/>
      <c r="P535" s="51"/>
      <c r="Q535" s="51"/>
      <c r="R535" s="51"/>
      <c r="S535" s="51"/>
      <c r="T535" s="51"/>
      <c r="U535" s="51"/>
      <c r="V535" s="51"/>
      <c r="W535" s="51"/>
      <c r="X535" s="51"/>
      <c r="Y535" s="51"/>
      <c r="Z535" s="51"/>
    </row>
    <row r="536" spans="1:26" x14ac:dyDescent="0.3">
      <c r="A536" s="51"/>
      <c r="B536" s="102"/>
      <c r="C536" s="51"/>
      <c r="E536" s="51"/>
      <c r="F536" s="51"/>
      <c r="G536" s="51"/>
      <c r="H536" s="51"/>
      <c r="I536" s="51"/>
      <c r="J536" s="51"/>
      <c r="K536" s="51"/>
      <c r="L536" s="106"/>
      <c r="M536" s="51"/>
      <c r="N536" s="94"/>
      <c r="O536" s="51"/>
      <c r="P536" s="51"/>
      <c r="Q536" s="51"/>
      <c r="R536" s="51"/>
      <c r="S536" s="51"/>
      <c r="T536" s="51"/>
      <c r="U536" s="51"/>
      <c r="V536" s="51"/>
      <c r="W536" s="51"/>
      <c r="X536" s="51"/>
      <c r="Y536" s="51"/>
      <c r="Z536" s="51"/>
    </row>
    <row r="537" spans="1:26" x14ac:dyDescent="0.3">
      <c r="A537" s="51"/>
      <c r="B537" s="102"/>
      <c r="C537" s="51"/>
      <c r="E537" s="51"/>
      <c r="F537" s="51"/>
      <c r="G537" s="51"/>
      <c r="H537" s="51"/>
      <c r="I537" s="51"/>
      <c r="J537" s="51"/>
      <c r="K537" s="51"/>
      <c r="L537" s="106"/>
      <c r="M537" s="51"/>
      <c r="N537" s="94"/>
      <c r="O537" s="51"/>
      <c r="P537" s="51"/>
      <c r="Q537" s="51"/>
      <c r="R537" s="51"/>
      <c r="S537" s="51"/>
      <c r="T537" s="51"/>
      <c r="U537" s="51"/>
      <c r="V537" s="51"/>
      <c r="W537" s="51"/>
      <c r="X537" s="51"/>
      <c r="Y537" s="51"/>
      <c r="Z537" s="51"/>
    </row>
    <row r="538" spans="1:26" x14ac:dyDescent="0.3">
      <c r="A538" s="51"/>
      <c r="B538" s="102"/>
      <c r="C538" s="51"/>
      <c r="E538" s="51"/>
      <c r="F538" s="51"/>
      <c r="G538" s="51"/>
      <c r="H538" s="51"/>
      <c r="I538" s="51"/>
      <c r="J538" s="51"/>
      <c r="K538" s="51"/>
      <c r="L538" s="106"/>
      <c r="M538" s="51"/>
      <c r="N538" s="94"/>
      <c r="O538" s="51"/>
      <c r="P538" s="51"/>
      <c r="Q538" s="51"/>
      <c r="R538" s="51"/>
      <c r="S538" s="51"/>
      <c r="T538" s="51"/>
      <c r="U538" s="51"/>
      <c r="V538" s="51"/>
      <c r="W538" s="51"/>
      <c r="X538" s="51"/>
      <c r="Y538" s="51"/>
      <c r="Z538" s="51"/>
    </row>
    <row r="539" spans="1:26" x14ac:dyDescent="0.3">
      <c r="A539" s="51"/>
      <c r="B539" s="102"/>
      <c r="C539" s="51"/>
      <c r="E539" s="51"/>
      <c r="F539" s="51"/>
      <c r="G539" s="51"/>
      <c r="H539" s="51"/>
      <c r="I539" s="51"/>
      <c r="J539" s="51"/>
      <c r="K539" s="51"/>
      <c r="L539" s="106"/>
      <c r="M539" s="51"/>
      <c r="N539" s="94"/>
      <c r="O539" s="51"/>
      <c r="P539" s="51"/>
      <c r="Q539" s="51"/>
      <c r="R539" s="51"/>
      <c r="S539" s="51"/>
      <c r="T539" s="51"/>
      <c r="U539" s="51"/>
      <c r="V539" s="51"/>
      <c r="W539" s="51"/>
      <c r="X539" s="51"/>
      <c r="Y539" s="51"/>
      <c r="Z539" s="51"/>
    </row>
    <row r="540" spans="1:26" x14ac:dyDescent="0.3">
      <c r="A540" s="51"/>
      <c r="B540" s="102"/>
      <c r="C540" s="51"/>
      <c r="E540" s="51"/>
      <c r="F540" s="51"/>
      <c r="G540" s="51"/>
      <c r="H540" s="51"/>
      <c r="I540" s="51"/>
      <c r="J540" s="51"/>
      <c r="K540" s="51"/>
      <c r="L540" s="106"/>
      <c r="M540" s="51"/>
      <c r="N540" s="94"/>
      <c r="O540" s="51"/>
      <c r="P540" s="51"/>
      <c r="Q540" s="51"/>
      <c r="R540" s="51"/>
      <c r="S540" s="51"/>
      <c r="T540" s="51"/>
      <c r="U540" s="51"/>
      <c r="V540" s="51"/>
      <c r="W540" s="51"/>
      <c r="X540" s="51"/>
      <c r="Y540" s="51"/>
      <c r="Z540" s="51"/>
    </row>
    <row r="541" spans="1:26" x14ac:dyDescent="0.3">
      <c r="A541" s="51"/>
      <c r="B541" s="102"/>
      <c r="C541" s="51"/>
      <c r="E541" s="51"/>
      <c r="F541" s="51"/>
      <c r="G541" s="51"/>
      <c r="H541" s="51"/>
      <c r="I541" s="51"/>
      <c r="J541" s="51"/>
      <c r="K541" s="51"/>
      <c r="L541" s="106"/>
      <c r="M541" s="51"/>
      <c r="N541" s="94"/>
      <c r="O541" s="51"/>
      <c r="P541" s="51"/>
      <c r="Q541" s="51"/>
      <c r="R541" s="51"/>
      <c r="S541" s="51"/>
      <c r="T541" s="51"/>
      <c r="U541" s="51"/>
      <c r="V541" s="51"/>
      <c r="W541" s="51"/>
      <c r="X541" s="51"/>
      <c r="Y541" s="51"/>
      <c r="Z541" s="51"/>
    </row>
    <row r="542" spans="1:26" x14ac:dyDescent="0.3">
      <c r="A542" s="51"/>
      <c r="B542" s="102"/>
      <c r="C542" s="51"/>
      <c r="E542" s="51"/>
      <c r="F542" s="51"/>
      <c r="G542" s="51"/>
      <c r="H542" s="51"/>
      <c r="I542" s="51"/>
      <c r="J542" s="51"/>
      <c r="K542" s="51"/>
      <c r="L542" s="106"/>
      <c r="M542" s="51"/>
      <c r="N542" s="94"/>
      <c r="O542" s="51"/>
      <c r="P542" s="51"/>
      <c r="Q542" s="51"/>
      <c r="R542" s="51"/>
      <c r="S542" s="51"/>
      <c r="T542" s="51"/>
      <c r="U542" s="51"/>
      <c r="V542" s="51"/>
      <c r="W542" s="51"/>
      <c r="X542" s="51"/>
      <c r="Y542" s="51"/>
      <c r="Z542" s="51"/>
    </row>
    <row r="543" spans="1:26" x14ac:dyDescent="0.3">
      <c r="A543" s="51"/>
      <c r="B543" s="102"/>
      <c r="C543" s="51"/>
      <c r="E543" s="51"/>
      <c r="F543" s="51"/>
      <c r="G543" s="51"/>
      <c r="H543" s="51"/>
      <c r="I543" s="51"/>
      <c r="J543" s="51"/>
      <c r="K543" s="51"/>
      <c r="L543" s="106"/>
      <c r="M543" s="51"/>
      <c r="N543" s="94"/>
      <c r="O543" s="51"/>
      <c r="P543" s="51"/>
      <c r="Q543" s="51"/>
      <c r="R543" s="51"/>
      <c r="S543" s="51"/>
      <c r="T543" s="51"/>
      <c r="U543" s="51"/>
      <c r="V543" s="51"/>
      <c r="W543" s="51"/>
      <c r="X543" s="51"/>
      <c r="Y543" s="51"/>
      <c r="Z543" s="51"/>
    </row>
    <row r="544" spans="1:26" x14ac:dyDescent="0.3">
      <c r="A544" s="51"/>
      <c r="B544" s="102"/>
      <c r="C544" s="51"/>
      <c r="E544" s="51"/>
      <c r="F544" s="51"/>
      <c r="G544" s="51"/>
      <c r="H544" s="51"/>
      <c r="I544" s="51"/>
      <c r="J544" s="51"/>
      <c r="K544" s="51"/>
      <c r="L544" s="106"/>
      <c r="M544" s="51"/>
      <c r="N544" s="94"/>
      <c r="O544" s="51"/>
      <c r="P544" s="51"/>
      <c r="Q544" s="51"/>
      <c r="R544" s="51"/>
      <c r="S544" s="51"/>
      <c r="T544" s="51"/>
      <c r="U544" s="51"/>
      <c r="V544" s="51"/>
      <c r="W544" s="51"/>
      <c r="X544" s="51"/>
      <c r="Y544" s="51"/>
      <c r="Z544" s="51"/>
    </row>
    <row r="545" spans="1:26" x14ac:dyDescent="0.3">
      <c r="A545" s="51"/>
      <c r="B545" s="102"/>
      <c r="C545" s="51"/>
      <c r="E545" s="51"/>
      <c r="F545" s="51"/>
      <c r="G545" s="51"/>
      <c r="H545" s="51"/>
      <c r="I545" s="51"/>
      <c r="J545" s="51"/>
      <c r="K545" s="51"/>
      <c r="L545" s="106"/>
      <c r="M545" s="51"/>
      <c r="N545" s="94"/>
      <c r="O545" s="51"/>
      <c r="P545" s="51"/>
      <c r="Q545" s="51"/>
      <c r="R545" s="51"/>
      <c r="S545" s="51"/>
      <c r="T545" s="51"/>
      <c r="U545" s="51"/>
      <c r="V545" s="51"/>
      <c r="W545" s="51"/>
      <c r="X545" s="51"/>
      <c r="Y545" s="51"/>
      <c r="Z545" s="51"/>
    </row>
    <row r="546" spans="1:26" x14ac:dyDescent="0.3">
      <c r="A546" s="51"/>
      <c r="B546" s="102"/>
      <c r="C546" s="51"/>
      <c r="E546" s="51"/>
      <c r="F546" s="51"/>
      <c r="G546" s="51"/>
      <c r="H546" s="51"/>
      <c r="I546" s="51"/>
      <c r="J546" s="51"/>
      <c r="K546" s="51"/>
      <c r="L546" s="106"/>
      <c r="M546" s="51"/>
      <c r="N546" s="94"/>
      <c r="O546" s="51"/>
      <c r="P546" s="51"/>
      <c r="Q546" s="51"/>
      <c r="R546" s="51"/>
      <c r="S546" s="51"/>
      <c r="T546" s="51"/>
      <c r="U546" s="51"/>
      <c r="V546" s="51"/>
      <c r="W546" s="51"/>
      <c r="X546" s="51"/>
      <c r="Y546" s="51"/>
      <c r="Z546" s="51"/>
    </row>
    <row r="547" spans="1:26" x14ac:dyDescent="0.3">
      <c r="A547" s="51"/>
      <c r="B547" s="102"/>
      <c r="C547" s="51"/>
      <c r="E547" s="51"/>
      <c r="F547" s="51"/>
      <c r="G547" s="51"/>
      <c r="H547" s="51"/>
      <c r="I547" s="51"/>
      <c r="J547" s="51"/>
      <c r="K547" s="51"/>
      <c r="L547" s="106"/>
      <c r="M547" s="51"/>
      <c r="N547" s="94"/>
      <c r="O547" s="51"/>
      <c r="P547" s="51"/>
      <c r="Q547" s="51"/>
      <c r="R547" s="51"/>
      <c r="S547" s="51"/>
      <c r="T547" s="51"/>
      <c r="U547" s="51"/>
      <c r="V547" s="51"/>
      <c r="W547" s="51"/>
      <c r="X547" s="51"/>
      <c r="Y547" s="51"/>
      <c r="Z547" s="51"/>
    </row>
    <row r="548" spans="1:26" x14ac:dyDescent="0.3">
      <c r="A548" s="51"/>
      <c r="B548" s="102"/>
      <c r="C548" s="51"/>
      <c r="E548" s="51"/>
      <c r="F548" s="51"/>
      <c r="G548" s="51"/>
      <c r="H548" s="51"/>
      <c r="I548" s="51"/>
      <c r="J548" s="51"/>
      <c r="K548" s="51"/>
      <c r="L548" s="106"/>
      <c r="M548" s="51"/>
      <c r="N548" s="94"/>
      <c r="O548" s="51"/>
      <c r="P548" s="51"/>
      <c r="Q548" s="51"/>
      <c r="R548" s="51"/>
      <c r="S548" s="51"/>
      <c r="T548" s="51"/>
      <c r="U548" s="51"/>
      <c r="V548" s="51"/>
      <c r="W548" s="51"/>
      <c r="X548" s="51"/>
      <c r="Y548" s="51"/>
      <c r="Z548" s="51"/>
    </row>
    <row r="549" spans="1:26" x14ac:dyDescent="0.3">
      <c r="A549" s="51"/>
      <c r="B549" s="102"/>
      <c r="C549" s="51"/>
      <c r="E549" s="51"/>
      <c r="F549" s="51"/>
      <c r="G549" s="51"/>
      <c r="H549" s="51"/>
      <c r="I549" s="51"/>
      <c r="J549" s="51"/>
      <c r="K549" s="51"/>
      <c r="L549" s="106"/>
      <c r="M549" s="51"/>
      <c r="N549" s="94"/>
      <c r="O549" s="51"/>
      <c r="P549" s="51"/>
      <c r="Q549" s="51"/>
      <c r="R549" s="51"/>
      <c r="S549" s="51"/>
      <c r="T549" s="51"/>
      <c r="U549" s="51"/>
      <c r="V549" s="51"/>
      <c r="W549" s="51"/>
      <c r="X549" s="51"/>
      <c r="Y549" s="51"/>
      <c r="Z549" s="51"/>
    </row>
    <row r="550" spans="1:26" x14ac:dyDescent="0.3">
      <c r="A550" s="51"/>
      <c r="B550" s="102"/>
      <c r="C550" s="51"/>
      <c r="E550" s="51"/>
      <c r="F550" s="51"/>
      <c r="G550" s="51"/>
      <c r="H550" s="51"/>
      <c r="I550" s="51"/>
      <c r="J550" s="51"/>
      <c r="K550" s="51"/>
      <c r="L550" s="106"/>
      <c r="M550" s="51"/>
      <c r="N550" s="94"/>
      <c r="O550" s="51"/>
      <c r="P550" s="51"/>
      <c r="Q550" s="51"/>
      <c r="R550" s="51"/>
      <c r="S550" s="51"/>
      <c r="T550" s="51"/>
      <c r="U550" s="51"/>
      <c r="V550" s="51"/>
      <c r="W550" s="51"/>
      <c r="X550" s="51"/>
      <c r="Y550" s="51"/>
      <c r="Z550" s="51"/>
    </row>
    <row r="551" spans="1:26" x14ac:dyDescent="0.3">
      <c r="A551" s="51"/>
      <c r="B551" s="102"/>
      <c r="C551" s="51"/>
      <c r="E551" s="51"/>
      <c r="F551" s="51"/>
      <c r="G551" s="51"/>
      <c r="H551" s="51"/>
      <c r="I551" s="51"/>
      <c r="J551" s="51"/>
      <c r="K551" s="51"/>
      <c r="L551" s="106"/>
      <c r="M551" s="51"/>
      <c r="N551" s="94"/>
      <c r="O551" s="51"/>
      <c r="P551" s="51"/>
      <c r="Q551" s="51"/>
      <c r="R551" s="51"/>
      <c r="S551" s="51"/>
      <c r="T551" s="51"/>
      <c r="U551" s="51"/>
      <c r="V551" s="51"/>
      <c r="W551" s="51"/>
      <c r="X551" s="51"/>
      <c r="Y551" s="51"/>
      <c r="Z551" s="51"/>
    </row>
    <row r="552" spans="1:26" x14ac:dyDescent="0.3">
      <c r="A552" s="51"/>
      <c r="B552" s="102"/>
      <c r="C552" s="51"/>
      <c r="E552" s="51"/>
      <c r="F552" s="51"/>
      <c r="G552" s="51"/>
      <c r="H552" s="51"/>
      <c r="I552" s="51"/>
      <c r="J552" s="51"/>
      <c r="K552" s="51"/>
      <c r="L552" s="106"/>
      <c r="M552" s="51"/>
      <c r="N552" s="94"/>
      <c r="O552" s="51"/>
      <c r="P552" s="51"/>
      <c r="Q552" s="51"/>
      <c r="R552" s="51"/>
      <c r="S552" s="51"/>
      <c r="T552" s="51"/>
      <c r="U552" s="51"/>
      <c r="V552" s="51"/>
      <c r="W552" s="51"/>
      <c r="X552" s="51"/>
      <c r="Y552" s="51"/>
      <c r="Z552" s="51"/>
    </row>
    <row r="553" spans="1:26" x14ac:dyDescent="0.3">
      <c r="A553" s="51"/>
      <c r="B553" s="102"/>
      <c r="C553" s="51"/>
      <c r="E553" s="51"/>
      <c r="F553" s="51"/>
      <c r="G553" s="51"/>
      <c r="H553" s="51"/>
      <c r="I553" s="51"/>
      <c r="J553" s="51"/>
      <c r="K553" s="51"/>
      <c r="L553" s="106"/>
      <c r="M553" s="51"/>
      <c r="N553" s="94"/>
      <c r="O553" s="51"/>
      <c r="P553" s="51"/>
      <c r="Q553" s="51"/>
      <c r="R553" s="51"/>
      <c r="S553" s="51"/>
      <c r="T553" s="51"/>
      <c r="U553" s="51"/>
      <c r="V553" s="51"/>
      <c r="W553" s="51"/>
      <c r="X553" s="51"/>
      <c r="Y553" s="51"/>
      <c r="Z553" s="51"/>
    </row>
    <row r="554" spans="1:26" x14ac:dyDescent="0.3">
      <c r="A554" s="51"/>
      <c r="B554" s="102"/>
      <c r="C554" s="51"/>
      <c r="E554" s="51"/>
      <c r="F554" s="51"/>
      <c r="G554" s="51"/>
      <c r="H554" s="51"/>
      <c r="I554" s="51"/>
      <c r="J554" s="51"/>
      <c r="K554" s="51"/>
      <c r="L554" s="106"/>
      <c r="M554" s="51"/>
      <c r="N554" s="94"/>
      <c r="O554" s="51"/>
      <c r="P554" s="51"/>
      <c r="Q554" s="51"/>
      <c r="R554" s="51"/>
      <c r="S554" s="51"/>
      <c r="T554" s="51"/>
      <c r="U554" s="51"/>
      <c r="V554" s="51"/>
      <c r="W554" s="51"/>
      <c r="X554" s="51"/>
      <c r="Y554" s="51"/>
      <c r="Z554" s="51"/>
    </row>
    <row r="555" spans="1:26" x14ac:dyDescent="0.3">
      <c r="A555" s="51"/>
      <c r="B555" s="102"/>
      <c r="C555" s="51"/>
      <c r="E555" s="51"/>
      <c r="F555" s="51"/>
      <c r="G555" s="51"/>
      <c r="H555" s="51"/>
      <c r="I555" s="51"/>
      <c r="J555" s="51"/>
      <c r="K555" s="51"/>
      <c r="L555" s="106"/>
      <c r="M555" s="51"/>
      <c r="N555" s="94"/>
      <c r="O555" s="51"/>
      <c r="P555" s="51"/>
      <c r="Q555" s="51"/>
      <c r="R555" s="51"/>
      <c r="S555" s="51"/>
      <c r="T555" s="51"/>
      <c r="U555" s="51"/>
      <c r="V555" s="51"/>
      <c r="W555" s="51"/>
      <c r="X555" s="51"/>
      <c r="Y555" s="51"/>
      <c r="Z555" s="51"/>
    </row>
    <row r="556" spans="1:26" x14ac:dyDescent="0.3">
      <c r="A556" s="51"/>
      <c r="B556" s="102"/>
      <c r="C556" s="51"/>
      <c r="E556" s="51"/>
      <c r="F556" s="51"/>
      <c r="G556" s="51"/>
      <c r="H556" s="51"/>
      <c r="I556" s="51"/>
      <c r="J556" s="51"/>
      <c r="K556" s="51"/>
      <c r="L556" s="106"/>
      <c r="M556" s="51"/>
      <c r="N556" s="94"/>
      <c r="O556" s="51"/>
      <c r="P556" s="51"/>
      <c r="Q556" s="51"/>
      <c r="R556" s="51"/>
      <c r="S556" s="51"/>
      <c r="T556" s="51"/>
      <c r="U556" s="51"/>
      <c r="V556" s="51"/>
      <c r="W556" s="51"/>
      <c r="X556" s="51"/>
      <c r="Y556" s="51"/>
      <c r="Z556" s="51"/>
    </row>
    <row r="557" spans="1:26" x14ac:dyDescent="0.3">
      <c r="A557" s="51"/>
      <c r="B557" s="102"/>
      <c r="C557" s="51"/>
      <c r="E557" s="51"/>
      <c r="F557" s="51"/>
      <c r="G557" s="51"/>
      <c r="H557" s="51"/>
      <c r="I557" s="51"/>
      <c r="J557" s="51"/>
      <c r="K557" s="51"/>
      <c r="L557" s="106"/>
      <c r="M557" s="51"/>
      <c r="N557" s="94"/>
      <c r="O557" s="51"/>
      <c r="P557" s="51"/>
      <c r="Q557" s="51"/>
      <c r="R557" s="51"/>
      <c r="S557" s="51"/>
      <c r="T557" s="51"/>
      <c r="U557" s="51"/>
      <c r="V557" s="51"/>
      <c r="W557" s="51"/>
      <c r="X557" s="51"/>
      <c r="Y557" s="51"/>
      <c r="Z557" s="51"/>
    </row>
    <row r="558" spans="1:26" x14ac:dyDescent="0.3">
      <c r="A558" s="51"/>
      <c r="B558" s="102"/>
      <c r="C558" s="51"/>
      <c r="E558" s="51"/>
      <c r="F558" s="51"/>
      <c r="G558" s="51"/>
      <c r="H558" s="51"/>
      <c r="I558" s="51"/>
      <c r="J558" s="51"/>
      <c r="K558" s="51"/>
      <c r="L558" s="106"/>
      <c r="M558" s="51"/>
      <c r="N558" s="94"/>
      <c r="O558" s="51"/>
      <c r="P558" s="51"/>
      <c r="Q558" s="51"/>
      <c r="R558" s="51"/>
      <c r="S558" s="51"/>
      <c r="T558" s="51"/>
      <c r="U558" s="51"/>
      <c r="V558" s="51"/>
      <c r="W558" s="51"/>
      <c r="X558" s="51"/>
      <c r="Y558" s="51"/>
      <c r="Z558" s="51"/>
    </row>
    <row r="559" spans="1:26" x14ac:dyDescent="0.3">
      <c r="A559" s="51"/>
      <c r="B559" s="102"/>
      <c r="C559" s="51"/>
      <c r="E559" s="51"/>
      <c r="F559" s="51"/>
      <c r="G559" s="51"/>
      <c r="H559" s="51"/>
      <c r="I559" s="51"/>
      <c r="J559" s="51"/>
      <c r="K559" s="51"/>
      <c r="L559" s="106"/>
      <c r="M559" s="51"/>
      <c r="N559" s="94"/>
      <c r="O559" s="51"/>
      <c r="P559" s="51"/>
      <c r="Q559" s="51"/>
      <c r="R559" s="51"/>
      <c r="S559" s="51"/>
      <c r="T559" s="51"/>
      <c r="U559" s="51"/>
      <c r="V559" s="51"/>
      <c r="W559" s="51"/>
      <c r="X559" s="51"/>
      <c r="Y559" s="51"/>
      <c r="Z559" s="51"/>
    </row>
    <row r="560" spans="1:26" x14ac:dyDescent="0.3">
      <c r="A560" s="51"/>
      <c r="B560" s="102"/>
      <c r="C560" s="51"/>
      <c r="E560" s="51"/>
      <c r="F560" s="51"/>
      <c r="G560" s="51"/>
      <c r="H560" s="51"/>
      <c r="I560" s="51"/>
      <c r="J560" s="51"/>
      <c r="K560" s="51"/>
      <c r="L560" s="106"/>
      <c r="M560" s="51"/>
      <c r="N560" s="94"/>
      <c r="O560" s="51"/>
      <c r="P560" s="51"/>
      <c r="Q560" s="51"/>
      <c r="R560" s="51"/>
      <c r="S560" s="51"/>
      <c r="T560" s="51"/>
      <c r="U560" s="51"/>
      <c r="V560" s="51"/>
      <c r="W560" s="51"/>
      <c r="X560" s="51"/>
      <c r="Y560" s="51"/>
      <c r="Z560" s="51"/>
    </row>
    <row r="561" spans="1:26" x14ac:dyDescent="0.3">
      <c r="A561" s="51"/>
      <c r="B561" s="102"/>
      <c r="C561" s="51"/>
      <c r="E561" s="51"/>
      <c r="F561" s="51"/>
      <c r="G561" s="51"/>
      <c r="H561" s="51"/>
      <c r="I561" s="51"/>
      <c r="J561" s="51"/>
      <c r="K561" s="51"/>
      <c r="L561" s="106"/>
      <c r="M561" s="51"/>
      <c r="N561" s="94"/>
      <c r="O561" s="51"/>
      <c r="P561" s="51"/>
      <c r="Q561" s="51"/>
      <c r="R561" s="51"/>
      <c r="S561" s="51"/>
      <c r="T561" s="51"/>
      <c r="U561" s="51"/>
      <c r="V561" s="51"/>
      <c r="W561" s="51"/>
      <c r="X561" s="51"/>
      <c r="Y561" s="51"/>
      <c r="Z561" s="51"/>
    </row>
    <row r="562" spans="1:26" x14ac:dyDescent="0.3">
      <c r="A562" s="51"/>
      <c r="B562" s="102"/>
      <c r="C562" s="51"/>
      <c r="E562" s="51"/>
      <c r="F562" s="51"/>
      <c r="G562" s="51"/>
      <c r="H562" s="51"/>
      <c r="I562" s="51"/>
      <c r="J562" s="51"/>
      <c r="K562" s="51"/>
      <c r="L562" s="106"/>
      <c r="M562" s="51"/>
      <c r="N562" s="94"/>
      <c r="O562" s="51"/>
      <c r="P562" s="51"/>
      <c r="Q562" s="51"/>
      <c r="R562" s="51"/>
      <c r="S562" s="51"/>
      <c r="T562" s="51"/>
      <c r="U562" s="51"/>
      <c r="V562" s="51"/>
      <c r="W562" s="51"/>
      <c r="X562" s="51"/>
      <c r="Y562" s="51"/>
      <c r="Z562" s="51"/>
    </row>
    <row r="563" spans="1:26" x14ac:dyDescent="0.3">
      <c r="A563" s="51"/>
      <c r="B563" s="102"/>
      <c r="C563" s="51"/>
      <c r="E563" s="51"/>
      <c r="F563" s="51"/>
      <c r="G563" s="51"/>
      <c r="H563" s="51"/>
      <c r="I563" s="51"/>
      <c r="J563" s="51"/>
      <c r="K563" s="51"/>
      <c r="L563" s="106"/>
      <c r="M563" s="51"/>
      <c r="N563" s="94"/>
      <c r="O563" s="51"/>
      <c r="P563" s="51"/>
      <c r="Q563" s="51"/>
      <c r="R563" s="51"/>
      <c r="S563" s="51"/>
      <c r="T563" s="51"/>
      <c r="U563" s="51"/>
      <c r="V563" s="51"/>
      <c r="W563" s="51"/>
      <c r="X563" s="51"/>
      <c r="Y563" s="51"/>
      <c r="Z563" s="51"/>
    </row>
    <row r="564" spans="1:26" x14ac:dyDescent="0.3">
      <c r="A564" s="51"/>
      <c r="B564" s="102"/>
      <c r="C564" s="51"/>
      <c r="E564" s="51"/>
      <c r="F564" s="51"/>
      <c r="G564" s="51"/>
      <c r="H564" s="51"/>
      <c r="I564" s="51"/>
      <c r="J564" s="51"/>
      <c r="K564" s="51"/>
      <c r="L564" s="106"/>
      <c r="M564" s="51"/>
      <c r="N564" s="94"/>
      <c r="O564" s="51"/>
      <c r="P564" s="51"/>
      <c r="Q564" s="51"/>
      <c r="R564" s="51"/>
      <c r="S564" s="51"/>
      <c r="T564" s="51"/>
      <c r="U564" s="51"/>
      <c r="V564" s="51"/>
      <c r="W564" s="51"/>
      <c r="X564" s="51"/>
      <c r="Y564" s="51"/>
      <c r="Z564" s="51"/>
    </row>
    <row r="565" spans="1:26" x14ac:dyDescent="0.3">
      <c r="A565" s="51"/>
      <c r="B565" s="102"/>
      <c r="C565" s="51"/>
      <c r="E565" s="51"/>
      <c r="F565" s="51"/>
      <c r="G565" s="51"/>
      <c r="H565" s="51"/>
      <c r="I565" s="51"/>
      <c r="J565" s="51"/>
      <c r="K565" s="51"/>
      <c r="L565" s="106"/>
      <c r="M565" s="51"/>
      <c r="N565" s="94"/>
      <c r="O565" s="51"/>
      <c r="P565" s="51"/>
      <c r="Q565" s="51"/>
      <c r="R565" s="51"/>
      <c r="S565" s="51"/>
      <c r="T565" s="51"/>
      <c r="U565" s="51"/>
      <c r="V565" s="51"/>
      <c r="W565" s="51"/>
      <c r="X565" s="51"/>
      <c r="Y565" s="51"/>
      <c r="Z565" s="51"/>
    </row>
    <row r="566" spans="1:26" x14ac:dyDescent="0.3">
      <c r="A566" s="51"/>
      <c r="B566" s="102"/>
      <c r="C566" s="51"/>
      <c r="E566" s="51"/>
      <c r="F566" s="51"/>
      <c r="G566" s="51"/>
      <c r="H566" s="51"/>
      <c r="I566" s="51"/>
      <c r="J566" s="51"/>
      <c r="K566" s="51"/>
      <c r="L566" s="106"/>
      <c r="M566" s="51"/>
      <c r="N566" s="94"/>
      <c r="O566" s="51"/>
      <c r="P566" s="51"/>
      <c r="Q566" s="51"/>
      <c r="R566" s="51"/>
      <c r="S566" s="51"/>
      <c r="T566" s="51"/>
      <c r="U566" s="51"/>
      <c r="V566" s="51"/>
      <c r="W566" s="51"/>
      <c r="X566" s="51"/>
      <c r="Y566" s="51"/>
      <c r="Z566" s="51"/>
    </row>
    <row r="567" spans="1:26" x14ac:dyDescent="0.3">
      <c r="A567" s="51"/>
      <c r="B567" s="102"/>
      <c r="C567" s="51"/>
      <c r="E567" s="51"/>
      <c r="F567" s="51"/>
      <c r="G567" s="51"/>
      <c r="H567" s="51"/>
      <c r="I567" s="51"/>
      <c r="J567" s="51"/>
      <c r="K567" s="51"/>
      <c r="L567" s="106"/>
      <c r="M567" s="51"/>
      <c r="N567" s="94"/>
      <c r="O567" s="51"/>
      <c r="P567" s="51"/>
      <c r="Q567" s="51"/>
      <c r="R567" s="51"/>
      <c r="S567" s="51"/>
      <c r="T567" s="51"/>
      <c r="U567" s="51"/>
      <c r="V567" s="51"/>
      <c r="W567" s="51"/>
      <c r="X567" s="51"/>
      <c r="Y567" s="51"/>
      <c r="Z567" s="51"/>
    </row>
    <row r="568" spans="1:26" x14ac:dyDescent="0.3">
      <c r="A568" s="51"/>
      <c r="B568" s="102"/>
      <c r="C568" s="51"/>
      <c r="E568" s="51"/>
      <c r="F568" s="51"/>
      <c r="G568" s="51"/>
      <c r="H568" s="51"/>
      <c r="I568" s="51"/>
      <c r="J568" s="51"/>
      <c r="K568" s="51"/>
      <c r="L568" s="106"/>
      <c r="M568" s="51"/>
      <c r="N568" s="94"/>
      <c r="O568" s="51"/>
      <c r="P568" s="51"/>
      <c r="Q568" s="51"/>
      <c r="R568" s="51"/>
      <c r="S568" s="51"/>
      <c r="T568" s="51"/>
      <c r="U568" s="51"/>
      <c r="V568" s="51"/>
      <c r="W568" s="51"/>
      <c r="X568" s="51"/>
      <c r="Y568" s="51"/>
      <c r="Z568" s="51"/>
    </row>
    <row r="569" spans="1:26" x14ac:dyDescent="0.3">
      <c r="A569" s="51"/>
      <c r="B569" s="102"/>
      <c r="C569" s="51"/>
      <c r="E569" s="51"/>
      <c r="F569" s="51"/>
      <c r="G569" s="51"/>
      <c r="H569" s="51"/>
      <c r="I569" s="51"/>
      <c r="J569" s="51"/>
      <c r="K569" s="51"/>
      <c r="L569" s="106"/>
      <c r="M569" s="51"/>
      <c r="N569" s="94"/>
      <c r="O569" s="51"/>
      <c r="P569" s="51"/>
      <c r="Q569" s="51"/>
      <c r="R569" s="51"/>
      <c r="S569" s="51"/>
      <c r="T569" s="51"/>
      <c r="U569" s="51"/>
      <c r="V569" s="51"/>
      <c r="W569" s="51"/>
      <c r="X569" s="51"/>
      <c r="Y569" s="51"/>
      <c r="Z569" s="51"/>
    </row>
    <row r="570" spans="1:26" x14ac:dyDescent="0.3">
      <c r="A570" s="51"/>
      <c r="B570" s="102"/>
      <c r="C570" s="51"/>
      <c r="E570" s="51"/>
      <c r="F570" s="51"/>
      <c r="G570" s="51"/>
      <c r="H570" s="51"/>
      <c r="I570" s="51"/>
      <c r="J570" s="51"/>
      <c r="K570" s="51"/>
      <c r="L570" s="106"/>
      <c r="M570" s="51"/>
      <c r="N570" s="94"/>
      <c r="O570" s="51"/>
      <c r="P570" s="51"/>
      <c r="Q570" s="51"/>
      <c r="R570" s="51"/>
      <c r="S570" s="51"/>
      <c r="T570" s="51"/>
      <c r="U570" s="51"/>
      <c r="V570" s="51"/>
      <c r="W570" s="51"/>
      <c r="X570" s="51"/>
      <c r="Y570" s="51"/>
      <c r="Z570" s="51"/>
    </row>
    <row r="571" spans="1:26" x14ac:dyDescent="0.3">
      <c r="A571" s="51"/>
      <c r="B571" s="102"/>
      <c r="C571" s="51"/>
      <c r="E571" s="51"/>
      <c r="F571" s="51"/>
      <c r="G571" s="51"/>
      <c r="H571" s="51"/>
      <c r="I571" s="51"/>
      <c r="J571" s="51"/>
      <c r="K571" s="51"/>
      <c r="L571" s="106"/>
      <c r="M571" s="51"/>
      <c r="N571" s="94"/>
      <c r="O571" s="51"/>
      <c r="P571" s="51"/>
      <c r="Q571" s="51"/>
      <c r="R571" s="51"/>
      <c r="S571" s="51"/>
      <c r="T571" s="51"/>
      <c r="U571" s="51"/>
      <c r="V571" s="51"/>
      <c r="W571" s="51"/>
      <c r="X571" s="51"/>
      <c r="Y571" s="51"/>
      <c r="Z571" s="51"/>
    </row>
    <row r="572" spans="1:26" x14ac:dyDescent="0.3">
      <c r="A572" s="51"/>
      <c r="B572" s="102"/>
      <c r="C572" s="51"/>
      <c r="E572" s="51"/>
      <c r="F572" s="51"/>
      <c r="G572" s="51"/>
      <c r="H572" s="51"/>
      <c r="I572" s="51"/>
      <c r="J572" s="51"/>
      <c r="K572" s="51"/>
      <c r="L572" s="106"/>
      <c r="M572" s="51"/>
      <c r="N572" s="94"/>
      <c r="O572" s="51"/>
      <c r="P572" s="51"/>
      <c r="Q572" s="51"/>
      <c r="R572" s="51"/>
      <c r="S572" s="51"/>
      <c r="T572" s="51"/>
      <c r="U572" s="51"/>
      <c r="V572" s="51"/>
      <c r="W572" s="51"/>
      <c r="X572" s="51"/>
      <c r="Y572" s="51"/>
      <c r="Z572" s="51"/>
    </row>
    <row r="573" spans="1:26" x14ac:dyDescent="0.3">
      <c r="A573" s="51"/>
      <c r="B573" s="102"/>
      <c r="C573" s="51"/>
      <c r="E573" s="51"/>
      <c r="F573" s="51"/>
      <c r="G573" s="51"/>
      <c r="H573" s="51"/>
      <c r="I573" s="51"/>
      <c r="J573" s="51"/>
      <c r="K573" s="51"/>
      <c r="L573" s="106"/>
      <c r="M573" s="51"/>
      <c r="N573" s="94"/>
      <c r="O573" s="51"/>
      <c r="P573" s="51"/>
      <c r="Q573" s="51"/>
      <c r="R573" s="51"/>
      <c r="S573" s="51"/>
      <c r="T573" s="51"/>
      <c r="U573" s="51"/>
      <c r="V573" s="51"/>
      <c r="W573" s="51"/>
      <c r="X573" s="51"/>
      <c r="Y573" s="51"/>
      <c r="Z573" s="51"/>
    </row>
    <row r="574" spans="1:26" x14ac:dyDescent="0.3">
      <c r="A574" s="51"/>
      <c r="B574" s="102"/>
      <c r="C574" s="51"/>
      <c r="E574" s="51"/>
      <c r="F574" s="51"/>
      <c r="G574" s="51"/>
      <c r="H574" s="51"/>
      <c r="I574" s="51"/>
      <c r="J574" s="51"/>
      <c r="K574" s="51"/>
      <c r="L574" s="106"/>
      <c r="M574" s="51"/>
      <c r="N574" s="94"/>
      <c r="O574" s="51"/>
      <c r="P574" s="51"/>
      <c r="Q574" s="51"/>
      <c r="R574" s="51"/>
      <c r="S574" s="51"/>
      <c r="T574" s="51"/>
      <c r="U574" s="51"/>
      <c r="V574" s="51"/>
      <c r="W574" s="51"/>
      <c r="X574" s="51"/>
      <c r="Y574" s="51"/>
      <c r="Z574" s="51"/>
    </row>
    <row r="575" spans="1:26" x14ac:dyDescent="0.3">
      <c r="A575" s="51"/>
      <c r="B575" s="102"/>
      <c r="C575" s="51"/>
      <c r="E575" s="51"/>
      <c r="F575" s="51"/>
      <c r="G575" s="51"/>
      <c r="H575" s="51"/>
      <c r="I575" s="51"/>
      <c r="J575" s="51"/>
      <c r="K575" s="51"/>
      <c r="L575" s="106"/>
      <c r="M575" s="51"/>
      <c r="N575" s="94"/>
      <c r="O575" s="51"/>
      <c r="P575" s="51"/>
      <c r="Q575" s="51"/>
      <c r="R575" s="51"/>
      <c r="S575" s="51"/>
      <c r="T575" s="51"/>
      <c r="U575" s="51"/>
      <c r="V575" s="51"/>
      <c r="W575" s="51"/>
      <c r="X575" s="51"/>
      <c r="Y575" s="51"/>
      <c r="Z575" s="51"/>
    </row>
    <row r="576" spans="1:26" x14ac:dyDescent="0.3">
      <c r="A576" s="51"/>
      <c r="B576" s="102"/>
      <c r="C576" s="51"/>
      <c r="E576" s="51"/>
      <c r="F576" s="51"/>
      <c r="G576" s="51"/>
      <c r="H576" s="51"/>
      <c r="I576" s="51"/>
      <c r="J576" s="51"/>
      <c r="K576" s="51"/>
      <c r="L576" s="106"/>
      <c r="M576" s="51"/>
      <c r="N576" s="94"/>
      <c r="O576" s="51"/>
      <c r="P576" s="51"/>
      <c r="Q576" s="51"/>
      <c r="R576" s="51"/>
      <c r="S576" s="51"/>
      <c r="T576" s="51"/>
      <c r="U576" s="51"/>
      <c r="V576" s="51"/>
      <c r="W576" s="51"/>
      <c r="X576" s="51"/>
      <c r="Y576" s="51"/>
      <c r="Z576" s="51"/>
    </row>
    <row r="577" spans="1:26" x14ac:dyDescent="0.3">
      <c r="A577" s="51"/>
      <c r="B577" s="102"/>
      <c r="C577" s="51"/>
      <c r="E577" s="51"/>
      <c r="F577" s="51"/>
      <c r="G577" s="51"/>
      <c r="H577" s="51"/>
      <c r="I577" s="51"/>
      <c r="J577" s="51"/>
      <c r="K577" s="51"/>
      <c r="L577" s="106"/>
      <c r="M577" s="51"/>
      <c r="N577" s="94"/>
      <c r="O577" s="51"/>
      <c r="P577" s="51"/>
      <c r="Q577" s="51"/>
      <c r="R577" s="51"/>
      <c r="S577" s="51"/>
      <c r="T577" s="51"/>
      <c r="U577" s="51"/>
      <c r="V577" s="51"/>
      <c r="W577" s="51"/>
      <c r="X577" s="51"/>
      <c r="Y577" s="51"/>
      <c r="Z577" s="51"/>
    </row>
    <row r="578" spans="1:26" x14ac:dyDescent="0.3">
      <c r="A578" s="51"/>
      <c r="B578" s="102"/>
      <c r="C578" s="51"/>
      <c r="E578" s="51"/>
      <c r="F578" s="51"/>
      <c r="G578" s="51"/>
      <c r="H578" s="51"/>
      <c r="I578" s="51"/>
      <c r="J578" s="51"/>
      <c r="K578" s="51"/>
      <c r="L578" s="106"/>
      <c r="M578" s="51"/>
      <c r="N578" s="94"/>
      <c r="O578" s="51"/>
      <c r="P578" s="51"/>
      <c r="Q578" s="51"/>
      <c r="R578" s="51"/>
      <c r="S578" s="51"/>
      <c r="T578" s="51"/>
      <c r="U578" s="51"/>
      <c r="V578" s="51"/>
      <c r="W578" s="51"/>
      <c r="X578" s="51"/>
      <c r="Y578" s="51"/>
      <c r="Z578" s="51"/>
    </row>
    <row r="579" spans="1:26" x14ac:dyDescent="0.3">
      <c r="A579" s="51"/>
      <c r="B579" s="102"/>
      <c r="C579" s="51"/>
      <c r="E579" s="51"/>
      <c r="F579" s="51"/>
      <c r="G579" s="51"/>
      <c r="H579" s="51"/>
      <c r="I579" s="51"/>
      <c r="J579" s="51"/>
      <c r="K579" s="51"/>
      <c r="L579" s="106"/>
      <c r="M579" s="51"/>
      <c r="N579" s="94"/>
      <c r="O579" s="51"/>
      <c r="P579" s="51"/>
      <c r="Q579" s="51"/>
      <c r="R579" s="51"/>
      <c r="S579" s="51"/>
      <c r="T579" s="51"/>
      <c r="U579" s="51"/>
      <c r="V579" s="51"/>
      <c r="W579" s="51"/>
      <c r="X579" s="51"/>
      <c r="Y579" s="51"/>
      <c r="Z579" s="51"/>
    </row>
    <row r="580" spans="1:26" x14ac:dyDescent="0.3">
      <c r="A580" s="51"/>
      <c r="B580" s="102"/>
      <c r="C580" s="51"/>
      <c r="E580" s="51"/>
      <c r="F580" s="51"/>
      <c r="G580" s="51"/>
      <c r="H580" s="51"/>
      <c r="I580" s="51"/>
      <c r="J580" s="51"/>
      <c r="K580" s="51"/>
      <c r="L580" s="106"/>
      <c r="M580" s="51"/>
      <c r="N580" s="94"/>
      <c r="O580" s="51"/>
      <c r="P580" s="51"/>
      <c r="Q580" s="51"/>
      <c r="R580" s="51"/>
      <c r="S580" s="51"/>
      <c r="T580" s="51"/>
      <c r="U580" s="51"/>
      <c r="V580" s="51"/>
      <c r="W580" s="51"/>
      <c r="X580" s="51"/>
      <c r="Y580" s="51"/>
      <c r="Z580" s="51"/>
    </row>
    <row r="581" spans="1:26" x14ac:dyDescent="0.3">
      <c r="A581" s="51"/>
      <c r="B581" s="102"/>
      <c r="C581" s="51"/>
      <c r="E581" s="51"/>
      <c r="F581" s="51"/>
      <c r="G581" s="51"/>
      <c r="H581" s="51"/>
      <c r="I581" s="51"/>
      <c r="J581" s="51"/>
      <c r="K581" s="51"/>
      <c r="L581" s="106"/>
      <c r="M581" s="51"/>
      <c r="N581" s="94"/>
      <c r="O581" s="51"/>
      <c r="P581" s="51"/>
      <c r="Q581" s="51"/>
      <c r="R581" s="51"/>
      <c r="S581" s="51"/>
      <c r="T581" s="51"/>
      <c r="U581" s="51"/>
      <c r="V581" s="51"/>
      <c r="W581" s="51"/>
      <c r="X581" s="51"/>
      <c r="Y581" s="51"/>
      <c r="Z581" s="51"/>
    </row>
    <row r="582" spans="1:26" x14ac:dyDescent="0.3">
      <c r="A582" s="51"/>
      <c r="B582" s="102"/>
      <c r="C582" s="51"/>
      <c r="E582" s="51"/>
      <c r="F582" s="51"/>
      <c r="G582" s="51"/>
      <c r="H582" s="51"/>
      <c r="I582" s="51"/>
      <c r="J582" s="51"/>
      <c r="K582" s="51"/>
      <c r="L582" s="106"/>
      <c r="M582" s="51"/>
      <c r="N582" s="94"/>
      <c r="O582" s="51"/>
      <c r="P582" s="51"/>
      <c r="Q582" s="51"/>
      <c r="R582" s="51"/>
      <c r="S582" s="51"/>
      <c r="T582" s="51"/>
      <c r="U582" s="51"/>
      <c r="V582" s="51"/>
      <c r="W582" s="51"/>
      <c r="X582" s="51"/>
      <c r="Y582" s="51"/>
      <c r="Z582" s="51"/>
    </row>
    <row r="583" spans="1:26" x14ac:dyDescent="0.3">
      <c r="A583" s="51"/>
      <c r="B583" s="102"/>
      <c r="C583" s="51"/>
      <c r="E583" s="51"/>
      <c r="F583" s="51"/>
      <c r="G583" s="51"/>
      <c r="H583" s="51"/>
      <c r="I583" s="51"/>
      <c r="J583" s="51"/>
      <c r="K583" s="51"/>
      <c r="L583" s="106"/>
      <c r="M583" s="51"/>
      <c r="N583" s="94"/>
      <c r="O583" s="51"/>
      <c r="P583" s="51"/>
      <c r="Q583" s="51"/>
      <c r="R583" s="51"/>
      <c r="S583" s="51"/>
      <c r="T583" s="51"/>
      <c r="U583" s="51"/>
      <c r="V583" s="51"/>
      <c r="W583" s="51"/>
      <c r="X583" s="51"/>
      <c r="Y583" s="51"/>
      <c r="Z583" s="51"/>
    </row>
    <row r="584" spans="1:26" x14ac:dyDescent="0.3">
      <c r="A584" s="51"/>
      <c r="B584" s="102"/>
      <c r="C584" s="51"/>
      <c r="E584" s="51"/>
      <c r="F584" s="51"/>
      <c r="G584" s="51"/>
      <c r="H584" s="51"/>
      <c r="I584" s="51"/>
      <c r="J584" s="51"/>
      <c r="K584" s="51"/>
      <c r="L584" s="106"/>
      <c r="M584" s="51"/>
      <c r="N584" s="94"/>
      <c r="O584" s="51"/>
      <c r="P584" s="51"/>
      <c r="Q584" s="51"/>
      <c r="R584" s="51"/>
      <c r="S584" s="51"/>
      <c r="T584" s="51"/>
      <c r="U584" s="51"/>
      <c r="V584" s="51"/>
      <c r="W584" s="51"/>
      <c r="X584" s="51"/>
      <c r="Y584" s="51"/>
      <c r="Z584" s="51"/>
    </row>
    <row r="585" spans="1:26" x14ac:dyDescent="0.3">
      <c r="A585" s="51"/>
      <c r="B585" s="102"/>
      <c r="C585" s="51"/>
      <c r="E585" s="51"/>
      <c r="F585" s="51"/>
      <c r="G585" s="51"/>
      <c r="H585" s="51"/>
      <c r="I585" s="51"/>
      <c r="J585" s="51"/>
      <c r="K585" s="51"/>
      <c r="L585" s="106"/>
      <c r="M585" s="51"/>
      <c r="N585" s="94"/>
      <c r="O585" s="51"/>
      <c r="P585" s="51"/>
      <c r="Q585" s="51"/>
      <c r="R585" s="51"/>
      <c r="S585" s="51"/>
      <c r="T585" s="51"/>
      <c r="U585" s="51"/>
      <c r="V585" s="51"/>
      <c r="W585" s="51"/>
      <c r="X585" s="51"/>
      <c r="Y585" s="51"/>
      <c r="Z585" s="51"/>
    </row>
    <row r="586" spans="1:26" x14ac:dyDescent="0.3">
      <c r="A586" s="51"/>
      <c r="B586" s="102"/>
      <c r="C586" s="51"/>
      <c r="E586" s="51"/>
      <c r="F586" s="51"/>
      <c r="G586" s="51"/>
      <c r="H586" s="51"/>
      <c r="I586" s="51"/>
      <c r="J586" s="51"/>
      <c r="K586" s="51"/>
      <c r="L586" s="106"/>
      <c r="M586" s="51"/>
      <c r="N586" s="94"/>
      <c r="O586" s="51"/>
      <c r="P586" s="51"/>
      <c r="Q586" s="51"/>
      <c r="R586" s="51"/>
      <c r="S586" s="51"/>
      <c r="T586" s="51"/>
      <c r="U586" s="51"/>
      <c r="V586" s="51"/>
      <c r="W586" s="51"/>
      <c r="X586" s="51"/>
      <c r="Y586" s="51"/>
      <c r="Z586" s="51"/>
    </row>
    <row r="587" spans="1:26" x14ac:dyDescent="0.3">
      <c r="A587" s="51"/>
      <c r="B587" s="102"/>
      <c r="C587" s="51"/>
      <c r="E587" s="51"/>
      <c r="F587" s="51"/>
      <c r="G587" s="51"/>
      <c r="H587" s="51"/>
      <c r="I587" s="51"/>
      <c r="J587" s="51"/>
      <c r="K587" s="51"/>
      <c r="L587" s="106"/>
      <c r="M587" s="51"/>
      <c r="N587" s="94"/>
      <c r="O587" s="51"/>
      <c r="P587" s="51"/>
      <c r="Q587" s="51"/>
      <c r="R587" s="51"/>
      <c r="S587" s="51"/>
      <c r="T587" s="51"/>
      <c r="U587" s="51"/>
      <c r="V587" s="51"/>
      <c r="W587" s="51"/>
      <c r="X587" s="51"/>
      <c r="Y587" s="51"/>
      <c r="Z587" s="51"/>
    </row>
    <row r="588" spans="1:26" x14ac:dyDescent="0.3">
      <c r="A588" s="51"/>
      <c r="B588" s="102"/>
      <c r="C588" s="51"/>
      <c r="E588" s="51"/>
      <c r="F588" s="51"/>
      <c r="G588" s="51"/>
      <c r="H588" s="51"/>
      <c r="I588" s="51"/>
      <c r="J588" s="51"/>
      <c r="K588" s="51"/>
      <c r="L588" s="106"/>
      <c r="M588" s="51"/>
      <c r="N588" s="94"/>
      <c r="O588" s="51"/>
      <c r="P588" s="51"/>
      <c r="Q588" s="51"/>
      <c r="R588" s="51"/>
      <c r="S588" s="51"/>
      <c r="T588" s="51"/>
      <c r="U588" s="51"/>
      <c r="V588" s="51"/>
      <c r="W588" s="51"/>
      <c r="X588" s="51"/>
      <c r="Y588" s="51"/>
      <c r="Z588" s="51"/>
    </row>
    <row r="589" spans="1:26" x14ac:dyDescent="0.3">
      <c r="A589" s="51"/>
      <c r="B589" s="102"/>
      <c r="C589" s="51"/>
      <c r="E589" s="51"/>
      <c r="F589" s="51"/>
      <c r="G589" s="51"/>
      <c r="H589" s="51"/>
      <c r="I589" s="51"/>
      <c r="J589" s="51"/>
      <c r="K589" s="51"/>
      <c r="L589" s="106"/>
      <c r="M589" s="51"/>
      <c r="N589" s="94"/>
      <c r="O589" s="51"/>
      <c r="P589" s="51"/>
      <c r="Q589" s="51"/>
      <c r="R589" s="51"/>
      <c r="S589" s="51"/>
      <c r="T589" s="51"/>
      <c r="U589" s="51"/>
      <c r="V589" s="51"/>
      <c r="W589" s="51"/>
      <c r="X589" s="51"/>
      <c r="Y589" s="51"/>
      <c r="Z589" s="51"/>
    </row>
    <row r="590" spans="1:26" x14ac:dyDescent="0.3">
      <c r="A590" s="51"/>
      <c r="B590" s="102"/>
      <c r="C590" s="51"/>
      <c r="E590" s="51"/>
      <c r="F590" s="51"/>
      <c r="G590" s="51"/>
      <c r="H590" s="51"/>
      <c r="I590" s="51"/>
      <c r="J590" s="51"/>
      <c r="K590" s="51"/>
      <c r="L590" s="106"/>
      <c r="M590" s="51"/>
      <c r="N590" s="94"/>
      <c r="O590" s="51"/>
      <c r="P590" s="51"/>
      <c r="Q590" s="51"/>
      <c r="R590" s="51"/>
      <c r="S590" s="51"/>
      <c r="T590" s="51"/>
      <c r="U590" s="51"/>
      <c r="V590" s="51"/>
      <c r="W590" s="51"/>
      <c r="X590" s="51"/>
      <c r="Y590" s="51"/>
      <c r="Z590" s="51"/>
    </row>
    <row r="591" spans="1:26" x14ac:dyDescent="0.3">
      <c r="A591" s="51"/>
      <c r="B591" s="102"/>
      <c r="C591" s="51"/>
      <c r="E591" s="51"/>
      <c r="F591" s="51"/>
      <c r="G591" s="51"/>
      <c r="H591" s="51"/>
      <c r="I591" s="51"/>
      <c r="J591" s="51"/>
      <c r="K591" s="51"/>
      <c r="L591" s="106"/>
      <c r="M591" s="51"/>
      <c r="N591" s="94"/>
      <c r="O591" s="51"/>
      <c r="P591" s="51"/>
      <c r="Q591" s="51"/>
      <c r="R591" s="51"/>
      <c r="S591" s="51"/>
      <c r="T591" s="51"/>
      <c r="U591" s="51"/>
      <c r="V591" s="51"/>
      <c r="W591" s="51"/>
      <c r="X591" s="51"/>
      <c r="Y591" s="51"/>
      <c r="Z591" s="51"/>
    </row>
    <row r="592" spans="1:26" x14ac:dyDescent="0.3">
      <c r="A592" s="51"/>
      <c r="B592" s="102"/>
      <c r="C592" s="51"/>
      <c r="E592" s="51"/>
      <c r="F592" s="51"/>
      <c r="G592" s="51"/>
      <c r="H592" s="51"/>
      <c r="I592" s="51"/>
      <c r="J592" s="51"/>
      <c r="K592" s="51"/>
      <c r="L592" s="106"/>
      <c r="M592" s="51"/>
      <c r="N592" s="94"/>
      <c r="O592" s="51"/>
      <c r="P592" s="51"/>
      <c r="Q592" s="51"/>
      <c r="R592" s="51"/>
      <c r="S592" s="51"/>
      <c r="T592" s="51"/>
      <c r="U592" s="51"/>
      <c r="V592" s="51"/>
      <c r="W592" s="51"/>
      <c r="X592" s="51"/>
      <c r="Y592" s="51"/>
      <c r="Z592" s="51"/>
    </row>
    <row r="593" spans="1:26" x14ac:dyDescent="0.3">
      <c r="A593" s="51"/>
      <c r="B593" s="102"/>
      <c r="C593" s="51"/>
      <c r="E593" s="51"/>
      <c r="F593" s="51"/>
      <c r="G593" s="51"/>
      <c r="H593" s="51"/>
      <c r="I593" s="51"/>
      <c r="J593" s="51"/>
      <c r="K593" s="51"/>
      <c r="L593" s="106"/>
      <c r="M593" s="51"/>
      <c r="N593" s="94"/>
      <c r="O593" s="51"/>
      <c r="P593" s="51"/>
      <c r="Q593" s="51"/>
      <c r="R593" s="51"/>
      <c r="S593" s="51"/>
      <c r="T593" s="51"/>
      <c r="U593" s="51"/>
      <c r="V593" s="51"/>
      <c r="W593" s="51"/>
      <c r="X593" s="51"/>
      <c r="Y593" s="51"/>
      <c r="Z593" s="51"/>
    </row>
    <row r="594" spans="1:26" x14ac:dyDescent="0.3">
      <c r="A594" s="51"/>
      <c r="B594" s="102"/>
      <c r="C594" s="51"/>
      <c r="E594" s="51"/>
      <c r="F594" s="51"/>
      <c r="G594" s="51"/>
      <c r="H594" s="51"/>
      <c r="I594" s="51"/>
      <c r="J594" s="51"/>
      <c r="K594" s="51"/>
      <c r="L594" s="106"/>
      <c r="M594" s="51"/>
      <c r="N594" s="94"/>
      <c r="O594" s="51"/>
      <c r="P594" s="51"/>
      <c r="Q594" s="51"/>
      <c r="R594" s="51"/>
      <c r="S594" s="51"/>
      <c r="T594" s="51"/>
      <c r="U594" s="51"/>
      <c r="V594" s="51"/>
      <c r="W594" s="51"/>
      <c r="X594" s="51"/>
      <c r="Y594" s="51"/>
      <c r="Z594" s="51"/>
    </row>
    <row r="595" spans="1:26" x14ac:dyDescent="0.3">
      <c r="A595" s="51"/>
      <c r="B595" s="102"/>
      <c r="C595" s="51"/>
      <c r="E595" s="51"/>
      <c r="F595" s="51"/>
      <c r="G595" s="51"/>
      <c r="H595" s="51"/>
      <c r="I595" s="51"/>
      <c r="J595" s="51"/>
      <c r="K595" s="51"/>
      <c r="L595" s="106"/>
      <c r="M595" s="51"/>
      <c r="N595" s="94"/>
      <c r="O595" s="51"/>
      <c r="P595" s="51"/>
      <c r="Q595" s="51"/>
      <c r="R595" s="51"/>
      <c r="S595" s="51"/>
      <c r="T595" s="51"/>
      <c r="U595" s="51"/>
      <c r="V595" s="51"/>
      <c r="W595" s="51"/>
      <c r="X595" s="51"/>
      <c r="Y595" s="51"/>
      <c r="Z595" s="51"/>
    </row>
    <row r="596" spans="1:26" x14ac:dyDescent="0.3">
      <c r="A596" s="51"/>
      <c r="B596" s="102"/>
      <c r="C596" s="51"/>
      <c r="E596" s="51"/>
      <c r="F596" s="51"/>
      <c r="G596" s="51"/>
      <c r="H596" s="51"/>
      <c r="I596" s="51"/>
      <c r="J596" s="51"/>
      <c r="K596" s="51"/>
      <c r="L596" s="106"/>
      <c r="M596" s="51"/>
      <c r="N596" s="94"/>
      <c r="O596" s="51"/>
      <c r="P596" s="51"/>
      <c r="Q596" s="51"/>
      <c r="R596" s="51"/>
      <c r="S596" s="51"/>
      <c r="T596" s="51"/>
      <c r="U596" s="51"/>
      <c r="V596" s="51"/>
      <c r="W596" s="51"/>
      <c r="X596" s="51"/>
      <c r="Y596" s="51"/>
      <c r="Z596" s="51"/>
    </row>
    <row r="597" spans="1:26" x14ac:dyDescent="0.3">
      <c r="A597" s="51"/>
      <c r="B597" s="102"/>
      <c r="C597" s="51"/>
      <c r="E597" s="51"/>
      <c r="F597" s="51"/>
      <c r="G597" s="51"/>
      <c r="H597" s="51"/>
      <c r="I597" s="51"/>
      <c r="J597" s="51"/>
      <c r="K597" s="51"/>
      <c r="L597" s="106"/>
      <c r="M597" s="51"/>
      <c r="N597" s="94"/>
      <c r="O597" s="51"/>
      <c r="P597" s="51"/>
      <c r="Q597" s="51"/>
      <c r="R597" s="51"/>
      <c r="S597" s="51"/>
      <c r="T597" s="51"/>
      <c r="U597" s="51"/>
      <c r="V597" s="51"/>
      <c r="W597" s="51"/>
      <c r="X597" s="51"/>
      <c r="Y597" s="51"/>
      <c r="Z597" s="51"/>
    </row>
    <row r="598" spans="1:26" x14ac:dyDescent="0.3">
      <c r="A598" s="51"/>
      <c r="B598" s="102"/>
      <c r="C598" s="51"/>
      <c r="E598" s="51"/>
      <c r="F598" s="51"/>
      <c r="G598" s="51"/>
      <c r="H598" s="51"/>
      <c r="I598" s="51"/>
      <c r="J598" s="51"/>
      <c r="K598" s="51"/>
      <c r="L598" s="106"/>
      <c r="M598" s="51"/>
      <c r="N598" s="94"/>
      <c r="O598" s="51"/>
      <c r="P598" s="51"/>
      <c r="Q598" s="51"/>
      <c r="R598" s="51"/>
      <c r="S598" s="51"/>
      <c r="T598" s="51"/>
      <c r="U598" s="51"/>
      <c r="V598" s="51"/>
      <c r="W598" s="51"/>
      <c r="X598" s="51"/>
      <c r="Y598" s="51"/>
      <c r="Z598" s="51"/>
    </row>
    <row r="599" spans="1:26" x14ac:dyDescent="0.3">
      <c r="A599" s="51"/>
      <c r="B599" s="102"/>
      <c r="C599" s="51"/>
      <c r="E599" s="51"/>
      <c r="F599" s="51"/>
      <c r="G599" s="51"/>
      <c r="H599" s="51"/>
      <c r="I599" s="51"/>
      <c r="J599" s="51"/>
      <c r="K599" s="51"/>
      <c r="L599" s="106"/>
      <c r="M599" s="51"/>
      <c r="N599" s="94"/>
      <c r="O599" s="51"/>
      <c r="P599" s="51"/>
      <c r="Q599" s="51"/>
      <c r="R599" s="51"/>
      <c r="S599" s="51"/>
      <c r="T599" s="51"/>
      <c r="U599" s="51"/>
      <c r="V599" s="51"/>
      <c r="W599" s="51"/>
      <c r="X599" s="51"/>
      <c r="Y599" s="51"/>
      <c r="Z599" s="51"/>
    </row>
    <row r="600" spans="1:26" x14ac:dyDescent="0.3">
      <c r="A600" s="51"/>
      <c r="B600" s="102"/>
      <c r="C600" s="51"/>
      <c r="E600" s="51"/>
      <c r="F600" s="51"/>
      <c r="G600" s="51"/>
      <c r="H600" s="51"/>
      <c r="I600" s="51"/>
      <c r="J600" s="51"/>
      <c r="K600" s="51"/>
      <c r="L600" s="106"/>
      <c r="M600" s="51"/>
      <c r="N600" s="94"/>
      <c r="O600" s="51"/>
      <c r="P600" s="51"/>
      <c r="Q600" s="51"/>
      <c r="R600" s="51"/>
      <c r="S600" s="51"/>
      <c r="T600" s="51"/>
      <c r="U600" s="51"/>
      <c r="V600" s="51"/>
      <c r="W600" s="51"/>
      <c r="X600" s="51"/>
      <c r="Y600" s="51"/>
      <c r="Z600" s="51"/>
    </row>
    <row r="601" spans="1:26" x14ac:dyDescent="0.3">
      <c r="A601" s="51"/>
      <c r="B601" s="102"/>
      <c r="C601" s="51"/>
      <c r="E601" s="51"/>
      <c r="F601" s="51"/>
      <c r="G601" s="51"/>
      <c r="H601" s="51"/>
      <c r="I601" s="51"/>
      <c r="J601" s="51"/>
      <c r="K601" s="51"/>
      <c r="L601" s="106"/>
      <c r="M601" s="51"/>
      <c r="N601" s="94"/>
      <c r="O601" s="51"/>
      <c r="P601" s="51"/>
      <c r="Q601" s="51"/>
      <c r="R601" s="51"/>
      <c r="S601" s="51"/>
      <c r="T601" s="51"/>
      <c r="U601" s="51"/>
      <c r="V601" s="51"/>
      <c r="W601" s="51"/>
      <c r="X601" s="51"/>
      <c r="Y601" s="51"/>
      <c r="Z601" s="51"/>
    </row>
    <row r="602" spans="1:26" x14ac:dyDescent="0.3">
      <c r="A602" s="51"/>
      <c r="B602" s="102"/>
      <c r="C602" s="51"/>
      <c r="E602" s="51"/>
      <c r="F602" s="51"/>
      <c r="G602" s="51"/>
      <c r="H602" s="51"/>
      <c r="I602" s="51"/>
      <c r="J602" s="51"/>
      <c r="K602" s="51"/>
      <c r="L602" s="106"/>
      <c r="M602" s="51"/>
      <c r="N602" s="94"/>
      <c r="O602" s="51"/>
      <c r="P602" s="51"/>
      <c r="Q602" s="51"/>
      <c r="R602" s="51"/>
      <c r="S602" s="51"/>
      <c r="T602" s="51"/>
      <c r="U602" s="51"/>
      <c r="V602" s="51"/>
      <c r="W602" s="51"/>
      <c r="X602" s="51"/>
      <c r="Y602" s="51"/>
      <c r="Z602" s="51"/>
    </row>
    <row r="603" spans="1:26" x14ac:dyDescent="0.3">
      <c r="A603" s="51"/>
      <c r="B603" s="102"/>
      <c r="C603" s="51"/>
      <c r="E603" s="51"/>
      <c r="F603" s="51"/>
      <c r="G603" s="51"/>
      <c r="H603" s="51"/>
      <c r="I603" s="51"/>
      <c r="J603" s="51"/>
      <c r="K603" s="51"/>
      <c r="L603" s="106"/>
      <c r="M603" s="51"/>
      <c r="N603" s="94"/>
      <c r="O603" s="51"/>
      <c r="P603" s="51"/>
      <c r="Q603" s="51"/>
      <c r="R603" s="51"/>
      <c r="S603" s="51"/>
      <c r="T603" s="51"/>
      <c r="U603" s="51"/>
      <c r="V603" s="51"/>
      <c r="W603" s="51"/>
      <c r="X603" s="51"/>
      <c r="Y603" s="51"/>
      <c r="Z603" s="51"/>
    </row>
    <row r="604" spans="1:26" x14ac:dyDescent="0.3">
      <c r="A604" s="51"/>
      <c r="B604" s="102"/>
      <c r="C604" s="51"/>
      <c r="E604" s="51"/>
      <c r="F604" s="51"/>
      <c r="G604" s="51"/>
      <c r="H604" s="51"/>
      <c r="I604" s="51"/>
      <c r="J604" s="51"/>
      <c r="K604" s="51"/>
      <c r="L604" s="106"/>
      <c r="M604" s="51"/>
      <c r="N604" s="94"/>
      <c r="O604" s="51"/>
      <c r="P604" s="51"/>
      <c r="Q604" s="51"/>
      <c r="R604" s="51"/>
      <c r="S604" s="51"/>
      <c r="T604" s="51"/>
      <c r="U604" s="51"/>
      <c r="V604" s="51"/>
      <c r="W604" s="51"/>
      <c r="X604" s="51"/>
      <c r="Y604" s="51"/>
      <c r="Z604" s="51"/>
    </row>
    <row r="605" spans="1:26" x14ac:dyDescent="0.3">
      <c r="A605" s="51"/>
      <c r="B605" s="102"/>
      <c r="C605" s="51"/>
      <c r="E605" s="51"/>
      <c r="F605" s="51"/>
      <c r="G605" s="51"/>
      <c r="H605" s="51"/>
      <c r="I605" s="51"/>
      <c r="J605" s="51"/>
      <c r="K605" s="51"/>
      <c r="L605" s="106"/>
      <c r="M605" s="51"/>
      <c r="N605" s="94"/>
      <c r="O605" s="51"/>
      <c r="P605" s="51"/>
      <c r="Q605" s="51"/>
      <c r="R605" s="51"/>
      <c r="S605" s="51"/>
      <c r="T605" s="51"/>
      <c r="U605" s="51"/>
      <c r="V605" s="51"/>
      <c r="W605" s="51"/>
      <c r="X605" s="51"/>
      <c r="Y605" s="51"/>
      <c r="Z605" s="51"/>
    </row>
    <row r="606" spans="1:26" x14ac:dyDescent="0.3">
      <c r="A606" s="51"/>
      <c r="B606" s="102"/>
      <c r="C606" s="51"/>
      <c r="E606" s="51"/>
      <c r="F606" s="51"/>
      <c r="G606" s="51"/>
      <c r="H606" s="51"/>
      <c r="I606" s="51"/>
      <c r="J606" s="51"/>
      <c r="K606" s="51"/>
      <c r="L606" s="106"/>
      <c r="M606" s="51"/>
      <c r="N606" s="94"/>
      <c r="O606" s="51"/>
      <c r="P606" s="51"/>
      <c r="Q606" s="51"/>
      <c r="R606" s="51"/>
      <c r="S606" s="51"/>
      <c r="T606" s="51"/>
      <c r="U606" s="51"/>
      <c r="V606" s="51"/>
      <c r="W606" s="51"/>
      <c r="X606" s="51"/>
      <c r="Y606" s="51"/>
      <c r="Z606" s="51"/>
    </row>
    <row r="607" spans="1:26" x14ac:dyDescent="0.3">
      <c r="A607" s="51"/>
      <c r="B607" s="102"/>
      <c r="C607" s="51"/>
      <c r="E607" s="51"/>
      <c r="F607" s="51"/>
      <c r="G607" s="51"/>
      <c r="H607" s="51"/>
      <c r="I607" s="51"/>
      <c r="J607" s="51"/>
      <c r="K607" s="51"/>
      <c r="L607" s="106"/>
      <c r="M607" s="51"/>
      <c r="N607" s="94"/>
      <c r="O607" s="51"/>
      <c r="P607" s="51"/>
      <c r="Q607" s="51"/>
      <c r="R607" s="51"/>
      <c r="S607" s="51"/>
      <c r="T607" s="51"/>
      <c r="U607" s="51"/>
      <c r="V607" s="51"/>
      <c r="W607" s="51"/>
      <c r="X607" s="51"/>
      <c r="Y607" s="51"/>
      <c r="Z607" s="51"/>
    </row>
    <row r="608" spans="1:26" x14ac:dyDescent="0.3">
      <c r="A608" s="51"/>
      <c r="B608" s="102"/>
      <c r="C608" s="51"/>
      <c r="E608" s="51"/>
      <c r="F608" s="51"/>
      <c r="G608" s="51"/>
      <c r="H608" s="51"/>
      <c r="I608" s="51"/>
      <c r="J608" s="51"/>
      <c r="K608" s="51"/>
      <c r="L608" s="106"/>
      <c r="M608" s="51"/>
      <c r="N608" s="94"/>
      <c r="O608" s="51"/>
      <c r="P608" s="51"/>
      <c r="Q608" s="51"/>
      <c r="R608" s="51"/>
      <c r="S608" s="51"/>
      <c r="T608" s="51"/>
      <c r="U608" s="51"/>
      <c r="V608" s="51"/>
      <c r="W608" s="51"/>
      <c r="X608" s="51"/>
      <c r="Y608" s="51"/>
      <c r="Z608" s="51"/>
    </row>
    <row r="609" spans="1:26" x14ac:dyDescent="0.3">
      <c r="A609" s="51"/>
      <c r="B609" s="102"/>
      <c r="C609" s="51"/>
      <c r="E609" s="51"/>
      <c r="F609" s="51"/>
      <c r="G609" s="51"/>
      <c r="H609" s="51"/>
      <c r="I609" s="51"/>
      <c r="J609" s="51"/>
      <c r="K609" s="51"/>
      <c r="L609" s="106"/>
      <c r="M609" s="51"/>
      <c r="N609" s="94"/>
      <c r="O609" s="51"/>
      <c r="P609" s="51"/>
      <c r="Q609" s="51"/>
      <c r="R609" s="51"/>
      <c r="S609" s="51"/>
      <c r="T609" s="51"/>
      <c r="U609" s="51"/>
      <c r="V609" s="51"/>
      <c r="W609" s="51"/>
      <c r="X609" s="51"/>
      <c r="Y609" s="51"/>
      <c r="Z609" s="51"/>
    </row>
    <row r="610" spans="1:26" x14ac:dyDescent="0.3">
      <c r="A610" s="51"/>
      <c r="B610" s="102"/>
      <c r="C610" s="51"/>
      <c r="E610" s="51"/>
      <c r="F610" s="51"/>
      <c r="G610" s="51"/>
      <c r="H610" s="51"/>
      <c r="I610" s="51"/>
      <c r="J610" s="51"/>
      <c r="K610" s="51"/>
      <c r="L610" s="106"/>
      <c r="M610" s="51"/>
      <c r="N610" s="94"/>
      <c r="O610" s="51"/>
      <c r="P610" s="51"/>
      <c r="Q610" s="51"/>
      <c r="R610" s="51"/>
      <c r="S610" s="51"/>
      <c r="T610" s="51"/>
      <c r="U610" s="51"/>
      <c r="V610" s="51"/>
      <c r="W610" s="51"/>
      <c r="X610" s="51"/>
      <c r="Y610" s="51"/>
      <c r="Z610" s="51"/>
    </row>
    <row r="611" spans="1:26" x14ac:dyDescent="0.3">
      <c r="A611" s="51"/>
      <c r="B611" s="102"/>
      <c r="C611" s="51"/>
      <c r="E611" s="51"/>
      <c r="F611" s="51"/>
      <c r="G611" s="51"/>
      <c r="H611" s="51"/>
      <c r="I611" s="51"/>
      <c r="J611" s="51"/>
      <c r="K611" s="51"/>
      <c r="L611" s="106"/>
      <c r="M611" s="51"/>
      <c r="N611" s="94"/>
      <c r="O611" s="51"/>
      <c r="P611" s="51"/>
      <c r="Q611" s="51"/>
      <c r="R611" s="51"/>
      <c r="S611" s="51"/>
      <c r="T611" s="51"/>
      <c r="U611" s="51"/>
      <c r="V611" s="51"/>
      <c r="W611" s="51"/>
      <c r="X611" s="51"/>
      <c r="Y611" s="51"/>
      <c r="Z611" s="51"/>
    </row>
    <row r="612" spans="1:26" x14ac:dyDescent="0.3">
      <c r="A612" s="51"/>
      <c r="B612" s="102"/>
      <c r="C612" s="51"/>
      <c r="E612" s="51"/>
      <c r="F612" s="51"/>
      <c r="G612" s="51"/>
      <c r="H612" s="51"/>
      <c r="I612" s="51"/>
      <c r="J612" s="51"/>
      <c r="K612" s="51"/>
      <c r="L612" s="106"/>
      <c r="M612" s="51"/>
      <c r="N612" s="94"/>
      <c r="O612" s="51"/>
      <c r="P612" s="51"/>
      <c r="Q612" s="51"/>
      <c r="R612" s="51"/>
      <c r="S612" s="51"/>
      <c r="T612" s="51"/>
      <c r="U612" s="51"/>
      <c r="V612" s="51"/>
      <c r="W612" s="51"/>
      <c r="X612" s="51"/>
      <c r="Y612" s="51"/>
      <c r="Z612" s="51"/>
    </row>
    <row r="613" spans="1:26" x14ac:dyDescent="0.3">
      <c r="A613" s="51"/>
      <c r="B613" s="102"/>
      <c r="C613" s="51"/>
      <c r="E613" s="51"/>
      <c r="F613" s="51"/>
      <c r="G613" s="51"/>
      <c r="H613" s="51"/>
      <c r="I613" s="51"/>
      <c r="J613" s="51"/>
      <c r="K613" s="51"/>
      <c r="L613" s="106"/>
      <c r="M613" s="51"/>
      <c r="N613" s="94"/>
      <c r="O613" s="51"/>
      <c r="P613" s="51"/>
      <c r="Q613" s="51"/>
      <c r="R613" s="51"/>
      <c r="S613" s="51"/>
      <c r="T613" s="51"/>
      <c r="U613" s="51"/>
      <c r="V613" s="51"/>
      <c r="W613" s="51"/>
      <c r="X613" s="51"/>
      <c r="Y613" s="51"/>
      <c r="Z613" s="51"/>
    </row>
    <row r="614" spans="1:26" x14ac:dyDescent="0.3">
      <c r="A614" s="51"/>
      <c r="B614" s="102"/>
      <c r="C614" s="51"/>
      <c r="E614" s="51"/>
      <c r="F614" s="51"/>
      <c r="G614" s="51"/>
      <c r="H614" s="51"/>
      <c r="I614" s="51"/>
      <c r="J614" s="51"/>
      <c r="K614" s="51"/>
      <c r="L614" s="106"/>
      <c r="M614" s="51"/>
      <c r="N614" s="94"/>
      <c r="O614" s="51"/>
      <c r="P614" s="51"/>
      <c r="Q614" s="51"/>
      <c r="R614" s="51"/>
      <c r="S614" s="51"/>
      <c r="T614" s="51"/>
      <c r="U614" s="51"/>
      <c r="V614" s="51"/>
      <c r="W614" s="51"/>
      <c r="X614" s="51"/>
      <c r="Y614" s="51"/>
      <c r="Z614" s="51"/>
    </row>
    <row r="615" spans="1:26" x14ac:dyDescent="0.3">
      <c r="A615" s="51"/>
      <c r="B615" s="102"/>
      <c r="C615" s="51"/>
      <c r="E615" s="51"/>
      <c r="F615" s="51"/>
      <c r="G615" s="51"/>
      <c r="H615" s="51"/>
      <c r="I615" s="51"/>
      <c r="J615" s="51"/>
      <c r="K615" s="51"/>
      <c r="L615" s="106"/>
      <c r="M615" s="51"/>
      <c r="N615" s="94"/>
      <c r="O615" s="51"/>
      <c r="P615" s="51"/>
      <c r="Q615" s="51"/>
      <c r="R615" s="51"/>
      <c r="S615" s="51"/>
      <c r="T615" s="51"/>
      <c r="U615" s="51"/>
      <c r="V615" s="51"/>
      <c r="W615" s="51"/>
      <c r="X615" s="51"/>
      <c r="Y615" s="51"/>
      <c r="Z615" s="51"/>
    </row>
    <row r="616" spans="1:26" x14ac:dyDescent="0.3">
      <c r="A616" s="51"/>
      <c r="B616" s="102"/>
      <c r="C616" s="51"/>
      <c r="E616" s="51"/>
      <c r="F616" s="51"/>
      <c r="G616" s="51"/>
      <c r="H616" s="51"/>
      <c r="I616" s="51"/>
      <c r="J616" s="51"/>
      <c r="K616" s="51"/>
      <c r="L616" s="106"/>
      <c r="M616" s="51"/>
      <c r="N616" s="94"/>
      <c r="O616" s="51"/>
      <c r="P616" s="51"/>
      <c r="Q616" s="51"/>
      <c r="R616" s="51"/>
      <c r="S616" s="51"/>
      <c r="T616" s="51"/>
      <c r="U616" s="51"/>
      <c r="V616" s="51"/>
      <c r="W616" s="51"/>
      <c r="X616" s="51"/>
      <c r="Y616" s="51"/>
      <c r="Z616" s="51"/>
    </row>
    <row r="617" spans="1:26" x14ac:dyDescent="0.3">
      <c r="A617" s="51"/>
      <c r="B617" s="102"/>
      <c r="C617" s="51"/>
      <c r="E617" s="51"/>
      <c r="F617" s="51"/>
      <c r="G617" s="51"/>
      <c r="H617" s="51"/>
      <c r="I617" s="51"/>
      <c r="J617" s="51"/>
      <c r="K617" s="51"/>
      <c r="L617" s="106"/>
      <c r="M617" s="51"/>
      <c r="N617" s="94"/>
      <c r="O617" s="51"/>
      <c r="P617" s="51"/>
      <c r="Q617" s="51"/>
      <c r="R617" s="51"/>
      <c r="S617" s="51"/>
      <c r="T617" s="51"/>
      <c r="U617" s="51"/>
      <c r="V617" s="51"/>
      <c r="W617" s="51"/>
      <c r="X617" s="51"/>
      <c r="Y617" s="51"/>
      <c r="Z617" s="51"/>
    </row>
    <row r="618" spans="1:26" x14ac:dyDescent="0.3">
      <c r="A618" s="51"/>
      <c r="B618" s="102"/>
      <c r="C618" s="51"/>
      <c r="E618" s="51"/>
      <c r="F618" s="51"/>
      <c r="G618" s="51"/>
      <c r="H618" s="51"/>
      <c r="I618" s="51"/>
      <c r="J618" s="51"/>
      <c r="K618" s="51"/>
      <c r="L618" s="106"/>
      <c r="M618" s="51"/>
      <c r="N618" s="94"/>
      <c r="O618" s="51"/>
      <c r="P618" s="51"/>
      <c r="Q618" s="51"/>
      <c r="R618" s="51"/>
      <c r="S618" s="51"/>
      <c r="T618" s="51"/>
      <c r="U618" s="51"/>
      <c r="V618" s="51"/>
      <c r="W618" s="51"/>
      <c r="X618" s="51"/>
      <c r="Y618" s="51"/>
      <c r="Z618" s="51"/>
    </row>
    <row r="619" spans="1:26" x14ac:dyDescent="0.3">
      <c r="A619" s="51"/>
      <c r="B619" s="102"/>
      <c r="C619" s="51"/>
      <c r="E619" s="51"/>
      <c r="F619" s="51"/>
      <c r="G619" s="51"/>
      <c r="H619" s="51"/>
      <c r="I619" s="51"/>
      <c r="J619" s="51"/>
      <c r="K619" s="51"/>
      <c r="L619" s="106"/>
      <c r="M619" s="51"/>
      <c r="N619" s="94"/>
      <c r="O619" s="51"/>
      <c r="P619" s="51"/>
      <c r="Q619" s="51"/>
      <c r="R619" s="51"/>
      <c r="S619" s="51"/>
      <c r="T619" s="51"/>
      <c r="U619" s="51"/>
      <c r="V619" s="51"/>
      <c r="W619" s="51"/>
      <c r="X619" s="51"/>
      <c r="Y619" s="51"/>
      <c r="Z619" s="51"/>
    </row>
    <row r="620" spans="1:26" x14ac:dyDescent="0.3">
      <c r="A620" s="51"/>
      <c r="B620" s="102"/>
      <c r="C620" s="51"/>
      <c r="E620" s="51"/>
      <c r="F620" s="51"/>
      <c r="G620" s="51"/>
      <c r="H620" s="51"/>
      <c r="I620" s="51"/>
      <c r="J620" s="51"/>
      <c r="K620" s="51"/>
      <c r="L620" s="106"/>
      <c r="M620" s="51"/>
      <c r="N620" s="94"/>
      <c r="O620" s="51"/>
      <c r="P620" s="51"/>
      <c r="Q620" s="51"/>
      <c r="R620" s="51"/>
      <c r="S620" s="51"/>
      <c r="T620" s="51"/>
      <c r="U620" s="51"/>
      <c r="V620" s="51"/>
      <c r="W620" s="51"/>
      <c r="X620" s="51"/>
      <c r="Y620" s="51"/>
      <c r="Z620" s="51"/>
    </row>
    <row r="621" spans="1:26" x14ac:dyDescent="0.3">
      <c r="A621" s="51"/>
      <c r="B621" s="102"/>
      <c r="C621" s="51"/>
      <c r="E621" s="51"/>
      <c r="F621" s="51"/>
      <c r="G621" s="51"/>
      <c r="H621" s="51"/>
      <c r="I621" s="51"/>
      <c r="J621" s="51"/>
      <c r="K621" s="51"/>
      <c r="L621" s="106"/>
      <c r="M621" s="51"/>
      <c r="N621" s="94"/>
      <c r="O621" s="51"/>
      <c r="P621" s="51"/>
      <c r="Q621" s="51"/>
      <c r="R621" s="51"/>
      <c r="S621" s="51"/>
      <c r="T621" s="51"/>
      <c r="U621" s="51"/>
      <c r="V621" s="51"/>
      <c r="W621" s="51"/>
      <c r="X621" s="51"/>
      <c r="Y621" s="51"/>
      <c r="Z621" s="51"/>
    </row>
    <row r="622" spans="1:26" x14ac:dyDescent="0.3">
      <c r="A622" s="51"/>
      <c r="B622" s="102"/>
      <c r="C622" s="51"/>
      <c r="E622" s="51"/>
      <c r="F622" s="51"/>
      <c r="G622" s="51"/>
      <c r="H622" s="51"/>
      <c r="I622" s="51"/>
      <c r="J622" s="51"/>
      <c r="K622" s="51"/>
      <c r="L622" s="106"/>
      <c r="M622" s="51"/>
      <c r="N622" s="94"/>
      <c r="O622" s="51"/>
      <c r="P622" s="51"/>
      <c r="Q622" s="51"/>
      <c r="R622" s="51"/>
      <c r="S622" s="51"/>
      <c r="T622" s="51"/>
      <c r="U622" s="51"/>
      <c r="V622" s="51"/>
      <c r="W622" s="51"/>
      <c r="X622" s="51"/>
      <c r="Y622" s="51"/>
      <c r="Z622" s="51"/>
    </row>
    <row r="623" spans="1:26" x14ac:dyDescent="0.3">
      <c r="A623" s="51"/>
      <c r="B623" s="102"/>
      <c r="C623" s="51"/>
      <c r="E623" s="51"/>
      <c r="F623" s="51"/>
      <c r="G623" s="51"/>
      <c r="H623" s="51"/>
      <c r="I623" s="51"/>
      <c r="J623" s="51"/>
      <c r="K623" s="51"/>
      <c r="L623" s="106"/>
      <c r="M623" s="51"/>
      <c r="N623" s="94"/>
      <c r="O623" s="51"/>
      <c r="P623" s="51"/>
      <c r="Q623" s="51"/>
      <c r="R623" s="51"/>
      <c r="S623" s="51"/>
      <c r="T623" s="51"/>
      <c r="U623" s="51"/>
      <c r="V623" s="51"/>
      <c r="W623" s="51"/>
      <c r="X623" s="51"/>
      <c r="Y623" s="51"/>
      <c r="Z623" s="51"/>
    </row>
    <row r="624" spans="1:26" x14ac:dyDescent="0.3">
      <c r="A624" s="51"/>
      <c r="B624" s="102"/>
      <c r="C624" s="51"/>
      <c r="E624" s="51"/>
      <c r="F624" s="51"/>
      <c r="G624" s="51"/>
      <c r="H624" s="51"/>
      <c r="I624" s="51"/>
      <c r="J624" s="51"/>
      <c r="K624" s="51"/>
      <c r="L624" s="106"/>
      <c r="M624" s="51"/>
      <c r="N624" s="94"/>
      <c r="O624" s="51"/>
      <c r="P624" s="51"/>
      <c r="Q624" s="51"/>
      <c r="R624" s="51"/>
      <c r="S624" s="51"/>
      <c r="T624" s="51"/>
      <c r="U624" s="51"/>
      <c r="V624" s="51"/>
      <c r="W624" s="51"/>
      <c r="X624" s="51"/>
      <c r="Y624" s="51"/>
      <c r="Z624" s="51"/>
    </row>
    <row r="625" spans="1:26" x14ac:dyDescent="0.3">
      <c r="A625" s="51"/>
      <c r="B625" s="102"/>
      <c r="C625" s="51"/>
      <c r="E625" s="51"/>
      <c r="F625" s="51"/>
      <c r="G625" s="51"/>
      <c r="H625" s="51"/>
      <c r="I625" s="51"/>
      <c r="J625" s="51"/>
      <c r="K625" s="51"/>
      <c r="L625" s="106"/>
      <c r="M625" s="51"/>
      <c r="N625" s="94"/>
      <c r="O625" s="51"/>
      <c r="P625" s="51"/>
      <c r="Q625" s="51"/>
      <c r="R625" s="51"/>
      <c r="S625" s="51"/>
      <c r="T625" s="51"/>
      <c r="U625" s="51"/>
      <c r="V625" s="51"/>
      <c r="W625" s="51"/>
      <c r="X625" s="51"/>
      <c r="Y625" s="51"/>
      <c r="Z625" s="51"/>
    </row>
    <row r="626" spans="1:26" x14ac:dyDescent="0.3">
      <c r="A626" s="51"/>
      <c r="B626" s="102"/>
      <c r="C626" s="51"/>
      <c r="E626" s="51"/>
      <c r="F626" s="51"/>
      <c r="G626" s="51"/>
      <c r="H626" s="51"/>
      <c r="I626" s="51"/>
      <c r="J626" s="51"/>
      <c r="K626" s="51"/>
      <c r="L626" s="106"/>
      <c r="M626" s="51"/>
      <c r="N626" s="94"/>
      <c r="O626" s="51"/>
      <c r="P626" s="51"/>
      <c r="Q626" s="51"/>
      <c r="R626" s="51"/>
      <c r="S626" s="51"/>
      <c r="T626" s="51"/>
      <c r="U626" s="51"/>
      <c r="V626" s="51"/>
      <c r="W626" s="51"/>
      <c r="X626" s="51"/>
      <c r="Y626" s="51"/>
      <c r="Z626" s="51"/>
    </row>
    <row r="627" spans="1:26" x14ac:dyDescent="0.3">
      <c r="A627" s="51"/>
      <c r="B627" s="102"/>
      <c r="C627" s="51"/>
      <c r="E627" s="51"/>
      <c r="F627" s="51"/>
      <c r="G627" s="51"/>
      <c r="H627" s="51"/>
      <c r="I627" s="51"/>
      <c r="J627" s="51"/>
      <c r="K627" s="51"/>
      <c r="L627" s="106"/>
      <c r="M627" s="51"/>
      <c r="N627" s="94"/>
      <c r="O627" s="51"/>
      <c r="P627" s="51"/>
      <c r="Q627" s="51"/>
      <c r="R627" s="51"/>
      <c r="S627" s="51"/>
      <c r="T627" s="51"/>
      <c r="U627" s="51"/>
      <c r="V627" s="51"/>
      <c r="W627" s="51"/>
      <c r="X627" s="51"/>
      <c r="Y627" s="51"/>
      <c r="Z627" s="51"/>
    </row>
    <row r="628" spans="1:26" x14ac:dyDescent="0.3">
      <c r="A628" s="51"/>
      <c r="B628" s="102"/>
      <c r="C628" s="51"/>
      <c r="E628" s="51"/>
      <c r="F628" s="51"/>
      <c r="G628" s="51"/>
      <c r="H628" s="51"/>
      <c r="I628" s="51"/>
      <c r="J628" s="51"/>
      <c r="K628" s="51"/>
      <c r="L628" s="106"/>
      <c r="M628" s="51"/>
      <c r="N628" s="94"/>
      <c r="O628" s="51"/>
      <c r="P628" s="51"/>
      <c r="Q628" s="51"/>
      <c r="R628" s="51"/>
      <c r="S628" s="51"/>
      <c r="T628" s="51"/>
      <c r="U628" s="51"/>
      <c r="V628" s="51"/>
      <c r="W628" s="51"/>
      <c r="X628" s="51"/>
      <c r="Y628" s="51"/>
      <c r="Z628" s="51"/>
    </row>
    <row r="629" spans="1:26" x14ac:dyDescent="0.3">
      <c r="A629" s="51"/>
      <c r="B629" s="102"/>
      <c r="C629" s="51"/>
      <c r="E629" s="51"/>
      <c r="F629" s="51"/>
      <c r="G629" s="51"/>
      <c r="H629" s="51"/>
      <c r="I629" s="51"/>
      <c r="J629" s="51"/>
      <c r="K629" s="51"/>
      <c r="L629" s="106"/>
      <c r="M629" s="51"/>
      <c r="N629" s="94"/>
      <c r="O629" s="51"/>
      <c r="P629" s="51"/>
      <c r="Q629" s="51"/>
      <c r="R629" s="51"/>
      <c r="S629" s="51"/>
      <c r="T629" s="51"/>
      <c r="U629" s="51"/>
      <c r="V629" s="51"/>
      <c r="W629" s="51"/>
      <c r="X629" s="51"/>
      <c r="Y629" s="51"/>
      <c r="Z629" s="51"/>
    </row>
    <row r="630" spans="1:26" x14ac:dyDescent="0.3">
      <c r="A630" s="51"/>
      <c r="B630" s="102"/>
      <c r="C630" s="51"/>
      <c r="E630" s="51"/>
      <c r="F630" s="51"/>
      <c r="G630" s="51"/>
      <c r="H630" s="51"/>
      <c r="I630" s="51"/>
      <c r="J630" s="51"/>
      <c r="K630" s="51"/>
      <c r="L630" s="106"/>
      <c r="M630" s="51"/>
      <c r="N630" s="94"/>
      <c r="O630" s="51"/>
      <c r="P630" s="51"/>
      <c r="Q630" s="51"/>
      <c r="R630" s="51"/>
      <c r="S630" s="51"/>
      <c r="T630" s="51"/>
      <c r="U630" s="51"/>
      <c r="V630" s="51"/>
      <c r="W630" s="51"/>
      <c r="X630" s="51"/>
      <c r="Y630" s="51"/>
      <c r="Z630" s="51"/>
    </row>
    <row r="631" spans="1:26" x14ac:dyDescent="0.3">
      <c r="A631" s="51"/>
      <c r="B631" s="102"/>
      <c r="C631" s="51"/>
      <c r="E631" s="51"/>
      <c r="F631" s="51"/>
      <c r="G631" s="51"/>
      <c r="H631" s="51"/>
      <c r="I631" s="51"/>
      <c r="J631" s="51"/>
      <c r="K631" s="51"/>
      <c r="L631" s="106"/>
      <c r="M631" s="51"/>
      <c r="N631" s="94"/>
      <c r="O631" s="51"/>
      <c r="P631" s="51"/>
      <c r="Q631" s="51"/>
      <c r="R631" s="51"/>
      <c r="S631" s="51"/>
      <c r="T631" s="51"/>
      <c r="U631" s="51"/>
      <c r="V631" s="51"/>
      <c r="W631" s="51"/>
      <c r="X631" s="51"/>
      <c r="Y631" s="51"/>
      <c r="Z631" s="51"/>
    </row>
    <row r="632" spans="1:26" x14ac:dyDescent="0.3">
      <c r="A632" s="51"/>
      <c r="B632" s="102"/>
      <c r="C632" s="51"/>
      <c r="E632" s="51"/>
      <c r="F632" s="51"/>
      <c r="G632" s="51"/>
      <c r="H632" s="51"/>
      <c r="I632" s="51"/>
      <c r="J632" s="51"/>
      <c r="K632" s="51"/>
      <c r="L632" s="106"/>
      <c r="M632" s="51"/>
      <c r="N632" s="94"/>
      <c r="O632" s="51"/>
      <c r="P632" s="51"/>
      <c r="Q632" s="51"/>
      <c r="R632" s="51"/>
      <c r="S632" s="51"/>
      <c r="T632" s="51"/>
      <c r="U632" s="51"/>
      <c r="V632" s="51"/>
      <c r="W632" s="51"/>
      <c r="X632" s="51"/>
      <c r="Y632" s="51"/>
      <c r="Z632" s="51"/>
    </row>
    <row r="633" spans="1:26" x14ac:dyDescent="0.3">
      <c r="A633" s="51"/>
      <c r="B633" s="102"/>
      <c r="C633" s="51"/>
      <c r="E633" s="51"/>
      <c r="F633" s="51"/>
      <c r="G633" s="51"/>
      <c r="H633" s="51"/>
      <c r="I633" s="51"/>
      <c r="J633" s="51"/>
      <c r="K633" s="51"/>
      <c r="L633" s="106"/>
      <c r="M633" s="51"/>
      <c r="N633" s="94"/>
      <c r="O633" s="51"/>
      <c r="P633" s="51"/>
      <c r="Q633" s="51"/>
      <c r="R633" s="51"/>
      <c r="S633" s="51"/>
      <c r="T633" s="51"/>
      <c r="U633" s="51"/>
      <c r="V633" s="51"/>
      <c r="W633" s="51"/>
      <c r="X633" s="51"/>
      <c r="Y633" s="51"/>
      <c r="Z633" s="51"/>
    </row>
    <row r="634" spans="1:26" x14ac:dyDescent="0.3">
      <c r="A634" s="51"/>
      <c r="B634" s="102"/>
      <c r="C634" s="51"/>
      <c r="E634" s="51"/>
      <c r="F634" s="51"/>
      <c r="G634" s="51"/>
      <c r="H634" s="51"/>
      <c r="I634" s="51"/>
      <c r="J634" s="51"/>
      <c r="K634" s="51"/>
      <c r="L634" s="106"/>
      <c r="M634" s="51"/>
      <c r="N634" s="94"/>
      <c r="O634" s="51"/>
      <c r="P634" s="51"/>
      <c r="Q634" s="51"/>
      <c r="R634" s="51"/>
      <c r="S634" s="51"/>
      <c r="T634" s="51"/>
      <c r="U634" s="51"/>
      <c r="V634" s="51"/>
      <c r="W634" s="51"/>
      <c r="X634" s="51"/>
      <c r="Y634" s="51"/>
      <c r="Z634" s="51"/>
    </row>
    <row r="635" spans="1:26" x14ac:dyDescent="0.3">
      <c r="A635" s="51"/>
      <c r="B635" s="102"/>
      <c r="C635" s="51"/>
      <c r="E635" s="51"/>
      <c r="F635" s="51"/>
      <c r="G635" s="51"/>
      <c r="H635" s="51"/>
      <c r="I635" s="51"/>
      <c r="J635" s="51"/>
      <c r="K635" s="51"/>
      <c r="L635" s="106"/>
      <c r="M635" s="51"/>
      <c r="N635" s="94"/>
      <c r="O635" s="51"/>
      <c r="P635" s="51"/>
      <c r="Q635" s="51"/>
      <c r="R635" s="51"/>
      <c r="S635" s="51"/>
      <c r="T635" s="51"/>
      <c r="U635" s="51"/>
      <c r="V635" s="51"/>
      <c r="W635" s="51"/>
      <c r="X635" s="51"/>
      <c r="Y635" s="51"/>
      <c r="Z635" s="51"/>
    </row>
    <row r="636" spans="1:26" x14ac:dyDescent="0.3">
      <c r="A636" s="51"/>
      <c r="B636" s="102"/>
      <c r="C636" s="51"/>
      <c r="E636" s="51"/>
      <c r="F636" s="51"/>
      <c r="G636" s="51"/>
      <c r="H636" s="51"/>
      <c r="I636" s="51"/>
      <c r="J636" s="51"/>
      <c r="K636" s="51"/>
      <c r="L636" s="106"/>
      <c r="M636" s="51"/>
      <c r="N636" s="94"/>
      <c r="O636" s="51"/>
      <c r="P636" s="51"/>
      <c r="Q636" s="51"/>
      <c r="R636" s="51"/>
      <c r="S636" s="51"/>
      <c r="T636" s="51"/>
      <c r="U636" s="51"/>
      <c r="V636" s="51"/>
      <c r="W636" s="51"/>
      <c r="X636" s="51"/>
      <c r="Y636" s="51"/>
      <c r="Z636" s="51"/>
    </row>
    <row r="637" spans="1:26" x14ac:dyDescent="0.3">
      <c r="A637" s="51"/>
      <c r="B637" s="102"/>
      <c r="C637" s="51"/>
      <c r="E637" s="51"/>
      <c r="F637" s="51"/>
      <c r="G637" s="51"/>
      <c r="H637" s="51"/>
      <c r="I637" s="51"/>
      <c r="J637" s="51"/>
      <c r="K637" s="51"/>
      <c r="L637" s="106"/>
      <c r="M637" s="51"/>
      <c r="N637" s="94"/>
      <c r="O637" s="51"/>
      <c r="P637" s="51"/>
      <c r="Q637" s="51"/>
      <c r="R637" s="51"/>
      <c r="S637" s="51"/>
      <c r="T637" s="51"/>
      <c r="U637" s="51"/>
      <c r="V637" s="51"/>
      <c r="W637" s="51"/>
      <c r="X637" s="51"/>
      <c r="Y637" s="51"/>
      <c r="Z637" s="51"/>
    </row>
    <row r="638" spans="1:26" x14ac:dyDescent="0.3">
      <c r="A638" s="51"/>
      <c r="B638" s="102"/>
      <c r="C638" s="51"/>
      <c r="E638" s="51"/>
      <c r="F638" s="51"/>
      <c r="G638" s="51"/>
      <c r="H638" s="51"/>
      <c r="I638" s="51"/>
      <c r="J638" s="51"/>
      <c r="K638" s="51"/>
      <c r="L638" s="106"/>
      <c r="M638" s="51"/>
      <c r="N638" s="94"/>
      <c r="O638" s="51"/>
      <c r="P638" s="51"/>
      <c r="Q638" s="51"/>
      <c r="R638" s="51"/>
      <c r="S638" s="51"/>
      <c r="T638" s="51"/>
      <c r="U638" s="51"/>
      <c r="V638" s="51"/>
      <c r="W638" s="51"/>
      <c r="X638" s="51"/>
      <c r="Y638" s="51"/>
      <c r="Z638" s="51"/>
    </row>
    <row r="639" spans="1:26" x14ac:dyDescent="0.3">
      <c r="A639" s="51"/>
      <c r="B639" s="102"/>
      <c r="C639" s="51"/>
      <c r="E639" s="51"/>
      <c r="F639" s="51"/>
      <c r="G639" s="51"/>
      <c r="H639" s="51"/>
      <c r="I639" s="51"/>
      <c r="J639" s="51"/>
      <c r="K639" s="51"/>
      <c r="L639" s="106"/>
      <c r="M639" s="51"/>
      <c r="N639" s="94"/>
      <c r="O639" s="51"/>
      <c r="P639" s="51"/>
      <c r="Q639" s="51"/>
      <c r="R639" s="51"/>
      <c r="S639" s="51"/>
      <c r="T639" s="51"/>
      <c r="U639" s="51"/>
      <c r="V639" s="51"/>
      <c r="W639" s="51"/>
      <c r="X639" s="51"/>
      <c r="Y639" s="51"/>
      <c r="Z639" s="51"/>
    </row>
    <row r="640" spans="1:26" x14ac:dyDescent="0.3">
      <c r="A640" s="51"/>
      <c r="B640" s="102"/>
      <c r="C640" s="51"/>
      <c r="E640" s="51"/>
      <c r="F640" s="51"/>
      <c r="G640" s="51"/>
      <c r="H640" s="51"/>
      <c r="I640" s="51"/>
      <c r="J640" s="51"/>
      <c r="K640" s="51"/>
      <c r="L640" s="106"/>
      <c r="M640" s="51"/>
      <c r="N640" s="94"/>
      <c r="O640" s="51"/>
      <c r="P640" s="51"/>
      <c r="Q640" s="51"/>
      <c r="R640" s="51"/>
      <c r="S640" s="51"/>
      <c r="T640" s="51"/>
      <c r="U640" s="51"/>
      <c r="V640" s="51"/>
      <c r="W640" s="51"/>
      <c r="X640" s="51"/>
      <c r="Y640" s="51"/>
      <c r="Z640" s="51"/>
    </row>
    <row r="641" spans="1:26" x14ac:dyDescent="0.3">
      <c r="A641" s="51"/>
      <c r="B641" s="102"/>
      <c r="C641" s="51"/>
      <c r="E641" s="51"/>
      <c r="F641" s="51"/>
      <c r="G641" s="51"/>
      <c r="H641" s="51"/>
      <c r="I641" s="51"/>
      <c r="J641" s="51"/>
      <c r="K641" s="51"/>
      <c r="L641" s="106"/>
      <c r="M641" s="51"/>
      <c r="N641" s="94"/>
      <c r="O641" s="51"/>
      <c r="P641" s="51"/>
      <c r="Q641" s="51"/>
      <c r="R641" s="51"/>
      <c r="S641" s="51"/>
      <c r="T641" s="51"/>
      <c r="U641" s="51"/>
      <c r="V641" s="51"/>
      <c r="W641" s="51"/>
      <c r="X641" s="51"/>
      <c r="Y641" s="51"/>
      <c r="Z641" s="51"/>
    </row>
    <row r="642" spans="1:26" x14ac:dyDescent="0.3">
      <c r="A642" s="51"/>
      <c r="B642" s="102"/>
      <c r="C642" s="51"/>
      <c r="E642" s="51"/>
      <c r="F642" s="51"/>
      <c r="G642" s="51"/>
      <c r="H642" s="51"/>
      <c r="I642" s="51"/>
      <c r="J642" s="51"/>
      <c r="K642" s="51"/>
      <c r="L642" s="106"/>
      <c r="M642" s="51"/>
      <c r="N642" s="94"/>
      <c r="O642" s="51"/>
      <c r="P642" s="51"/>
      <c r="Q642" s="51"/>
      <c r="R642" s="51"/>
      <c r="S642" s="51"/>
      <c r="T642" s="51"/>
      <c r="U642" s="51"/>
      <c r="V642" s="51"/>
      <c r="W642" s="51"/>
      <c r="X642" s="51"/>
      <c r="Y642" s="51"/>
      <c r="Z642" s="51"/>
    </row>
    <row r="643" spans="1:26" x14ac:dyDescent="0.3">
      <c r="A643" s="51"/>
      <c r="B643" s="102"/>
      <c r="C643" s="51"/>
      <c r="E643" s="51"/>
      <c r="F643" s="51"/>
      <c r="G643" s="51"/>
      <c r="H643" s="51"/>
      <c r="I643" s="51"/>
      <c r="J643" s="51"/>
      <c r="K643" s="51"/>
      <c r="L643" s="106"/>
      <c r="M643" s="51"/>
      <c r="N643" s="94"/>
      <c r="O643" s="51"/>
      <c r="P643" s="51"/>
      <c r="Q643" s="51"/>
      <c r="R643" s="51"/>
      <c r="S643" s="51"/>
      <c r="T643" s="51"/>
      <c r="U643" s="51"/>
      <c r="V643" s="51"/>
      <c r="W643" s="51"/>
      <c r="X643" s="51"/>
      <c r="Y643" s="51"/>
      <c r="Z643" s="51"/>
    </row>
    <row r="644" spans="1:26" x14ac:dyDescent="0.3">
      <c r="A644" s="51"/>
      <c r="B644" s="102"/>
      <c r="C644" s="51"/>
      <c r="E644" s="51"/>
      <c r="F644" s="51"/>
      <c r="G644" s="51"/>
      <c r="H644" s="51"/>
      <c r="I644" s="51"/>
      <c r="J644" s="51"/>
      <c r="K644" s="51"/>
      <c r="L644" s="106"/>
      <c r="M644" s="51"/>
      <c r="N644" s="94"/>
      <c r="O644" s="51"/>
      <c r="P644" s="51"/>
      <c r="Q644" s="51"/>
      <c r="R644" s="51"/>
      <c r="S644" s="51"/>
      <c r="T644" s="51"/>
      <c r="U644" s="51"/>
      <c r="V644" s="51"/>
      <c r="W644" s="51"/>
      <c r="X644" s="51"/>
      <c r="Y644" s="51"/>
      <c r="Z644" s="51"/>
    </row>
    <row r="645" spans="1:26" x14ac:dyDescent="0.3">
      <c r="A645" s="51"/>
      <c r="B645" s="102"/>
      <c r="C645" s="51"/>
      <c r="E645" s="51"/>
      <c r="F645" s="51"/>
      <c r="G645" s="51"/>
      <c r="H645" s="51"/>
      <c r="I645" s="51"/>
      <c r="J645" s="51"/>
      <c r="K645" s="51"/>
      <c r="L645" s="106"/>
      <c r="M645" s="51"/>
      <c r="N645" s="94"/>
      <c r="O645" s="51"/>
      <c r="P645" s="51"/>
      <c r="Q645" s="51"/>
      <c r="R645" s="51"/>
      <c r="S645" s="51"/>
      <c r="T645" s="51"/>
      <c r="U645" s="51"/>
      <c r="V645" s="51"/>
      <c r="W645" s="51"/>
      <c r="X645" s="51"/>
      <c r="Y645" s="51"/>
      <c r="Z645" s="51"/>
    </row>
    <row r="646" spans="1:26" x14ac:dyDescent="0.3">
      <c r="A646" s="51"/>
      <c r="B646" s="102"/>
      <c r="C646" s="51"/>
      <c r="E646" s="51"/>
      <c r="F646" s="51"/>
      <c r="G646" s="51"/>
      <c r="H646" s="51"/>
      <c r="I646" s="51"/>
      <c r="J646" s="51"/>
      <c r="K646" s="51"/>
      <c r="L646" s="106"/>
      <c r="M646" s="51"/>
      <c r="N646" s="94"/>
      <c r="O646" s="51"/>
      <c r="P646" s="51"/>
      <c r="Q646" s="51"/>
      <c r="R646" s="51"/>
      <c r="S646" s="51"/>
      <c r="T646" s="51"/>
      <c r="U646" s="51"/>
      <c r="V646" s="51"/>
      <c r="W646" s="51"/>
      <c r="X646" s="51"/>
      <c r="Y646" s="51"/>
      <c r="Z646" s="51"/>
    </row>
    <row r="647" spans="1:26" x14ac:dyDescent="0.3">
      <c r="A647" s="51"/>
      <c r="B647" s="102"/>
      <c r="C647" s="51"/>
      <c r="E647" s="51"/>
      <c r="F647" s="51"/>
      <c r="G647" s="51"/>
      <c r="H647" s="51"/>
      <c r="I647" s="51"/>
      <c r="J647" s="51"/>
      <c r="K647" s="51"/>
      <c r="L647" s="106"/>
      <c r="M647" s="51"/>
      <c r="N647" s="94"/>
      <c r="O647" s="51"/>
      <c r="P647" s="51"/>
      <c r="Q647" s="51"/>
      <c r="R647" s="51"/>
      <c r="S647" s="51"/>
      <c r="T647" s="51"/>
      <c r="U647" s="51"/>
      <c r="V647" s="51"/>
      <c r="W647" s="51"/>
      <c r="X647" s="51"/>
      <c r="Y647" s="51"/>
      <c r="Z647" s="51"/>
    </row>
    <row r="648" spans="1:26" x14ac:dyDescent="0.3">
      <c r="A648" s="51"/>
      <c r="B648" s="102"/>
      <c r="C648" s="51"/>
      <c r="E648" s="51"/>
      <c r="F648" s="51"/>
      <c r="G648" s="51"/>
      <c r="H648" s="51"/>
      <c r="I648" s="51"/>
      <c r="J648" s="51"/>
      <c r="K648" s="51"/>
      <c r="L648" s="106"/>
      <c r="M648" s="51"/>
      <c r="N648" s="94"/>
      <c r="O648" s="51"/>
      <c r="P648" s="51"/>
      <c r="Q648" s="51"/>
      <c r="R648" s="51"/>
      <c r="S648" s="51"/>
      <c r="T648" s="51"/>
      <c r="U648" s="51"/>
      <c r="V648" s="51"/>
      <c r="W648" s="51"/>
      <c r="X648" s="51"/>
      <c r="Y648" s="51"/>
      <c r="Z648" s="51"/>
    </row>
    <row r="649" spans="1:26" x14ac:dyDescent="0.3">
      <c r="A649" s="51"/>
      <c r="B649" s="102"/>
      <c r="C649" s="51"/>
      <c r="E649" s="51"/>
      <c r="F649" s="51"/>
      <c r="G649" s="51"/>
      <c r="H649" s="51"/>
      <c r="I649" s="51"/>
      <c r="J649" s="51"/>
      <c r="K649" s="51"/>
      <c r="L649" s="106"/>
      <c r="M649" s="51"/>
      <c r="N649" s="94"/>
      <c r="O649" s="51"/>
      <c r="P649" s="51"/>
      <c r="Q649" s="51"/>
      <c r="R649" s="51"/>
      <c r="S649" s="51"/>
      <c r="T649" s="51"/>
      <c r="U649" s="51"/>
      <c r="V649" s="51"/>
      <c r="W649" s="51"/>
      <c r="X649" s="51"/>
      <c r="Y649" s="51"/>
      <c r="Z649" s="51"/>
    </row>
    <row r="650" spans="1:26" x14ac:dyDescent="0.3">
      <c r="A650" s="51"/>
      <c r="B650" s="102"/>
      <c r="C650" s="51"/>
      <c r="E650" s="51"/>
      <c r="F650" s="51"/>
      <c r="G650" s="51"/>
      <c r="H650" s="51"/>
      <c r="I650" s="51"/>
      <c r="J650" s="51"/>
      <c r="L650" s="106"/>
      <c r="M650" s="51"/>
      <c r="N650" s="94"/>
      <c r="O650" s="51"/>
      <c r="P650" s="51"/>
      <c r="Q650" s="51"/>
      <c r="R650" s="51"/>
      <c r="S650" s="51"/>
      <c r="T650" s="51"/>
      <c r="U650" s="51"/>
      <c r="V650" s="51"/>
      <c r="W650" s="51"/>
      <c r="X650" s="51"/>
      <c r="Y650" s="51"/>
      <c r="Z650" s="51"/>
    </row>
  </sheetData>
  <autoFilter ref="A1:S48"/>
  <customSheetViews>
    <customSheetView guid="{2EEA926C-3156-4AC6-9229-A7AA2DF955D3}" scale="80" showAutoFilter="1" topLeftCell="B25">
      <selection activeCell="B26" sqref="B26"/>
      <pageMargins left="0.7" right="0.7" top="0.75" bottom="0.75" header="0.3" footer="0.3"/>
      <pageSetup paperSize="9" orientation="portrait" r:id="rId1"/>
      <autoFilter ref="A1:T45"/>
    </customSheetView>
    <customSheetView guid="{2DB1E318-7147-48DF-A27A-64EE5389D79D}" scale="80" showAutoFilter="1" topLeftCell="K1">
      <selection activeCell="P3" sqref="P3"/>
      <pageMargins left="0.7" right="0.7" top="0.75" bottom="0.75" header="0.3" footer="0.3"/>
      <pageSetup paperSize="9" orientation="portrait" r:id="rId2"/>
      <autoFilter ref="A1:U41"/>
    </customSheetView>
    <customSheetView guid="{173D36D5-56F6-4F44-8AEA-1BCCEB5BEB01}" scale="80" showAutoFilter="1" topLeftCell="K1">
      <selection activeCell="P3" sqref="P3"/>
      <pageMargins left="0.7" right="0.7" top="0.75" bottom="0.75" header="0.3" footer="0.3"/>
      <pageSetup paperSize="9" orientation="portrait" r:id="rId3"/>
      <autoFilter ref="A1:U41"/>
    </customSheetView>
    <customSheetView guid="{E54B5D21-78A5-49ED-8A41-5B0BD6CF5BF8}" scale="70" showAutoFilter="1" topLeftCell="A27">
      <selection activeCell="F28" sqref="F28"/>
      <pageMargins left="0.7" right="0.7" top="0.75" bottom="0.75" header="0.3" footer="0.3"/>
      <pageSetup paperSize="9" orientation="portrait" r:id="rId4"/>
      <autoFilter ref="A1:T41"/>
    </customSheetView>
    <customSheetView guid="{118B26FA-458B-4EBF-A611-352DC7919B8F}" scale="70" showAutoFilter="1" topLeftCell="E1">
      <selection activeCell="E3" sqref="E3"/>
      <pageMargins left="0.7" right="0.7" top="0.75" bottom="0.75" header="0.3" footer="0.3"/>
      <pageSetup paperSize="9" orientation="portrait" r:id="rId5"/>
      <autoFilter ref="A1:T42"/>
    </customSheetView>
    <customSheetView guid="{7E89C46F-A64B-40A0-896B-BA6F5B13D9A1}" scale="70" showAutoFilter="1" topLeftCell="H40">
      <selection activeCell="Q42" sqref="Q42"/>
      <pageMargins left="0.7" right="0.7" top="0.75" bottom="0.75" header="0.3" footer="0.3"/>
      <pageSetup paperSize="9" orientation="portrait" r:id="rId6"/>
      <autoFilter ref="A1:T42"/>
    </customSheetView>
    <customSheetView guid="{A97CC407-D832-4D6B-889F-79EA371F2140}" scale="70" showAutoFilter="1" topLeftCell="G1">
      <selection activeCell="K27" sqref="K27:K38"/>
      <pageMargins left="0.7" right="0.7" top="0.75" bottom="0.75" header="0.3" footer="0.3"/>
      <pageSetup paperSize="9" orientation="portrait" r:id="rId7"/>
      <autoFilter ref="A1:S49"/>
    </customSheetView>
    <customSheetView guid="{B95F8ECF-EE4B-497E-8AFD-61960D2C04DE}" scale="70" showAutoFilter="1" topLeftCell="C1">
      <selection activeCell="G2" sqref="G2"/>
      <pageMargins left="0.7" right="0.7" top="0.75" bottom="0.75" header="0.3" footer="0.3"/>
      <pageSetup paperSize="9" orientation="portrait" r:id="rId8"/>
      <autoFilter ref="A1:T49"/>
    </customSheetView>
    <customSheetView guid="{D1303DE8-82E6-497F-898A-86E0FE4EA44C}" scale="80" showAutoFilter="1">
      <selection activeCell="G3" sqref="G3"/>
      <pageMargins left="0.7" right="0.7" top="0.75" bottom="0.75" header="0.3" footer="0.3"/>
      <pageSetup paperSize="9" orientation="portrait" r:id="rId9"/>
      <autoFilter ref="A1:U45"/>
    </customSheetView>
  </customSheetViews>
  <phoneticPr fontId="7" type="noConversion"/>
  <pageMargins left="0.7" right="0.7" top="0.75" bottom="0.75" header="0.3" footer="0.3"/>
  <pageSetup paperSize="9" orientation="portrait"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47"/>
  <sheetViews>
    <sheetView zoomScale="80" zoomScaleNormal="80" workbookViewId="0">
      <pane xSplit="5" ySplit="1" topLeftCell="F40" activePane="bottomRight" state="frozen"/>
      <selection pane="topRight" activeCell="F1" sqref="F1"/>
      <selection pane="bottomLeft" activeCell="A2" sqref="A2"/>
      <selection pane="bottomRight" activeCell="E41" sqref="E41"/>
    </sheetView>
  </sheetViews>
  <sheetFormatPr defaultColWidth="9" defaultRowHeight="16.5" x14ac:dyDescent="0.3"/>
  <cols>
    <col min="1" max="1" width="3.875" style="32" customWidth="1"/>
    <col min="2" max="2" width="14.5" style="32" customWidth="1"/>
    <col min="3" max="3" width="5.375" style="32" customWidth="1"/>
    <col min="4" max="4" width="5.5" customWidth="1"/>
    <col min="5" max="5" width="27.625" style="32" customWidth="1"/>
    <col min="6" max="6" width="53.375" style="32" customWidth="1"/>
    <col min="7" max="7" width="59.625" style="32" customWidth="1"/>
    <col min="8" max="8" width="64.875" style="32" customWidth="1"/>
    <col min="9" max="9" width="49.875" style="32" customWidth="1"/>
    <col min="10" max="10" width="7.25" style="32" customWidth="1"/>
    <col min="11" max="11" width="13" style="32" customWidth="1"/>
    <col min="12" max="12" width="5.25" style="32" customWidth="1"/>
    <col min="13" max="13" width="53.625" style="32" customWidth="1"/>
    <col min="14" max="14" width="26.5" style="31" customWidth="1"/>
    <col min="15" max="15" width="31.125" style="32" customWidth="1"/>
    <col min="16" max="16" width="46.375" style="32" customWidth="1"/>
    <col min="17" max="17" width="38.375" style="32" customWidth="1"/>
    <col min="18" max="18" width="26.75" style="32" customWidth="1"/>
    <col min="19" max="19" width="21" style="32" customWidth="1"/>
    <col min="20" max="16384" width="9" style="32"/>
  </cols>
  <sheetData>
    <row r="1" spans="1:19" s="31" customFormat="1" ht="22.7" customHeight="1" x14ac:dyDescent="0.3">
      <c r="A1" s="26" t="s">
        <v>0</v>
      </c>
      <c r="B1" s="27" t="s">
        <v>1</v>
      </c>
      <c r="C1" s="27" t="s">
        <v>85</v>
      </c>
      <c r="D1" s="27" t="s">
        <v>2</v>
      </c>
      <c r="E1" s="27" t="s">
        <v>3</v>
      </c>
      <c r="F1" s="27" t="s">
        <v>4</v>
      </c>
      <c r="G1" s="27" t="s">
        <v>5</v>
      </c>
      <c r="H1" s="27" t="s">
        <v>6</v>
      </c>
      <c r="I1" s="27" t="s">
        <v>7</v>
      </c>
      <c r="J1" s="27" t="s">
        <v>427</v>
      </c>
      <c r="K1" s="55" t="s">
        <v>492</v>
      </c>
      <c r="L1" s="28" t="s">
        <v>86</v>
      </c>
      <c r="M1" s="28" t="s">
        <v>87</v>
      </c>
      <c r="N1" s="28" t="s">
        <v>743</v>
      </c>
      <c r="O1" s="28" t="s">
        <v>88</v>
      </c>
      <c r="P1" s="28" t="s">
        <v>89</v>
      </c>
      <c r="Q1" s="29" t="s">
        <v>90</v>
      </c>
      <c r="R1" s="29" t="s">
        <v>91</v>
      </c>
      <c r="S1" s="29" t="s">
        <v>92</v>
      </c>
    </row>
    <row r="2" spans="1:19" s="58" customFormat="1" ht="391.5" x14ac:dyDescent="0.3">
      <c r="A2" s="108" t="s">
        <v>9</v>
      </c>
      <c r="B2" s="108" t="s">
        <v>98</v>
      </c>
      <c r="C2" s="108" t="s">
        <v>10</v>
      </c>
      <c r="D2" s="108">
        <v>1</v>
      </c>
      <c r="E2" s="108" t="s">
        <v>1290</v>
      </c>
      <c r="F2" s="108" t="s">
        <v>946</v>
      </c>
      <c r="G2" s="108" t="s">
        <v>533</v>
      </c>
      <c r="H2" s="108" t="s">
        <v>981</v>
      </c>
      <c r="I2" s="108" t="s">
        <v>1541</v>
      </c>
      <c r="J2" s="108">
        <v>0</v>
      </c>
      <c r="K2" s="111" t="s">
        <v>251</v>
      </c>
      <c r="L2" s="108" t="s">
        <v>104</v>
      </c>
      <c r="M2" s="108" t="s">
        <v>430</v>
      </c>
      <c r="N2" s="112" t="s">
        <v>575</v>
      </c>
      <c r="O2" s="108"/>
      <c r="P2" s="108"/>
      <c r="Q2" s="108"/>
      <c r="R2" s="57"/>
      <c r="S2" s="57"/>
    </row>
    <row r="3" spans="1:19" s="58" customFormat="1" ht="175.5" x14ac:dyDescent="0.3">
      <c r="A3" s="108" t="s">
        <v>9</v>
      </c>
      <c r="B3" s="108" t="s">
        <v>98</v>
      </c>
      <c r="C3" s="108" t="s">
        <v>10</v>
      </c>
      <c r="D3" s="108">
        <v>1</v>
      </c>
      <c r="E3" s="108" t="s">
        <v>1291</v>
      </c>
      <c r="F3" s="108" t="s">
        <v>1252</v>
      </c>
      <c r="G3" s="108" t="s">
        <v>556</v>
      </c>
      <c r="H3" s="108" t="s">
        <v>574</v>
      </c>
      <c r="I3" s="108" t="s">
        <v>1634</v>
      </c>
      <c r="J3" s="108">
        <v>1</v>
      </c>
      <c r="K3" s="111" t="s">
        <v>359</v>
      </c>
      <c r="L3" s="108" t="s">
        <v>1590</v>
      </c>
      <c r="M3" s="108" t="s">
        <v>408</v>
      </c>
      <c r="N3" s="112" t="s">
        <v>575</v>
      </c>
      <c r="O3" s="108"/>
      <c r="P3" s="108"/>
      <c r="Q3" s="108"/>
      <c r="R3" s="57"/>
      <c r="S3" s="57"/>
    </row>
    <row r="4" spans="1:19" s="58" customFormat="1" ht="67.5" x14ac:dyDescent="0.3">
      <c r="A4" s="108" t="s">
        <v>9</v>
      </c>
      <c r="B4" s="108" t="s">
        <v>442</v>
      </c>
      <c r="C4" s="108" t="s">
        <v>10</v>
      </c>
      <c r="D4" s="108">
        <v>1</v>
      </c>
      <c r="E4" s="108" t="s">
        <v>1292</v>
      </c>
      <c r="F4" s="108" t="s">
        <v>517</v>
      </c>
      <c r="G4" s="108" t="s">
        <v>1372</v>
      </c>
      <c r="H4" s="108" t="s">
        <v>495</v>
      </c>
      <c r="I4" s="108" t="s">
        <v>1224</v>
      </c>
      <c r="J4" s="108">
        <v>0</v>
      </c>
      <c r="K4" s="111"/>
      <c r="L4" s="108" t="s">
        <v>103</v>
      </c>
      <c r="M4" s="108" t="s">
        <v>132</v>
      </c>
      <c r="N4" s="112" t="s">
        <v>575</v>
      </c>
      <c r="O4" s="108"/>
      <c r="P4" s="108"/>
      <c r="Q4" s="108"/>
      <c r="R4" s="57"/>
      <c r="S4" s="57"/>
    </row>
    <row r="5" spans="1:19" s="58" customFormat="1" ht="67.5" x14ac:dyDescent="0.3">
      <c r="A5" s="108" t="s">
        <v>9</v>
      </c>
      <c r="B5" s="108" t="s">
        <v>99</v>
      </c>
      <c r="C5" s="108" t="s">
        <v>10</v>
      </c>
      <c r="D5" s="108">
        <v>1</v>
      </c>
      <c r="E5" s="108" t="s">
        <v>1293</v>
      </c>
      <c r="F5" s="108" t="s">
        <v>1253</v>
      </c>
      <c r="G5" s="108" t="s">
        <v>759</v>
      </c>
      <c r="H5" s="108" t="s">
        <v>93</v>
      </c>
      <c r="I5" s="108" t="s">
        <v>1226</v>
      </c>
      <c r="J5" s="108">
        <v>0</v>
      </c>
      <c r="K5" s="111"/>
      <c r="L5" s="108" t="s">
        <v>103</v>
      </c>
      <c r="M5" s="108" t="s">
        <v>132</v>
      </c>
      <c r="N5" s="112" t="s">
        <v>575</v>
      </c>
      <c r="O5" s="108"/>
      <c r="P5" s="108"/>
      <c r="Q5" s="108"/>
      <c r="R5" s="57"/>
      <c r="S5" s="57"/>
    </row>
    <row r="6" spans="1:19" s="58" customFormat="1" ht="409.5" x14ac:dyDescent="0.3">
      <c r="A6" s="108" t="s">
        <v>9</v>
      </c>
      <c r="B6" s="108" t="s">
        <v>98</v>
      </c>
      <c r="C6" s="108" t="s">
        <v>10</v>
      </c>
      <c r="D6" s="108">
        <v>1</v>
      </c>
      <c r="E6" s="108" t="s">
        <v>1294</v>
      </c>
      <c r="F6" s="108" t="s">
        <v>496</v>
      </c>
      <c r="G6" s="108" t="s">
        <v>1653</v>
      </c>
      <c r="H6" s="108" t="s">
        <v>1652</v>
      </c>
      <c r="I6" s="108" t="s">
        <v>1651</v>
      </c>
      <c r="J6" s="108">
        <v>1</v>
      </c>
      <c r="K6" s="111" t="s">
        <v>450</v>
      </c>
      <c r="L6" s="108" t="s">
        <v>175</v>
      </c>
      <c r="M6" s="108" t="s">
        <v>1233</v>
      </c>
      <c r="N6" s="112" t="s">
        <v>586</v>
      </c>
      <c r="O6" s="108"/>
      <c r="P6" s="108" t="s">
        <v>459</v>
      </c>
      <c r="Q6" s="108"/>
      <c r="R6" s="57"/>
      <c r="S6" s="57"/>
    </row>
    <row r="7" spans="1:19" s="58" customFormat="1" ht="272.25" customHeight="1" x14ac:dyDescent="0.3">
      <c r="A7" s="108" t="s">
        <v>9</v>
      </c>
      <c r="B7" s="108" t="s">
        <v>98</v>
      </c>
      <c r="C7" s="108" t="s">
        <v>10</v>
      </c>
      <c r="D7" s="108">
        <v>1</v>
      </c>
      <c r="E7" s="108" t="s">
        <v>1295</v>
      </c>
      <c r="F7" s="108" t="s">
        <v>496</v>
      </c>
      <c r="G7" s="108" t="s">
        <v>1234</v>
      </c>
      <c r="H7" s="108" t="s">
        <v>745</v>
      </c>
      <c r="I7" s="108" t="s">
        <v>1542</v>
      </c>
      <c r="J7" s="108">
        <v>1</v>
      </c>
      <c r="K7" s="111" t="s">
        <v>451</v>
      </c>
      <c r="L7" s="108" t="s">
        <v>175</v>
      </c>
      <c r="M7" s="108" t="s">
        <v>493</v>
      </c>
      <c r="N7" s="112" t="s">
        <v>586</v>
      </c>
      <c r="O7" s="108"/>
      <c r="P7" s="108" t="s">
        <v>460</v>
      </c>
      <c r="Q7" s="108"/>
      <c r="R7" s="57"/>
      <c r="S7" s="57"/>
    </row>
    <row r="8" spans="1:19" s="58" customFormat="1" ht="409.5" x14ac:dyDescent="0.3">
      <c r="A8" s="108" t="s">
        <v>9</v>
      </c>
      <c r="B8" s="108" t="s">
        <v>98</v>
      </c>
      <c r="C8" s="108" t="s">
        <v>10</v>
      </c>
      <c r="D8" s="108">
        <v>1</v>
      </c>
      <c r="E8" s="108" t="s">
        <v>1296</v>
      </c>
      <c r="F8" s="108" t="s">
        <v>496</v>
      </c>
      <c r="G8" s="108" t="s">
        <v>1636</v>
      </c>
      <c r="H8" s="108" t="s">
        <v>746</v>
      </c>
      <c r="I8" s="108" t="s">
        <v>1635</v>
      </c>
      <c r="J8" s="108">
        <v>1</v>
      </c>
      <c r="K8" s="111" t="s">
        <v>254</v>
      </c>
      <c r="L8" s="108" t="s">
        <v>1589</v>
      </c>
      <c r="M8" s="108" t="s">
        <v>443</v>
      </c>
      <c r="N8" s="112" t="s">
        <v>587</v>
      </c>
      <c r="O8" s="108"/>
      <c r="P8" s="108"/>
      <c r="Q8" s="108"/>
      <c r="R8" s="57"/>
      <c r="S8" s="57"/>
    </row>
    <row r="9" spans="1:19" s="58" customFormat="1" ht="148.5" x14ac:dyDescent="0.3">
      <c r="A9" s="108" t="s">
        <v>9</v>
      </c>
      <c r="B9" s="108" t="s">
        <v>98</v>
      </c>
      <c r="C9" s="108" t="s">
        <v>10</v>
      </c>
      <c r="D9" s="108">
        <v>1</v>
      </c>
      <c r="E9" s="108" t="s">
        <v>1297</v>
      </c>
      <c r="F9" s="108" t="s">
        <v>497</v>
      </c>
      <c r="G9" s="108" t="s">
        <v>747</v>
      </c>
      <c r="H9" s="108" t="s">
        <v>929</v>
      </c>
      <c r="I9" s="108" t="s">
        <v>1543</v>
      </c>
      <c r="J9" s="108">
        <v>1</v>
      </c>
      <c r="K9" s="111" t="s">
        <v>361</v>
      </c>
      <c r="L9" s="108" t="s">
        <v>1589</v>
      </c>
      <c r="M9" s="108" t="s">
        <v>159</v>
      </c>
      <c r="N9" s="112" t="s">
        <v>587</v>
      </c>
      <c r="O9" s="108"/>
      <c r="P9" s="108"/>
      <c r="Q9" s="108"/>
      <c r="R9" s="57"/>
      <c r="S9" s="57"/>
    </row>
    <row r="10" spans="1:19" s="58" customFormat="1" ht="189" x14ac:dyDescent="0.3">
      <c r="A10" s="108" t="s">
        <v>9</v>
      </c>
      <c r="B10" s="108" t="s">
        <v>98</v>
      </c>
      <c r="C10" s="108" t="s">
        <v>10</v>
      </c>
      <c r="D10" s="108">
        <v>1</v>
      </c>
      <c r="E10" s="108" t="s">
        <v>1298</v>
      </c>
      <c r="F10" s="108" t="s">
        <v>496</v>
      </c>
      <c r="G10" s="108" t="s">
        <v>960</v>
      </c>
      <c r="H10" s="108" t="s">
        <v>1373</v>
      </c>
      <c r="I10" s="108" t="s">
        <v>1544</v>
      </c>
      <c r="J10" s="108">
        <v>1</v>
      </c>
      <c r="K10" s="111" t="s">
        <v>263</v>
      </c>
      <c r="L10" s="108" t="s">
        <v>1588</v>
      </c>
      <c r="M10" s="108" t="s">
        <v>409</v>
      </c>
      <c r="N10" s="112" t="s">
        <v>587</v>
      </c>
      <c r="O10" s="108"/>
      <c r="P10" s="108"/>
      <c r="Q10" s="108"/>
      <c r="R10" s="57"/>
      <c r="S10" s="57"/>
    </row>
    <row r="11" spans="1:19" s="58" customFormat="1" ht="409.5" x14ac:dyDescent="0.3">
      <c r="A11" s="108" t="s">
        <v>9</v>
      </c>
      <c r="B11" s="108" t="s">
        <v>98</v>
      </c>
      <c r="C11" s="108" t="s">
        <v>10</v>
      </c>
      <c r="D11" s="108">
        <v>1</v>
      </c>
      <c r="E11" s="108" t="s">
        <v>1486</v>
      </c>
      <c r="F11" s="108" t="s">
        <v>496</v>
      </c>
      <c r="G11" s="131" t="s">
        <v>1608</v>
      </c>
      <c r="H11" s="108" t="s">
        <v>1289</v>
      </c>
      <c r="I11" s="131" t="s">
        <v>1440</v>
      </c>
      <c r="J11" s="108">
        <v>1</v>
      </c>
      <c r="K11" s="111" t="s">
        <v>1489</v>
      </c>
      <c r="L11" s="108" t="s">
        <v>1589</v>
      </c>
      <c r="M11" s="108" t="s">
        <v>1439</v>
      </c>
      <c r="N11" s="112" t="s">
        <v>588</v>
      </c>
      <c r="O11" s="108"/>
      <c r="P11" s="108" t="s">
        <v>461</v>
      </c>
      <c r="Q11" s="108"/>
      <c r="R11" s="57"/>
      <c r="S11" s="57"/>
    </row>
    <row r="12" spans="1:19" s="58" customFormat="1" ht="135" x14ac:dyDescent="0.3">
      <c r="A12" s="108" t="s">
        <v>9</v>
      </c>
      <c r="B12" s="108" t="s">
        <v>98</v>
      </c>
      <c r="C12" s="108" t="s">
        <v>10</v>
      </c>
      <c r="D12" s="108">
        <v>1</v>
      </c>
      <c r="E12" s="108" t="s">
        <v>1300</v>
      </c>
      <c r="F12" s="108" t="s">
        <v>1279</v>
      </c>
      <c r="G12" s="108" t="s">
        <v>1416</v>
      </c>
      <c r="H12" s="108" t="s">
        <v>1637</v>
      </c>
      <c r="I12" s="108" t="s">
        <v>1545</v>
      </c>
      <c r="J12" s="108">
        <v>1</v>
      </c>
      <c r="K12" s="111" t="s">
        <v>258</v>
      </c>
      <c r="L12" s="108" t="s">
        <v>175</v>
      </c>
      <c r="M12" s="108" t="s">
        <v>410</v>
      </c>
      <c r="N12" s="112" t="s">
        <v>590</v>
      </c>
      <c r="O12" s="108"/>
      <c r="P12" s="108"/>
      <c r="Q12" s="108"/>
      <c r="R12" s="57"/>
      <c r="S12" s="57"/>
    </row>
    <row r="13" spans="1:19" s="58" customFormat="1" ht="189" x14ac:dyDescent="0.3">
      <c r="A13" s="108" t="s">
        <v>9</v>
      </c>
      <c r="B13" s="108" t="s">
        <v>98</v>
      </c>
      <c r="C13" s="108" t="s">
        <v>10</v>
      </c>
      <c r="D13" s="108">
        <v>1</v>
      </c>
      <c r="E13" s="108" t="s">
        <v>1301</v>
      </c>
      <c r="F13" s="108" t="s">
        <v>1279</v>
      </c>
      <c r="G13" s="108" t="s">
        <v>1610</v>
      </c>
      <c r="H13" s="108" t="s">
        <v>1609</v>
      </c>
      <c r="I13" s="108" t="s">
        <v>1546</v>
      </c>
      <c r="J13" s="108">
        <v>1</v>
      </c>
      <c r="K13" s="111" t="s">
        <v>457</v>
      </c>
      <c r="L13" s="108" t="s">
        <v>175</v>
      </c>
      <c r="M13" s="108" t="s">
        <v>449</v>
      </c>
      <c r="N13" s="112" t="s">
        <v>590</v>
      </c>
      <c r="O13" s="108"/>
      <c r="P13" s="108"/>
      <c r="Q13" s="108"/>
      <c r="R13" s="57"/>
      <c r="S13" s="57"/>
    </row>
    <row r="14" spans="1:19" s="58" customFormat="1" ht="135" x14ac:dyDescent="0.3">
      <c r="A14" s="108" t="s">
        <v>9</v>
      </c>
      <c r="B14" s="108" t="s">
        <v>98</v>
      </c>
      <c r="C14" s="108" t="s">
        <v>10</v>
      </c>
      <c r="D14" s="108">
        <v>1</v>
      </c>
      <c r="E14" s="108" t="s">
        <v>1302</v>
      </c>
      <c r="F14" s="108" t="s">
        <v>1279</v>
      </c>
      <c r="G14" s="108" t="s">
        <v>841</v>
      </c>
      <c r="H14" s="108" t="s">
        <v>930</v>
      </c>
      <c r="I14" s="108" t="s">
        <v>1547</v>
      </c>
      <c r="J14" s="108">
        <v>1</v>
      </c>
      <c r="K14" s="111" t="s">
        <v>356</v>
      </c>
      <c r="L14" s="108" t="s">
        <v>175</v>
      </c>
      <c r="M14" s="108" t="s">
        <v>411</v>
      </c>
      <c r="N14" s="112" t="s">
        <v>590</v>
      </c>
      <c r="O14" s="108"/>
      <c r="P14" s="108"/>
      <c r="Q14" s="108"/>
      <c r="R14" s="57"/>
      <c r="S14" s="57"/>
    </row>
    <row r="15" spans="1:19" s="58" customFormat="1" ht="135" x14ac:dyDescent="0.3">
      <c r="A15" s="108" t="s">
        <v>9</v>
      </c>
      <c r="B15" s="108" t="s">
        <v>98</v>
      </c>
      <c r="C15" s="108" t="s">
        <v>10</v>
      </c>
      <c r="D15" s="108">
        <v>1</v>
      </c>
      <c r="E15" s="108" t="s">
        <v>1303</v>
      </c>
      <c r="F15" s="108" t="s">
        <v>1279</v>
      </c>
      <c r="G15" s="108" t="s">
        <v>1402</v>
      </c>
      <c r="H15" s="108" t="s">
        <v>931</v>
      </c>
      <c r="I15" s="108" t="s">
        <v>1548</v>
      </c>
      <c r="J15" s="108">
        <v>1</v>
      </c>
      <c r="K15" s="111" t="s">
        <v>259</v>
      </c>
      <c r="L15" s="108" t="s">
        <v>175</v>
      </c>
      <c r="M15" s="108" t="s">
        <v>412</v>
      </c>
      <c r="N15" s="112" t="s">
        <v>590</v>
      </c>
      <c r="O15" s="108"/>
      <c r="P15" s="108"/>
      <c r="Q15" s="108"/>
      <c r="R15" s="57"/>
      <c r="S15" s="57"/>
    </row>
    <row r="16" spans="1:19" s="58" customFormat="1" ht="270" x14ac:dyDescent="0.3">
      <c r="A16" s="108" t="s">
        <v>9</v>
      </c>
      <c r="B16" s="108" t="s">
        <v>98</v>
      </c>
      <c r="C16" s="108" t="s">
        <v>10</v>
      </c>
      <c r="D16" s="108">
        <v>1</v>
      </c>
      <c r="E16" s="108" t="s">
        <v>1304</v>
      </c>
      <c r="F16" s="108" t="s">
        <v>1279</v>
      </c>
      <c r="G16" s="108" t="s">
        <v>1500</v>
      </c>
      <c r="H16" s="108" t="s">
        <v>953</v>
      </c>
      <c r="I16" s="108" t="s">
        <v>498</v>
      </c>
      <c r="J16" s="108">
        <v>1</v>
      </c>
      <c r="K16" s="111" t="s">
        <v>357</v>
      </c>
      <c r="L16" s="108" t="s">
        <v>175</v>
      </c>
      <c r="M16" s="108" t="s">
        <v>413</v>
      </c>
      <c r="N16" s="112" t="s">
        <v>590</v>
      </c>
      <c r="O16" s="108"/>
      <c r="P16" s="108"/>
      <c r="Q16" s="108"/>
      <c r="R16" s="57"/>
      <c r="S16" s="57"/>
    </row>
    <row r="17" spans="1:19" s="58" customFormat="1" ht="409.5" x14ac:dyDescent="0.3">
      <c r="A17" s="108" t="s">
        <v>9</v>
      </c>
      <c r="B17" s="108" t="s">
        <v>98</v>
      </c>
      <c r="C17" s="108" t="s">
        <v>10</v>
      </c>
      <c r="D17" s="108">
        <v>1</v>
      </c>
      <c r="E17" s="108" t="s">
        <v>1305</v>
      </c>
      <c r="F17" s="108" t="s">
        <v>1279</v>
      </c>
      <c r="G17" s="108" t="s">
        <v>1501</v>
      </c>
      <c r="H17" s="108" t="s">
        <v>954</v>
      </c>
      <c r="I17" s="108" t="s">
        <v>549</v>
      </c>
      <c r="J17" s="108">
        <v>1</v>
      </c>
      <c r="K17" s="111" t="s">
        <v>358</v>
      </c>
      <c r="L17" s="108" t="s">
        <v>1588</v>
      </c>
      <c r="M17" s="108" t="s">
        <v>414</v>
      </c>
      <c r="N17" s="112" t="s">
        <v>590</v>
      </c>
      <c r="O17" s="108"/>
      <c r="P17" s="108"/>
      <c r="Q17" s="108"/>
      <c r="R17" s="57"/>
      <c r="S17" s="57"/>
    </row>
    <row r="18" spans="1:19" s="58" customFormat="1" ht="135" x14ac:dyDescent="0.3">
      <c r="A18" s="108" t="s">
        <v>9</v>
      </c>
      <c r="B18" s="108" t="s">
        <v>98</v>
      </c>
      <c r="C18" s="108" t="s">
        <v>10</v>
      </c>
      <c r="D18" s="108">
        <v>1</v>
      </c>
      <c r="E18" s="108" t="s">
        <v>1306</v>
      </c>
      <c r="F18" s="108" t="s">
        <v>1279</v>
      </c>
      <c r="G18" s="108" t="s">
        <v>1638</v>
      </c>
      <c r="H18" s="108" t="s">
        <v>926</v>
      </c>
      <c r="I18" s="108" t="s">
        <v>1549</v>
      </c>
      <c r="J18" s="108">
        <v>1</v>
      </c>
      <c r="K18" s="111" t="s">
        <v>260</v>
      </c>
      <c r="L18" s="108" t="s">
        <v>175</v>
      </c>
      <c r="M18" s="108" t="s">
        <v>415</v>
      </c>
      <c r="N18" s="112" t="s">
        <v>590</v>
      </c>
      <c r="O18" s="108"/>
      <c r="P18" s="108"/>
      <c r="Q18" s="108"/>
      <c r="R18" s="57"/>
      <c r="S18" s="57"/>
    </row>
    <row r="19" spans="1:19" s="58" customFormat="1" ht="203.25" customHeight="1" x14ac:dyDescent="0.3">
      <c r="A19" s="108" t="s">
        <v>9</v>
      </c>
      <c r="B19" s="108" t="s">
        <v>98</v>
      </c>
      <c r="C19" s="108" t="s">
        <v>10</v>
      </c>
      <c r="D19" s="108">
        <v>1</v>
      </c>
      <c r="E19" s="108" t="s">
        <v>1307</v>
      </c>
      <c r="F19" s="108" t="s">
        <v>1279</v>
      </c>
      <c r="G19" s="108" t="s">
        <v>748</v>
      </c>
      <c r="H19" s="108" t="s">
        <v>927</v>
      </c>
      <c r="I19" s="108" t="s">
        <v>1550</v>
      </c>
      <c r="J19" s="108">
        <v>1</v>
      </c>
      <c r="K19" s="111" t="s">
        <v>360</v>
      </c>
      <c r="L19" s="108" t="s">
        <v>175</v>
      </c>
      <c r="M19" s="108" t="s">
        <v>161</v>
      </c>
      <c r="N19" s="112" t="s">
        <v>590</v>
      </c>
      <c r="O19" s="108"/>
      <c r="P19" s="108"/>
      <c r="Q19" s="108"/>
      <c r="R19" s="57"/>
      <c r="S19" s="57"/>
    </row>
    <row r="20" spans="1:19" s="58" customFormat="1" ht="135" x14ac:dyDescent="0.3">
      <c r="A20" s="108" t="s">
        <v>9</v>
      </c>
      <c r="B20" s="108" t="s">
        <v>98</v>
      </c>
      <c r="C20" s="108" t="s">
        <v>10</v>
      </c>
      <c r="D20" s="108">
        <v>1</v>
      </c>
      <c r="E20" s="108" t="s">
        <v>1308</v>
      </c>
      <c r="F20" s="108" t="s">
        <v>1279</v>
      </c>
      <c r="G20" s="108" t="s">
        <v>1499</v>
      </c>
      <c r="H20" s="108" t="s">
        <v>928</v>
      </c>
      <c r="I20" s="108" t="s">
        <v>1551</v>
      </c>
      <c r="J20" s="108">
        <v>1</v>
      </c>
      <c r="K20" s="111" t="s">
        <v>261</v>
      </c>
      <c r="L20" s="108" t="s">
        <v>175</v>
      </c>
      <c r="M20" s="108" t="s">
        <v>153</v>
      </c>
      <c r="N20" s="112" t="s">
        <v>590</v>
      </c>
      <c r="O20" s="108"/>
      <c r="P20" s="108"/>
      <c r="Q20" s="108"/>
      <c r="R20" s="57"/>
      <c r="S20" s="57"/>
    </row>
    <row r="21" spans="1:19" s="58" customFormat="1" ht="147.19999999999999" customHeight="1" x14ac:dyDescent="0.3">
      <c r="A21" s="108" t="s">
        <v>9</v>
      </c>
      <c r="B21" s="108" t="s">
        <v>98</v>
      </c>
      <c r="C21" s="108" t="s">
        <v>10</v>
      </c>
      <c r="D21" s="108">
        <v>1</v>
      </c>
      <c r="E21" s="108" t="s">
        <v>1309</v>
      </c>
      <c r="F21" s="108" t="s">
        <v>1279</v>
      </c>
      <c r="G21" s="108" t="s">
        <v>1639</v>
      </c>
      <c r="H21" s="108" t="s">
        <v>928</v>
      </c>
      <c r="I21" s="108" t="s">
        <v>1551</v>
      </c>
      <c r="J21" s="108">
        <v>1</v>
      </c>
      <c r="K21" s="111" t="s">
        <v>452</v>
      </c>
      <c r="L21" s="108" t="s">
        <v>175</v>
      </c>
      <c r="M21" s="108" t="s">
        <v>467</v>
      </c>
      <c r="N21" s="112" t="s">
        <v>590</v>
      </c>
      <c r="O21" s="108"/>
      <c r="P21" s="108" t="s">
        <v>462</v>
      </c>
      <c r="Q21" s="108"/>
      <c r="R21" s="57"/>
      <c r="S21" s="57"/>
    </row>
    <row r="22" spans="1:19" s="58" customFormat="1" ht="174.2" customHeight="1" x14ac:dyDescent="0.3">
      <c r="A22" s="108" t="s">
        <v>9</v>
      </c>
      <c r="B22" s="108" t="s">
        <v>98</v>
      </c>
      <c r="C22" s="108" t="s">
        <v>10</v>
      </c>
      <c r="D22" s="108">
        <v>1</v>
      </c>
      <c r="E22" s="108" t="s">
        <v>1611</v>
      </c>
      <c r="F22" s="108" t="s">
        <v>1279</v>
      </c>
      <c r="G22" s="135" t="s">
        <v>1506</v>
      </c>
      <c r="H22" s="130" t="s">
        <v>542</v>
      </c>
      <c r="I22" s="130" t="s">
        <v>1507</v>
      </c>
      <c r="J22" s="108">
        <v>1</v>
      </c>
      <c r="K22" s="111" t="s">
        <v>453</v>
      </c>
      <c r="L22" s="108" t="s">
        <v>175</v>
      </c>
      <c r="M22" s="108" t="s">
        <v>454</v>
      </c>
      <c r="N22" s="112" t="s">
        <v>590</v>
      </c>
      <c r="O22" s="108"/>
      <c r="P22" s="108" t="s">
        <v>463</v>
      </c>
      <c r="Q22" s="108"/>
      <c r="R22" s="57"/>
      <c r="S22" s="57"/>
    </row>
    <row r="23" spans="1:19" s="58" customFormat="1" ht="360.75" customHeight="1" x14ac:dyDescent="0.3">
      <c r="A23" s="108" t="s">
        <v>9</v>
      </c>
      <c r="B23" s="108" t="s">
        <v>98</v>
      </c>
      <c r="C23" s="108" t="s">
        <v>10</v>
      </c>
      <c r="D23" s="108">
        <v>1</v>
      </c>
      <c r="E23" s="108" t="s">
        <v>1487</v>
      </c>
      <c r="F23" s="108" t="s">
        <v>1279</v>
      </c>
      <c r="G23" s="130" t="s">
        <v>1613</v>
      </c>
      <c r="H23" s="108" t="s">
        <v>1441</v>
      </c>
      <c r="I23" s="130" t="s">
        <v>1612</v>
      </c>
      <c r="J23" s="108">
        <v>1</v>
      </c>
      <c r="K23" s="111" t="s">
        <v>1488</v>
      </c>
      <c r="L23" s="108" t="s">
        <v>175</v>
      </c>
      <c r="M23" s="108" t="s">
        <v>423</v>
      </c>
      <c r="N23" s="112" t="s">
        <v>590</v>
      </c>
      <c r="O23" s="108"/>
      <c r="P23" s="108" t="s">
        <v>464</v>
      </c>
      <c r="Q23" s="108"/>
      <c r="R23" s="57"/>
      <c r="S23" s="57"/>
    </row>
    <row r="24" spans="1:19" s="58" customFormat="1" ht="243" x14ac:dyDescent="0.3">
      <c r="A24" s="108" t="s">
        <v>9</v>
      </c>
      <c r="B24" s="108" t="s">
        <v>98</v>
      </c>
      <c r="C24" s="108" t="s">
        <v>10</v>
      </c>
      <c r="D24" s="108">
        <v>1</v>
      </c>
      <c r="E24" s="108" t="s">
        <v>1312</v>
      </c>
      <c r="F24" s="108" t="s">
        <v>1272</v>
      </c>
      <c r="G24" s="108" t="s">
        <v>1508</v>
      </c>
      <c r="H24" s="108" t="s">
        <v>850</v>
      </c>
      <c r="I24" s="108" t="s">
        <v>1552</v>
      </c>
      <c r="J24" s="108">
        <v>1</v>
      </c>
      <c r="K24" s="111" t="s">
        <v>257</v>
      </c>
      <c r="L24" s="108" t="s">
        <v>175</v>
      </c>
      <c r="M24" s="108" t="s">
        <v>424</v>
      </c>
      <c r="N24" s="112" t="s">
        <v>589</v>
      </c>
      <c r="O24" s="108"/>
      <c r="P24" s="108"/>
      <c r="Q24" s="108"/>
      <c r="R24" s="57"/>
      <c r="S24" s="57"/>
    </row>
    <row r="25" spans="1:19" s="58" customFormat="1" ht="256.5" x14ac:dyDescent="0.3">
      <c r="A25" s="108" t="s">
        <v>9</v>
      </c>
      <c r="B25" s="108" t="s">
        <v>98</v>
      </c>
      <c r="C25" s="108" t="s">
        <v>10</v>
      </c>
      <c r="D25" s="108">
        <v>1</v>
      </c>
      <c r="E25" s="108" t="s">
        <v>1313</v>
      </c>
      <c r="F25" s="108" t="s">
        <v>1273</v>
      </c>
      <c r="G25" s="108" t="s">
        <v>1374</v>
      </c>
      <c r="H25" s="108" t="s">
        <v>1375</v>
      </c>
      <c r="I25" s="108" t="s">
        <v>1552</v>
      </c>
      <c r="J25" s="108">
        <v>1</v>
      </c>
      <c r="K25" s="111" t="s">
        <v>262</v>
      </c>
      <c r="L25" s="108" t="s">
        <v>175</v>
      </c>
      <c r="M25" s="108" t="s">
        <v>1376</v>
      </c>
      <c r="N25" s="112" t="s">
        <v>589</v>
      </c>
      <c r="O25" s="108"/>
      <c r="P25" s="108"/>
      <c r="Q25" s="108"/>
      <c r="R25" s="57"/>
      <c r="S25" s="57"/>
    </row>
    <row r="26" spans="1:19" customFormat="1" ht="94.5" x14ac:dyDescent="0.3">
      <c r="A26" s="108" t="s">
        <v>9</v>
      </c>
      <c r="B26" s="108" t="s">
        <v>98</v>
      </c>
      <c r="C26" s="108" t="s">
        <v>10</v>
      </c>
      <c r="D26" s="108">
        <v>1</v>
      </c>
      <c r="E26" s="108" t="s">
        <v>1314</v>
      </c>
      <c r="F26" s="119" t="s">
        <v>937</v>
      </c>
      <c r="G26" s="119" t="s">
        <v>1502</v>
      </c>
      <c r="H26" s="119" t="s">
        <v>514</v>
      </c>
      <c r="I26" s="119" t="s">
        <v>512</v>
      </c>
      <c r="J26" s="134">
        <v>1</v>
      </c>
      <c r="K26" s="119" t="s">
        <v>352</v>
      </c>
      <c r="L26" s="119" t="s">
        <v>175</v>
      </c>
      <c r="M26" s="119" t="s">
        <v>1236</v>
      </c>
      <c r="N26" s="120" t="s">
        <v>589</v>
      </c>
      <c r="O26" s="108"/>
      <c r="P26" s="108"/>
      <c r="Q26" s="108"/>
      <c r="R26" s="62"/>
    </row>
    <row r="27" spans="1:19" s="58" customFormat="1" ht="243" x14ac:dyDescent="0.3">
      <c r="A27" s="108" t="s">
        <v>9</v>
      </c>
      <c r="B27" s="108" t="s">
        <v>98</v>
      </c>
      <c r="C27" s="108" t="s">
        <v>10</v>
      </c>
      <c r="D27" s="108">
        <v>1</v>
      </c>
      <c r="E27" s="108" t="s">
        <v>1315</v>
      </c>
      <c r="F27" s="108" t="s">
        <v>1280</v>
      </c>
      <c r="G27" s="108" t="s">
        <v>1579</v>
      </c>
      <c r="H27" s="108" t="s">
        <v>932</v>
      </c>
      <c r="I27" s="108" t="s">
        <v>513</v>
      </c>
      <c r="J27" s="108">
        <v>1</v>
      </c>
      <c r="K27" s="111" t="s">
        <v>252</v>
      </c>
      <c r="L27" s="108" t="s">
        <v>1590</v>
      </c>
      <c r="M27" s="108" t="s">
        <v>425</v>
      </c>
      <c r="N27" s="112" t="s">
        <v>591</v>
      </c>
      <c r="O27" s="108"/>
      <c r="P27" s="108"/>
      <c r="Q27" s="108"/>
      <c r="R27" s="57"/>
      <c r="S27" s="57"/>
    </row>
    <row r="28" spans="1:19" s="58" customFormat="1" ht="409.5" x14ac:dyDescent="0.3">
      <c r="A28" s="108" t="s">
        <v>9</v>
      </c>
      <c r="B28" s="108" t="s">
        <v>110</v>
      </c>
      <c r="C28" s="108" t="s">
        <v>10</v>
      </c>
      <c r="D28" s="108">
        <v>1</v>
      </c>
      <c r="E28" s="108" t="s">
        <v>1316</v>
      </c>
      <c r="F28" s="108" t="s">
        <v>499</v>
      </c>
      <c r="G28" s="108" t="s">
        <v>1503</v>
      </c>
      <c r="H28" s="108" t="s">
        <v>998</v>
      </c>
      <c r="I28" s="108" t="s">
        <v>1504</v>
      </c>
      <c r="J28" s="108">
        <v>1</v>
      </c>
      <c r="K28" s="111" t="s">
        <v>458</v>
      </c>
      <c r="L28" s="108" t="s">
        <v>1588</v>
      </c>
      <c r="M28" s="108" t="s">
        <v>431</v>
      </c>
      <c r="N28" s="112" t="s">
        <v>576</v>
      </c>
      <c r="O28" s="108" t="s">
        <v>168</v>
      </c>
      <c r="P28" s="108"/>
      <c r="Q28" s="108"/>
      <c r="R28" s="57"/>
      <c r="S28" s="57"/>
    </row>
    <row r="29" spans="1:19" s="58" customFormat="1" ht="175.5" x14ac:dyDescent="0.3">
      <c r="A29" s="108" t="s">
        <v>9</v>
      </c>
      <c r="B29" s="108" t="s">
        <v>100</v>
      </c>
      <c r="C29" s="108" t="s">
        <v>176</v>
      </c>
      <c r="D29" s="108">
        <v>1</v>
      </c>
      <c r="E29" s="108" t="s">
        <v>1317</v>
      </c>
      <c r="F29" s="108" t="s">
        <v>500</v>
      </c>
      <c r="G29" s="108" t="s">
        <v>760</v>
      </c>
      <c r="H29" s="108" t="s">
        <v>982</v>
      </c>
      <c r="I29" s="108" t="s">
        <v>1553</v>
      </c>
      <c r="J29" s="108">
        <v>0</v>
      </c>
      <c r="K29" s="111"/>
      <c r="L29" s="108" t="s">
        <v>103</v>
      </c>
      <c r="M29" s="108" t="s">
        <v>126</v>
      </c>
      <c r="N29" s="112" t="s">
        <v>576</v>
      </c>
      <c r="O29" s="108"/>
      <c r="P29" s="108"/>
      <c r="Q29" s="108"/>
      <c r="R29" s="57"/>
      <c r="S29" s="57"/>
    </row>
    <row r="30" spans="1:19" s="58" customFormat="1" ht="81" x14ac:dyDescent="0.3">
      <c r="A30" s="108" t="s">
        <v>9</v>
      </c>
      <c r="B30" s="108" t="s">
        <v>100</v>
      </c>
      <c r="C30" s="108" t="s">
        <v>10</v>
      </c>
      <c r="D30" s="108">
        <v>1</v>
      </c>
      <c r="E30" s="108" t="s">
        <v>1318</v>
      </c>
      <c r="F30" s="108" t="s">
        <v>501</v>
      </c>
      <c r="G30" s="108" t="s">
        <v>983</v>
      </c>
      <c r="H30" s="108" t="s">
        <v>984</v>
      </c>
      <c r="I30" s="108" t="s">
        <v>570</v>
      </c>
      <c r="J30" s="108">
        <v>0</v>
      </c>
      <c r="K30" s="111" t="s">
        <v>345</v>
      </c>
      <c r="L30" s="108" t="s">
        <v>104</v>
      </c>
      <c r="M30" s="108" t="s">
        <v>172</v>
      </c>
      <c r="N30" s="112" t="s">
        <v>576</v>
      </c>
      <c r="O30" s="108"/>
      <c r="P30" s="108"/>
      <c r="Q30" s="108"/>
      <c r="R30" s="57"/>
      <c r="S30" s="57"/>
    </row>
    <row r="31" spans="1:19" s="59" customFormat="1" ht="337.7" customHeight="1" x14ac:dyDescent="0.3">
      <c r="A31" s="108" t="s">
        <v>9</v>
      </c>
      <c r="B31" s="108" t="s">
        <v>100</v>
      </c>
      <c r="C31" s="108" t="s">
        <v>10</v>
      </c>
      <c r="D31" s="108">
        <v>1</v>
      </c>
      <c r="E31" s="108" t="s">
        <v>1319</v>
      </c>
      <c r="F31" s="108" t="s">
        <v>502</v>
      </c>
      <c r="G31" s="108" t="s">
        <v>1505</v>
      </c>
      <c r="H31" s="108" t="s">
        <v>866</v>
      </c>
      <c r="I31" s="108" t="s">
        <v>1554</v>
      </c>
      <c r="J31" s="108">
        <v>1</v>
      </c>
      <c r="K31" s="111" t="s">
        <v>362</v>
      </c>
      <c r="L31" s="108" t="s">
        <v>175</v>
      </c>
      <c r="M31" s="108" t="s">
        <v>416</v>
      </c>
      <c r="N31" s="112" t="s">
        <v>576</v>
      </c>
      <c r="O31" s="108"/>
      <c r="P31" s="108"/>
      <c r="Q31" s="108"/>
      <c r="R31" s="57"/>
      <c r="S31" s="57"/>
    </row>
    <row r="32" spans="1:19" s="58" customFormat="1" ht="189" x14ac:dyDescent="0.3">
      <c r="A32" s="108" t="s">
        <v>9</v>
      </c>
      <c r="B32" s="108" t="s">
        <v>100</v>
      </c>
      <c r="C32" s="108" t="s">
        <v>10</v>
      </c>
      <c r="D32" s="108">
        <v>1</v>
      </c>
      <c r="E32" s="108" t="s">
        <v>1320</v>
      </c>
      <c r="F32" s="108" t="s">
        <v>503</v>
      </c>
      <c r="G32" s="108" t="s">
        <v>1640</v>
      </c>
      <c r="H32" s="108" t="s">
        <v>867</v>
      </c>
      <c r="I32" s="108" t="s">
        <v>515</v>
      </c>
      <c r="J32" s="108">
        <v>1</v>
      </c>
      <c r="K32" s="111" t="s">
        <v>291</v>
      </c>
      <c r="L32" s="108" t="s">
        <v>175</v>
      </c>
      <c r="M32" s="108" t="s">
        <v>162</v>
      </c>
      <c r="N32" s="112" t="s">
        <v>576</v>
      </c>
      <c r="O32" s="108"/>
      <c r="P32" s="108"/>
      <c r="Q32" s="108"/>
      <c r="R32" s="57"/>
      <c r="S32" s="57"/>
    </row>
    <row r="33" spans="1:21" s="58" customFormat="1" ht="166.5" customHeight="1" x14ac:dyDescent="0.3">
      <c r="A33" s="108" t="s">
        <v>9</v>
      </c>
      <c r="B33" s="108" t="s">
        <v>100</v>
      </c>
      <c r="C33" s="108" t="s">
        <v>10</v>
      </c>
      <c r="D33" s="108">
        <v>1</v>
      </c>
      <c r="E33" s="108" t="s">
        <v>1321</v>
      </c>
      <c r="F33" s="108" t="s">
        <v>504</v>
      </c>
      <c r="G33" s="108" t="s">
        <v>761</v>
      </c>
      <c r="H33" s="108" t="s">
        <v>495</v>
      </c>
      <c r="I33" s="108" t="s">
        <v>520</v>
      </c>
      <c r="J33" s="108">
        <v>0</v>
      </c>
      <c r="K33" s="111"/>
      <c r="L33" s="108" t="s">
        <v>103</v>
      </c>
      <c r="M33" s="108" t="s">
        <v>132</v>
      </c>
      <c r="N33" s="112" t="s">
        <v>576</v>
      </c>
      <c r="O33" s="108"/>
      <c r="P33" s="108"/>
      <c r="Q33" s="108"/>
      <c r="R33" s="57"/>
      <c r="S33" s="57"/>
    </row>
    <row r="34" spans="1:21" s="58" customFormat="1" ht="278.25" customHeight="1" x14ac:dyDescent="0.3">
      <c r="A34" s="108" t="s">
        <v>9</v>
      </c>
      <c r="B34" s="108" t="s">
        <v>100</v>
      </c>
      <c r="C34" s="108" t="s">
        <v>10</v>
      </c>
      <c r="D34" s="108">
        <v>1</v>
      </c>
      <c r="E34" s="108" t="s">
        <v>1322</v>
      </c>
      <c r="F34" s="108" t="s">
        <v>480</v>
      </c>
      <c r="G34" s="108" t="s">
        <v>1642</v>
      </c>
      <c r="H34" s="108" t="s">
        <v>506</v>
      </c>
      <c r="I34" s="108" t="s">
        <v>1641</v>
      </c>
      <c r="J34" s="108">
        <v>1</v>
      </c>
      <c r="K34" s="111" t="s">
        <v>255</v>
      </c>
      <c r="L34" s="108" t="s">
        <v>175</v>
      </c>
      <c r="M34" s="108" t="s">
        <v>417</v>
      </c>
      <c r="N34" s="112" t="s">
        <v>593</v>
      </c>
      <c r="O34" s="108"/>
      <c r="P34" s="108"/>
      <c r="Q34" s="108"/>
      <c r="R34" s="57"/>
      <c r="S34" s="57"/>
    </row>
    <row r="35" spans="1:21" s="58" customFormat="1" ht="276.75" customHeight="1" x14ac:dyDescent="0.3">
      <c r="A35" s="108" t="s">
        <v>9</v>
      </c>
      <c r="B35" s="108" t="s">
        <v>100</v>
      </c>
      <c r="C35" s="108" t="s">
        <v>10</v>
      </c>
      <c r="D35" s="108">
        <v>1</v>
      </c>
      <c r="E35" s="108" t="s">
        <v>1323</v>
      </c>
      <c r="F35" s="108" t="s">
        <v>940</v>
      </c>
      <c r="G35" s="108" t="s">
        <v>1643</v>
      </c>
      <c r="H35" s="108" t="s">
        <v>933</v>
      </c>
      <c r="I35" s="108" t="s">
        <v>507</v>
      </c>
      <c r="J35" s="108">
        <v>1</v>
      </c>
      <c r="K35" s="111" t="s">
        <v>253</v>
      </c>
      <c r="L35" s="108" t="s">
        <v>175</v>
      </c>
      <c r="M35" s="121" t="s">
        <v>418</v>
      </c>
      <c r="N35" s="122" t="s">
        <v>594</v>
      </c>
      <c r="O35" s="108"/>
      <c r="P35" s="108"/>
      <c r="Q35" s="108"/>
      <c r="R35" s="57"/>
      <c r="S35" s="57"/>
    </row>
    <row r="36" spans="1:21" s="58" customFormat="1" ht="189" x14ac:dyDescent="0.3">
      <c r="A36" s="108" t="s">
        <v>9</v>
      </c>
      <c r="B36" s="108" t="s">
        <v>100</v>
      </c>
      <c r="C36" s="108" t="s">
        <v>10</v>
      </c>
      <c r="D36" s="108">
        <v>1</v>
      </c>
      <c r="E36" s="108" t="s">
        <v>1333</v>
      </c>
      <c r="F36" s="108" t="s">
        <v>508</v>
      </c>
      <c r="G36" s="108" t="s">
        <v>1644</v>
      </c>
      <c r="H36" s="108" t="s">
        <v>934</v>
      </c>
      <c r="I36" s="108" t="s">
        <v>935</v>
      </c>
      <c r="J36" s="108">
        <v>1</v>
      </c>
      <c r="K36" s="111" t="s">
        <v>256</v>
      </c>
      <c r="L36" s="108" t="s">
        <v>1588</v>
      </c>
      <c r="M36" s="108" t="s">
        <v>419</v>
      </c>
      <c r="N36" s="112" t="s">
        <v>594</v>
      </c>
      <c r="O36" s="108"/>
      <c r="P36" s="108"/>
      <c r="Q36" s="108"/>
      <c r="R36" s="57"/>
      <c r="S36" s="57"/>
    </row>
    <row r="37" spans="1:21" s="58" customFormat="1" ht="163.5" customHeight="1" x14ac:dyDescent="0.3">
      <c r="A37" s="108" t="s">
        <v>9</v>
      </c>
      <c r="B37" s="108" t="s">
        <v>100</v>
      </c>
      <c r="C37" s="108" t="s">
        <v>10</v>
      </c>
      <c r="D37" s="108">
        <v>1</v>
      </c>
      <c r="E37" s="108" t="s">
        <v>1325</v>
      </c>
      <c r="F37" s="108" t="s">
        <v>509</v>
      </c>
      <c r="G37" s="108" t="s">
        <v>936</v>
      </c>
      <c r="H37" s="108" t="s">
        <v>948</v>
      </c>
      <c r="I37" s="108" t="s">
        <v>510</v>
      </c>
      <c r="J37" s="108">
        <v>1</v>
      </c>
      <c r="K37" s="111" t="s">
        <v>364</v>
      </c>
      <c r="L37" s="108" t="s">
        <v>1588</v>
      </c>
      <c r="M37" s="121" t="s">
        <v>420</v>
      </c>
      <c r="N37" s="122" t="s">
        <v>595</v>
      </c>
      <c r="O37" s="108"/>
      <c r="P37" s="108"/>
      <c r="Q37" s="108"/>
      <c r="R37" s="57"/>
      <c r="S37" s="57"/>
    </row>
    <row r="38" spans="1:21" s="58" customFormat="1" ht="220.7" customHeight="1" x14ac:dyDescent="0.3">
      <c r="A38" s="108" t="s">
        <v>9</v>
      </c>
      <c r="B38" s="108" t="s">
        <v>100</v>
      </c>
      <c r="C38" s="108" t="s">
        <v>10</v>
      </c>
      <c r="D38" s="108">
        <v>1</v>
      </c>
      <c r="E38" s="108" t="s">
        <v>1326</v>
      </c>
      <c r="F38" s="108" t="s">
        <v>1281</v>
      </c>
      <c r="G38" s="108" t="s">
        <v>1288</v>
      </c>
      <c r="H38" s="108" t="s">
        <v>1235</v>
      </c>
      <c r="I38" s="108" t="s">
        <v>1287</v>
      </c>
      <c r="J38" s="108">
        <v>1</v>
      </c>
      <c r="K38" s="111" t="s">
        <v>448</v>
      </c>
      <c r="L38" s="108" t="s">
        <v>1588</v>
      </c>
      <c r="M38" s="108" t="s">
        <v>491</v>
      </c>
      <c r="N38" s="112" t="s">
        <v>595</v>
      </c>
      <c r="O38" s="108"/>
      <c r="P38" s="108" t="s">
        <v>490</v>
      </c>
      <c r="Q38" s="108"/>
      <c r="R38" s="57"/>
      <c r="S38" s="57"/>
    </row>
    <row r="39" spans="1:21" s="58" customFormat="1" ht="208.5" customHeight="1" x14ac:dyDescent="0.3">
      <c r="A39" s="108" t="s">
        <v>9</v>
      </c>
      <c r="B39" s="108" t="s">
        <v>100</v>
      </c>
      <c r="C39" s="108" t="s">
        <v>10</v>
      </c>
      <c r="D39" s="108">
        <v>1</v>
      </c>
      <c r="E39" s="108" t="s">
        <v>1327</v>
      </c>
      <c r="F39" s="108" t="s">
        <v>740</v>
      </c>
      <c r="G39" s="108" t="s">
        <v>749</v>
      </c>
      <c r="H39" s="108" t="s">
        <v>868</v>
      </c>
      <c r="I39" s="108" t="s">
        <v>1555</v>
      </c>
      <c r="J39" s="108">
        <v>1</v>
      </c>
      <c r="K39" s="111" t="s">
        <v>355</v>
      </c>
      <c r="L39" s="108" t="s">
        <v>175</v>
      </c>
      <c r="M39" s="108" t="s">
        <v>426</v>
      </c>
      <c r="N39" s="112" t="s">
        <v>596</v>
      </c>
      <c r="O39" s="108"/>
      <c r="P39" s="108"/>
      <c r="Q39" s="108"/>
      <c r="R39" s="57"/>
      <c r="S39" s="57"/>
    </row>
    <row r="40" spans="1:21" s="58" customFormat="1" ht="192" customHeight="1" x14ac:dyDescent="0.3">
      <c r="A40" s="108" t="s">
        <v>9</v>
      </c>
      <c r="B40" s="108" t="s">
        <v>978</v>
      </c>
      <c r="C40" s="108" t="s">
        <v>176</v>
      </c>
      <c r="D40" s="108">
        <v>1</v>
      </c>
      <c r="E40" s="108" t="s">
        <v>1328</v>
      </c>
      <c r="F40" s="108" t="s">
        <v>943</v>
      </c>
      <c r="G40" s="108" t="s">
        <v>765</v>
      </c>
      <c r="H40" s="108" t="s">
        <v>495</v>
      </c>
      <c r="I40" s="108" t="s">
        <v>766</v>
      </c>
      <c r="J40" s="108">
        <v>0</v>
      </c>
      <c r="K40" s="111"/>
      <c r="L40" s="108" t="s">
        <v>103</v>
      </c>
      <c r="M40" s="108" t="s">
        <v>421</v>
      </c>
      <c r="N40" s="112" t="s">
        <v>577</v>
      </c>
      <c r="O40" s="108"/>
      <c r="P40" s="108"/>
      <c r="Q40" s="108"/>
      <c r="R40" s="57"/>
      <c r="S40" s="57"/>
    </row>
    <row r="41" spans="1:21" s="58" customFormat="1" ht="180.75" customHeight="1" x14ac:dyDescent="0.3">
      <c r="A41" s="108" t="s">
        <v>9</v>
      </c>
      <c r="B41" s="108" t="s">
        <v>979</v>
      </c>
      <c r="C41" s="108" t="s">
        <v>10</v>
      </c>
      <c r="D41" s="108">
        <v>1</v>
      </c>
      <c r="E41" s="108" t="s">
        <v>1329</v>
      </c>
      <c r="F41" s="108" t="s">
        <v>1283</v>
      </c>
      <c r="G41" s="108" t="s">
        <v>750</v>
      </c>
      <c r="H41" s="108" t="s">
        <v>897</v>
      </c>
      <c r="I41" s="108" t="s">
        <v>764</v>
      </c>
      <c r="J41" s="108">
        <v>0</v>
      </c>
      <c r="K41" s="111" t="s">
        <v>290</v>
      </c>
      <c r="L41" s="108" t="s">
        <v>104</v>
      </c>
      <c r="M41" s="108" t="s">
        <v>422</v>
      </c>
      <c r="N41" s="112" t="s">
        <v>598</v>
      </c>
      <c r="O41" s="108"/>
      <c r="P41" s="108" t="s">
        <v>465</v>
      </c>
      <c r="Q41" s="108"/>
      <c r="R41" s="57"/>
      <c r="S41" s="57"/>
    </row>
    <row r="42" spans="1:21" s="58" customFormat="1" ht="180.75" customHeight="1" x14ac:dyDescent="0.3">
      <c r="A42" s="108" t="s">
        <v>9</v>
      </c>
      <c r="B42" s="108" t="s">
        <v>979</v>
      </c>
      <c r="C42" s="108" t="s">
        <v>10</v>
      </c>
      <c r="D42" s="108">
        <v>1</v>
      </c>
      <c r="E42" s="108" t="s">
        <v>1330</v>
      </c>
      <c r="F42" s="108" t="s">
        <v>1237</v>
      </c>
      <c r="G42" s="108" t="s">
        <v>762</v>
      </c>
      <c r="H42" s="108" t="s">
        <v>952</v>
      </c>
      <c r="I42" s="108" t="s">
        <v>763</v>
      </c>
      <c r="J42" s="108">
        <v>0</v>
      </c>
      <c r="K42" s="111" t="s">
        <v>962</v>
      </c>
      <c r="L42" s="108" t="s">
        <v>961</v>
      </c>
      <c r="M42" s="108" t="s">
        <v>994</v>
      </c>
      <c r="N42" s="112" t="s">
        <v>598</v>
      </c>
      <c r="O42" s="108"/>
      <c r="P42" s="108"/>
      <c r="Q42" s="108"/>
      <c r="R42" s="57"/>
      <c r="S42" s="57"/>
    </row>
    <row r="43" spans="1:21" s="58" customFormat="1" ht="264" customHeight="1" x14ac:dyDescent="0.3">
      <c r="A43" s="108" t="s">
        <v>9</v>
      </c>
      <c r="B43" s="108" t="s">
        <v>980</v>
      </c>
      <c r="C43" s="108" t="s">
        <v>10</v>
      </c>
      <c r="D43" s="108">
        <v>1</v>
      </c>
      <c r="E43" s="108" t="s">
        <v>1493</v>
      </c>
      <c r="F43" s="108" t="s">
        <v>943</v>
      </c>
      <c r="G43" s="130" t="s">
        <v>1442</v>
      </c>
      <c r="H43" s="130" t="s">
        <v>1443</v>
      </c>
      <c r="I43" s="130" t="s">
        <v>1444</v>
      </c>
      <c r="J43" s="108">
        <v>1</v>
      </c>
      <c r="K43" s="136" t="s">
        <v>1614</v>
      </c>
      <c r="L43" s="108" t="s">
        <v>175</v>
      </c>
      <c r="M43" s="108" t="s">
        <v>455</v>
      </c>
      <c r="N43" s="112" t="s">
        <v>598</v>
      </c>
      <c r="O43" s="108"/>
      <c r="P43" s="61" t="s">
        <v>1615</v>
      </c>
      <c r="Q43" s="108"/>
      <c r="R43" s="57"/>
      <c r="S43" s="57"/>
    </row>
    <row r="44" spans="1:21" customFormat="1" ht="108.75" customHeight="1" x14ac:dyDescent="0.3">
      <c r="A44" s="108" t="s">
        <v>9</v>
      </c>
      <c r="B44" s="131" t="s">
        <v>1446</v>
      </c>
      <c r="C44" s="108" t="s">
        <v>10</v>
      </c>
      <c r="D44" s="108">
        <v>1</v>
      </c>
      <c r="E44" s="130" t="s">
        <v>1434</v>
      </c>
      <c r="F44" s="131" t="s">
        <v>23</v>
      </c>
      <c r="G44" s="131" t="s">
        <v>1135</v>
      </c>
      <c r="H44" s="131" t="s">
        <v>1195</v>
      </c>
      <c r="I44" s="131" t="s">
        <v>1136</v>
      </c>
      <c r="J44" s="131">
        <v>0</v>
      </c>
      <c r="K44" s="133"/>
      <c r="L44" s="108" t="s">
        <v>103</v>
      </c>
      <c r="M44" s="108" t="s">
        <v>132</v>
      </c>
      <c r="N44" s="112" t="s">
        <v>1449</v>
      </c>
      <c r="O44" s="108"/>
      <c r="P44" s="99"/>
      <c r="Q44" s="47"/>
      <c r="R44" s="47"/>
      <c r="S44" s="47"/>
      <c r="T44" s="47"/>
      <c r="U44" s="47"/>
    </row>
    <row r="45" spans="1:21" customFormat="1" ht="99" customHeight="1" x14ac:dyDescent="0.3">
      <c r="A45" s="108" t="s">
        <v>9</v>
      </c>
      <c r="B45" s="131" t="s">
        <v>1446</v>
      </c>
      <c r="C45" s="108" t="s">
        <v>10</v>
      </c>
      <c r="D45" s="108">
        <v>1</v>
      </c>
      <c r="E45" s="130" t="s">
        <v>1435</v>
      </c>
      <c r="F45" s="131" t="s">
        <v>24</v>
      </c>
      <c r="G45" s="131" t="s">
        <v>1138</v>
      </c>
      <c r="H45" s="131" t="s">
        <v>1188</v>
      </c>
      <c r="I45" s="131" t="s">
        <v>1556</v>
      </c>
      <c r="J45" s="131">
        <v>0</v>
      </c>
      <c r="K45" s="133"/>
      <c r="L45" s="108" t="s">
        <v>103</v>
      </c>
      <c r="M45" s="108" t="s">
        <v>132</v>
      </c>
      <c r="N45" s="112" t="s">
        <v>1450</v>
      </c>
      <c r="O45" s="108"/>
      <c r="P45" s="99"/>
      <c r="Q45" s="47"/>
      <c r="R45" s="47"/>
      <c r="S45" s="47"/>
      <c r="T45" s="47"/>
      <c r="U45" s="47"/>
    </row>
    <row r="46" spans="1:21" customFormat="1" ht="83.25" customHeight="1" x14ac:dyDescent="0.3">
      <c r="A46" s="108" t="s">
        <v>9</v>
      </c>
      <c r="B46" s="131" t="s">
        <v>1446</v>
      </c>
      <c r="C46" s="108" t="s">
        <v>10</v>
      </c>
      <c r="D46" s="108">
        <v>1</v>
      </c>
      <c r="E46" s="130" t="s">
        <v>1436</v>
      </c>
      <c r="F46" s="131" t="s">
        <v>1142</v>
      </c>
      <c r="G46" s="131" t="s">
        <v>1143</v>
      </c>
      <c r="H46" s="131" t="s">
        <v>1189</v>
      </c>
      <c r="I46" s="131" t="s">
        <v>1144</v>
      </c>
      <c r="J46" s="131">
        <v>0</v>
      </c>
      <c r="K46" s="133"/>
      <c r="L46" s="108" t="s">
        <v>103</v>
      </c>
      <c r="M46" s="108" t="s">
        <v>132</v>
      </c>
      <c r="N46" s="112" t="s">
        <v>1451</v>
      </c>
      <c r="O46" s="108"/>
      <c r="P46" s="99"/>
      <c r="Q46" s="47"/>
      <c r="R46" s="47"/>
      <c r="S46" s="47"/>
      <c r="T46" s="47"/>
      <c r="U46" s="47"/>
    </row>
    <row r="47" spans="1:21" s="58" customFormat="1" ht="122.25" customHeight="1" x14ac:dyDescent="0.3">
      <c r="A47" s="108" t="s">
        <v>9</v>
      </c>
      <c r="B47" s="108" t="s">
        <v>1154</v>
      </c>
      <c r="C47" s="108" t="s">
        <v>10</v>
      </c>
      <c r="D47" s="108">
        <v>1</v>
      </c>
      <c r="E47" s="130" t="s">
        <v>1437</v>
      </c>
      <c r="F47" s="108" t="s">
        <v>1238</v>
      </c>
      <c r="G47" s="108" t="s">
        <v>995</v>
      </c>
      <c r="H47" s="108" t="s">
        <v>963</v>
      </c>
      <c r="I47" s="108" t="s">
        <v>949</v>
      </c>
      <c r="J47" s="108">
        <v>0</v>
      </c>
      <c r="K47" s="111" t="s">
        <v>1490</v>
      </c>
      <c r="L47" s="108" t="s">
        <v>104</v>
      </c>
      <c r="M47" s="108" t="s">
        <v>994</v>
      </c>
      <c r="N47" s="112" t="s">
        <v>986</v>
      </c>
      <c r="O47" s="108"/>
      <c r="P47" s="108" t="s">
        <v>465</v>
      </c>
      <c r="Q47" s="108"/>
      <c r="R47" s="57"/>
      <c r="S47" s="57"/>
    </row>
    <row r="48" spans="1:21" s="58" customFormat="1" ht="122.25" customHeight="1" x14ac:dyDescent="0.3">
      <c r="A48" s="108" t="s">
        <v>9</v>
      </c>
      <c r="B48" s="108" t="s">
        <v>997</v>
      </c>
      <c r="C48" s="108" t="s">
        <v>10</v>
      </c>
      <c r="D48" s="108">
        <v>1</v>
      </c>
      <c r="E48" s="130" t="s">
        <v>1438</v>
      </c>
      <c r="F48" s="108" t="s">
        <v>947</v>
      </c>
      <c r="G48" s="108" t="s">
        <v>767</v>
      </c>
      <c r="H48" s="108" t="s">
        <v>495</v>
      </c>
      <c r="I48" s="108" t="s">
        <v>950</v>
      </c>
      <c r="J48" s="108">
        <v>0</v>
      </c>
      <c r="K48" s="111"/>
      <c r="L48" s="108" t="s">
        <v>103</v>
      </c>
      <c r="M48" s="108" t="s">
        <v>132</v>
      </c>
      <c r="N48" s="112" t="s">
        <v>986</v>
      </c>
      <c r="O48" s="108"/>
      <c r="P48" s="108" t="s">
        <v>465</v>
      </c>
      <c r="Q48" s="108"/>
      <c r="R48" s="57"/>
      <c r="S48" s="57"/>
    </row>
    <row r="49" spans="1:26" x14ac:dyDescent="0.3">
      <c r="A49" s="50"/>
      <c r="B49" s="50"/>
      <c r="C49" s="50"/>
      <c r="E49" s="50"/>
      <c r="F49" s="50"/>
      <c r="G49" s="50"/>
      <c r="H49" s="50"/>
      <c r="I49" s="50"/>
      <c r="J49" s="50"/>
      <c r="K49" s="50"/>
      <c r="L49" s="50"/>
      <c r="M49" s="50"/>
      <c r="N49" s="90"/>
      <c r="O49" s="50"/>
      <c r="P49" s="50"/>
      <c r="Q49" s="50"/>
      <c r="R49" s="50"/>
      <c r="S49" s="50"/>
      <c r="T49" s="50"/>
      <c r="U49" s="50"/>
      <c r="V49" s="50"/>
      <c r="W49" s="50"/>
      <c r="X49" s="50"/>
      <c r="Y49" s="50"/>
      <c r="Z49" s="50"/>
    </row>
    <row r="50" spans="1:26" x14ac:dyDescent="0.3">
      <c r="A50" s="50"/>
      <c r="B50" s="50"/>
      <c r="C50" s="50"/>
      <c r="E50" s="50"/>
      <c r="F50" s="50"/>
      <c r="G50" s="50"/>
      <c r="H50" s="50"/>
      <c r="I50" s="50"/>
      <c r="J50" s="50"/>
      <c r="K50" s="50"/>
      <c r="L50" s="50"/>
      <c r="M50" s="50"/>
      <c r="N50" s="90"/>
      <c r="O50" s="50"/>
      <c r="P50" s="50"/>
      <c r="Q50" s="50"/>
      <c r="R50" s="50"/>
      <c r="S50" s="50"/>
      <c r="T50" s="50"/>
      <c r="U50" s="50"/>
      <c r="V50" s="50"/>
      <c r="W50" s="50"/>
      <c r="X50" s="50"/>
      <c r="Y50" s="50"/>
      <c r="Z50" s="50"/>
    </row>
    <row r="51" spans="1:26" x14ac:dyDescent="0.3">
      <c r="A51" s="50"/>
      <c r="B51" s="50"/>
      <c r="C51" s="50"/>
      <c r="E51" s="50"/>
      <c r="F51" s="50"/>
      <c r="G51" s="50"/>
      <c r="H51" s="50"/>
      <c r="I51" s="50"/>
      <c r="J51" s="50"/>
      <c r="K51" s="50"/>
      <c r="L51" s="50"/>
      <c r="M51" s="50"/>
      <c r="N51" s="90"/>
      <c r="O51" s="50"/>
      <c r="P51" s="50"/>
      <c r="Q51" s="50"/>
      <c r="R51" s="50"/>
      <c r="S51" s="50"/>
      <c r="T51" s="50"/>
      <c r="U51" s="50"/>
      <c r="V51" s="50"/>
      <c r="W51" s="50"/>
      <c r="X51" s="50"/>
      <c r="Y51" s="50"/>
      <c r="Z51" s="50"/>
    </row>
    <row r="52" spans="1:26" x14ac:dyDescent="0.3">
      <c r="A52" s="50"/>
      <c r="B52" s="50"/>
      <c r="C52" s="50"/>
      <c r="E52" s="50"/>
      <c r="F52" s="50"/>
      <c r="G52" s="50"/>
      <c r="H52" s="50"/>
      <c r="I52" s="50"/>
      <c r="J52" s="50"/>
      <c r="K52" s="50"/>
      <c r="L52" s="50"/>
      <c r="M52" s="50"/>
      <c r="N52" s="90"/>
      <c r="O52" s="50"/>
      <c r="P52" s="50"/>
      <c r="Q52" s="50"/>
      <c r="R52" s="50"/>
      <c r="S52" s="50"/>
      <c r="T52" s="50"/>
      <c r="U52" s="50"/>
      <c r="V52" s="50"/>
      <c r="W52" s="50"/>
      <c r="X52" s="50"/>
      <c r="Y52" s="50"/>
      <c r="Z52" s="50"/>
    </row>
    <row r="53" spans="1:26" x14ac:dyDescent="0.3">
      <c r="A53" s="50"/>
      <c r="B53" s="50"/>
      <c r="C53" s="50"/>
      <c r="E53" s="50"/>
      <c r="F53" s="50"/>
      <c r="G53" s="50"/>
      <c r="H53" s="50"/>
      <c r="I53" s="50"/>
      <c r="J53" s="50"/>
      <c r="K53" s="50"/>
      <c r="L53" s="50"/>
      <c r="M53" s="50"/>
      <c r="N53" s="90"/>
      <c r="O53" s="50"/>
      <c r="P53" s="50"/>
      <c r="Q53" s="50"/>
      <c r="R53" s="50"/>
      <c r="S53" s="50"/>
      <c r="T53" s="50"/>
      <c r="U53" s="50"/>
      <c r="V53" s="50"/>
      <c r="W53" s="50"/>
      <c r="X53" s="50"/>
      <c r="Y53" s="50"/>
      <c r="Z53" s="50"/>
    </row>
    <row r="54" spans="1:26" x14ac:dyDescent="0.3">
      <c r="A54" s="50"/>
      <c r="B54" s="50"/>
      <c r="C54" s="50"/>
      <c r="E54" s="50"/>
      <c r="F54" s="50"/>
      <c r="G54" s="50"/>
      <c r="H54" s="50"/>
      <c r="I54" s="50"/>
      <c r="J54" s="50"/>
      <c r="K54" s="50"/>
      <c r="L54" s="50"/>
      <c r="M54" s="50"/>
      <c r="N54" s="90"/>
      <c r="O54" s="50"/>
      <c r="P54" s="50"/>
      <c r="Q54" s="50"/>
      <c r="R54" s="50"/>
      <c r="S54" s="50"/>
      <c r="T54" s="50"/>
      <c r="U54" s="50"/>
      <c r="V54" s="50"/>
      <c r="W54" s="50"/>
      <c r="X54" s="50"/>
      <c r="Y54" s="50"/>
      <c r="Z54" s="50"/>
    </row>
    <row r="55" spans="1:26" x14ac:dyDescent="0.3">
      <c r="A55" s="50"/>
      <c r="B55" s="50"/>
      <c r="C55" s="50"/>
      <c r="E55" s="50"/>
      <c r="F55" s="50"/>
      <c r="G55" s="50"/>
      <c r="H55" s="50"/>
      <c r="I55" s="50"/>
      <c r="J55" s="50"/>
      <c r="K55" s="50"/>
      <c r="L55" s="50"/>
      <c r="M55" s="50"/>
      <c r="N55" s="90"/>
      <c r="O55" s="50"/>
      <c r="P55" s="50"/>
      <c r="Q55" s="50"/>
      <c r="R55" s="50"/>
      <c r="S55" s="50"/>
      <c r="T55" s="50"/>
      <c r="U55" s="50"/>
      <c r="V55" s="50"/>
      <c r="W55" s="50"/>
      <c r="X55" s="50"/>
      <c r="Y55" s="50"/>
      <c r="Z55" s="50"/>
    </row>
    <row r="56" spans="1:26" x14ac:dyDescent="0.3">
      <c r="A56" s="50"/>
      <c r="B56" s="50"/>
      <c r="C56" s="50"/>
      <c r="E56" s="50"/>
      <c r="F56" s="50"/>
      <c r="G56" s="50"/>
      <c r="H56" s="50"/>
      <c r="I56" s="50"/>
      <c r="J56" s="50"/>
      <c r="K56" s="50"/>
      <c r="L56" s="50"/>
      <c r="M56" s="50"/>
      <c r="N56" s="90"/>
      <c r="O56" s="50"/>
      <c r="P56" s="50"/>
      <c r="Q56" s="50"/>
      <c r="R56" s="50"/>
      <c r="S56" s="50"/>
      <c r="T56" s="50"/>
      <c r="U56" s="50"/>
      <c r="V56" s="50"/>
      <c r="W56" s="50"/>
      <c r="X56" s="50"/>
      <c r="Y56" s="50"/>
      <c r="Z56" s="50"/>
    </row>
    <row r="57" spans="1:26" x14ac:dyDescent="0.3">
      <c r="A57" s="50"/>
      <c r="B57" s="50"/>
      <c r="C57" s="50"/>
      <c r="E57" s="50"/>
      <c r="F57" s="50"/>
      <c r="G57" s="50"/>
      <c r="H57" s="50"/>
      <c r="I57" s="50"/>
      <c r="J57" s="50"/>
      <c r="K57" s="50"/>
      <c r="L57" s="50"/>
      <c r="M57" s="50"/>
      <c r="N57" s="90"/>
      <c r="O57" s="50"/>
      <c r="P57" s="50"/>
      <c r="Q57" s="50"/>
      <c r="R57" s="50"/>
      <c r="S57" s="50"/>
      <c r="T57" s="50"/>
      <c r="U57" s="50"/>
      <c r="V57" s="50"/>
      <c r="W57" s="50"/>
      <c r="X57" s="50"/>
      <c r="Y57" s="50"/>
      <c r="Z57" s="50"/>
    </row>
    <row r="58" spans="1:26" x14ac:dyDescent="0.3">
      <c r="A58" s="50"/>
      <c r="B58" s="50"/>
      <c r="C58" s="50"/>
      <c r="E58" s="50"/>
      <c r="F58" s="50"/>
      <c r="G58" s="50"/>
      <c r="H58" s="50"/>
      <c r="I58" s="50"/>
      <c r="J58" s="50"/>
      <c r="K58" s="50"/>
      <c r="L58" s="50"/>
      <c r="M58" s="50"/>
      <c r="N58" s="90"/>
      <c r="O58" s="50"/>
      <c r="P58" s="50"/>
      <c r="Q58" s="50"/>
      <c r="R58" s="50"/>
      <c r="S58" s="50"/>
      <c r="T58" s="50"/>
      <c r="U58" s="50"/>
      <c r="V58" s="50"/>
      <c r="W58" s="50"/>
      <c r="X58" s="50"/>
      <c r="Y58" s="50"/>
      <c r="Z58" s="50"/>
    </row>
    <row r="59" spans="1:26" x14ac:dyDescent="0.3">
      <c r="A59" s="50"/>
      <c r="B59" s="50"/>
      <c r="C59" s="50"/>
      <c r="E59" s="50"/>
      <c r="F59" s="50"/>
      <c r="G59" s="50"/>
      <c r="H59" s="50"/>
      <c r="I59" s="50"/>
      <c r="J59" s="50"/>
      <c r="K59" s="50"/>
      <c r="L59" s="50"/>
      <c r="M59" s="50"/>
      <c r="N59" s="90"/>
      <c r="O59" s="50"/>
      <c r="P59" s="50"/>
      <c r="Q59" s="50"/>
      <c r="R59" s="50"/>
      <c r="S59" s="50"/>
      <c r="T59" s="50"/>
      <c r="U59" s="50"/>
      <c r="V59" s="50"/>
      <c r="W59" s="50"/>
      <c r="X59" s="50"/>
      <c r="Y59" s="50"/>
      <c r="Z59" s="50"/>
    </row>
    <row r="60" spans="1:26" x14ac:dyDescent="0.3">
      <c r="A60" s="50"/>
      <c r="B60" s="50"/>
      <c r="C60" s="50"/>
      <c r="E60" s="50"/>
      <c r="F60" s="50"/>
      <c r="G60" s="50"/>
      <c r="H60" s="50"/>
      <c r="I60" s="50"/>
      <c r="J60" s="50"/>
      <c r="K60" s="50"/>
      <c r="L60" s="50"/>
      <c r="M60" s="50"/>
      <c r="N60" s="90"/>
      <c r="O60" s="50"/>
      <c r="P60" s="50"/>
      <c r="Q60" s="50"/>
      <c r="R60" s="50"/>
      <c r="S60" s="50"/>
      <c r="T60" s="50"/>
      <c r="U60" s="50"/>
      <c r="V60" s="50"/>
      <c r="W60" s="50"/>
      <c r="X60" s="50"/>
      <c r="Y60" s="50"/>
      <c r="Z60" s="50"/>
    </row>
    <row r="61" spans="1:26" x14ac:dyDescent="0.3">
      <c r="A61" s="50"/>
      <c r="B61" s="50"/>
      <c r="C61" s="50"/>
      <c r="E61" s="50"/>
      <c r="F61" s="50"/>
      <c r="G61" s="50"/>
      <c r="H61" s="50"/>
      <c r="I61" s="50"/>
      <c r="J61" s="50"/>
      <c r="K61" s="50"/>
      <c r="L61" s="50"/>
      <c r="M61" s="50"/>
      <c r="N61" s="90"/>
      <c r="O61" s="50"/>
      <c r="P61" s="50"/>
      <c r="Q61" s="50"/>
      <c r="R61" s="50"/>
      <c r="S61" s="50"/>
      <c r="T61" s="50"/>
      <c r="U61" s="50"/>
      <c r="V61" s="50"/>
      <c r="W61" s="50"/>
      <c r="X61" s="50"/>
      <c r="Y61" s="50"/>
      <c r="Z61" s="50"/>
    </row>
    <row r="62" spans="1:26" x14ac:dyDescent="0.3">
      <c r="A62" s="50"/>
      <c r="B62" s="50"/>
      <c r="C62" s="50"/>
      <c r="E62" s="50"/>
      <c r="F62" s="50"/>
      <c r="G62" s="50"/>
      <c r="H62" s="50"/>
      <c r="I62" s="50"/>
      <c r="J62" s="50"/>
      <c r="K62" s="50"/>
      <c r="L62" s="50"/>
      <c r="M62" s="50"/>
      <c r="N62" s="90"/>
      <c r="O62" s="50"/>
      <c r="P62" s="50"/>
      <c r="Q62" s="50"/>
      <c r="R62" s="50"/>
      <c r="S62" s="50"/>
      <c r="T62" s="50"/>
      <c r="U62" s="50"/>
      <c r="V62" s="50"/>
      <c r="W62" s="50"/>
      <c r="X62" s="50"/>
      <c r="Y62" s="50"/>
      <c r="Z62" s="50"/>
    </row>
    <row r="63" spans="1:26" x14ac:dyDescent="0.3">
      <c r="A63" s="50"/>
      <c r="B63" s="50"/>
      <c r="C63" s="50"/>
      <c r="E63" s="50"/>
      <c r="F63" s="50"/>
      <c r="G63" s="50"/>
      <c r="H63" s="50"/>
      <c r="I63" s="50"/>
      <c r="J63" s="50"/>
      <c r="K63" s="50"/>
      <c r="L63" s="50"/>
      <c r="M63" s="50"/>
      <c r="N63" s="90"/>
      <c r="O63" s="50"/>
      <c r="P63" s="50"/>
      <c r="Q63" s="50"/>
      <c r="R63" s="50"/>
      <c r="S63" s="50"/>
      <c r="T63" s="50"/>
      <c r="U63" s="50"/>
      <c r="V63" s="50"/>
      <c r="W63" s="50"/>
      <c r="X63" s="50"/>
      <c r="Y63" s="50"/>
      <c r="Z63" s="50"/>
    </row>
    <row r="64" spans="1:26" x14ac:dyDescent="0.3">
      <c r="A64" s="50"/>
      <c r="B64" s="50"/>
      <c r="C64" s="50"/>
      <c r="E64" s="50"/>
      <c r="F64" s="50"/>
      <c r="G64" s="50"/>
      <c r="H64" s="50"/>
      <c r="I64" s="50"/>
      <c r="J64" s="50"/>
      <c r="K64" s="50"/>
      <c r="L64" s="50"/>
      <c r="M64" s="50"/>
      <c r="N64" s="90"/>
      <c r="O64" s="50"/>
      <c r="P64" s="50"/>
      <c r="Q64" s="50"/>
      <c r="R64" s="50"/>
      <c r="S64" s="50"/>
      <c r="T64" s="50"/>
      <c r="U64" s="50"/>
      <c r="V64" s="50"/>
      <c r="W64" s="50"/>
      <c r="X64" s="50"/>
      <c r="Y64" s="50"/>
      <c r="Z64" s="50"/>
    </row>
    <row r="65" spans="1:26" x14ac:dyDescent="0.3">
      <c r="A65" s="50"/>
      <c r="B65" s="50"/>
      <c r="C65" s="50"/>
      <c r="E65" s="50"/>
      <c r="F65" s="50"/>
      <c r="G65" s="50"/>
      <c r="H65" s="50"/>
      <c r="I65" s="50"/>
      <c r="J65" s="50"/>
      <c r="K65" s="50"/>
      <c r="L65" s="50"/>
      <c r="M65" s="50"/>
      <c r="N65" s="90"/>
      <c r="O65" s="50"/>
      <c r="P65" s="50"/>
      <c r="Q65" s="50"/>
      <c r="R65" s="50"/>
      <c r="S65" s="50"/>
      <c r="T65" s="50"/>
      <c r="U65" s="50"/>
      <c r="V65" s="50"/>
      <c r="W65" s="50"/>
      <c r="X65" s="50"/>
      <c r="Y65" s="50"/>
      <c r="Z65" s="50"/>
    </row>
    <row r="66" spans="1:26" x14ac:dyDescent="0.3">
      <c r="A66" s="50"/>
      <c r="B66" s="50"/>
      <c r="C66" s="50"/>
      <c r="E66" s="50"/>
      <c r="F66" s="50"/>
      <c r="G66" s="50"/>
      <c r="H66" s="50"/>
      <c r="I66" s="50"/>
      <c r="J66" s="50"/>
      <c r="K66" s="50"/>
      <c r="L66" s="50"/>
      <c r="M66" s="50"/>
      <c r="N66" s="90"/>
      <c r="O66" s="50"/>
      <c r="P66" s="50"/>
      <c r="Q66" s="50"/>
      <c r="R66" s="50"/>
      <c r="S66" s="50"/>
      <c r="T66" s="50"/>
      <c r="U66" s="50"/>
      <c r="V66" s="50"/>
      <c r="W66" s="50"/>
      <c r="X66" s="50"/>
      <c r="Y66" s="50"/>
      <c r="Z66" s="50"/>
    </row>
    <row r="67" spans="1:26" x14ac:dyDescent="0.3">
      <c r="A67" s="50"/>
      <c r="B67" s="50"/>
      <c r="C67" s="50"/>
      <c r="E67" s="50"/>
      <c r="F67" s="50"/>
      <c r="G67" s="50"/>
      <c r="H67" s="50"/>
      <c r="I67" s="50"/>
      <c r="J67" s="50"/>
      <c r="K67" s="50"/>
      <c r="L67" s="50"/>
      <c r="M67" s="50"/>
      <c r="N67" s="90"/>
      <c r="O67" s="50"/>
      <c r="P67" s="50"/>
      <c r="Q67" s="50"/>
      <c r="R67" s="50"/>
      <c r="S67" s="50"/>
      <c r="T67" s="50"/>
      <c r="U67" s="50"/>
      <c r="V67" s="50"/>
      <c r="W67" s="50"/>
      <c r="X67" s="50"/>
      <c r="Y67" s="50"/>
      <c r="Z67" s="50"/>
    </row>
    <row r="68" spans="1:26" x14ac:dyDescent="0.3">
      <c r="A68" s="50"/>
      <c r="B68" s="50"/>
      <c r="C68" s="50"/>
      <c r="E68" s="50"/>
      <c r="F68" s="50"/>
      <c r="G68" s="50"/>
      <c r="H68" s="50"/>
      <c r="I68" s="50"/>
      <c r="J68" s="50"/>
      <c r="K68" s="50"/>
      <c r="L68" s="50"/>
      <c r="M68" s="50"/>
      <c r="N68" s="90"/>
      <c r="O68" s="50"/>
      <c r="P68" s="50"/>
      <c r="Q68" s="50"/>
      <c r="R68" s="50"/>
      <c r="S68" s="50"/>
      <c r="T68" s="50"/>
      <c r="U68" s="50"/>
      <c r="V68" s="50"/>
      <c r="W68" s="50"/>
      <c r="X68" s="50"/>
      <c r="Y68" s="50"/>
      <c r="Z68" s="50"/>
    </row>
    <row r="69" spans="1:26" x14ac:dyDescent="0.3">
      <c r="A69" s="50"/>
      <c r="B69" s="50"/>
      <c r="C69" s="50"/>
      <c r="E69" s="50"/>
      <c r="F69" s="50"/>
      <c r="G69" s="50"/>
      <c r="H69" s="50"/>
      <c r="I69" s="50"/>
      <c r="J69" s="50"/>
      <c r="K69" s="50"/>
      <c r="L69" s="50"/>
      <c r="M69" s="50"/>
      <c r="N69" s="90"/>
      <c r="O69" s="50"/>
      <c r="P69" s="50"/>
      <c r="Q69" s="50"/>
      <c r="R69" s="50"/>
      <c r="S69" s="50"/>
      <c r="T69" s="50"/>
      <c r="U69" s="50"/>
      <c r="V69" s="50"/>
      <c r="W69" s="50"/>
      <c r="X69" s="50"/>
      <c r="Y69" s="50"/>
      <c r="Z69" s="50"/>
    </row>
    <row r="70" spans="1:26" x14ac:dyDescent="0.3">
      <c r="A70" s="50"/>
      <c r="B70" s="50"/>
      <c r="C70" s="50"/>
      <c r="E70" s="50"/>
      <c r="F70" s="50"/>
      <c r="G70" s="50"/>
      <c r="H70" s="50"/>
      <c r="I70" s="50"/>
      <c r="J70" s="50"/>
      <c r="K70" s="50"/>
      <c r="L70" s="50"/>
      <c r="M70" s="50"/>
      <c r="N70" s="90"/>
      <c r="O70" s="50"/>
      <c r="P70" s="50"/>
      <c r="Q70" s="50"/>
      <c r="R70" s="50"/>
      <c r="S70" s="50"/>
      <c r="T70" s="50"/>
      <c r="U70" s="50"/>
      <c r="V70" s="50"/>
      <c r="W70" s="50"/>
      <c r="X70" s="50"/>
      <c r="Y70" s="50"/>
      <c r="Z70" s="50"/>
    </row>
    <row r="71" spans="1:26" x14ac:dyDescent="0.3">
      <c r="A71" s="50"/>
      <c r="B71" s="50"/>
      <c r="C71" s="50"/>
      <c r="E71" s="50"/>
      <c r="F71" s="50"/>
      <c r="G71" s="50"/>
      <c r="H71" s="50"/>
      <c r="I71" s="50"/>
      <c r="J71" s="50"/>
      <c r="K71" s="50"/>
      <c r="L71" s="50"/>
      <c r="M71" s="50"/>
      <c r="N71" s="90"/>
      <c r="O71" s="50"/>
      <c r="P71" s="50"/>
      <c r="Q71" s="50"/>
      <c r="R71" s="50"/>
      <c r="S71" s="50"/>
      <c r="T71" s="50"/>
      <c r="U71" s="50"/>
      <c r="V71" s="50"/>
      <c r="W71" s="50"/>
      <c r="X71" s="50"/>
      <c r="Y71" s="50"/>
      <c r="Z71" s="50"/>
    </row>
    <row r="72" spans="1:26" x14ac:dyDescent="0.3">
      <c r="A72" s="50"/>
      <c r="B72" s="50"/>
      <c r="C72" s="50"/>
      <c r="E72" s="50"/>
      <c r="F72" s="50"/>
      <c r="G72" s="50"/>
      <c r="H72" s="50"/>
      <c r="I72" s="50"/>
      <c r="J72" s="50"/>
      <c r="K72" s="50"/>
      <c r="L72" s="50"/>
      <c r="M72" s="50"/>
      <c r="N72" s="90"/>
      <c r="O72" s="50"/>
      <c r="P72" s="50"/>
      <c r="Q72" s="50"/>
      <c r="R72" s="50"/>
      <c r="S72" s="50"/>
      <c r="T72" s="50"/>
      <c r="U72" s="50"/>
      <c r="V72" s="50"/>
      <c r="W72" s="50"/>
      <c r="X72" s="50"/>
      <c r="Y72" s="50"/>
      <c r="Z72" s="50"/>
    </row>
    <row r="73" spans="1:26" x14ac:dyDescent="0.3">
      <c r="A73" s="50"/>
      <c r="B73" s="50"/>
      <c r="C73" s="50"/>
      <c r="E73" s="50"/>
      <c r="F73" s="50"/>
      <c r="G73" s="50"/>
      <c r="H73" s="50"/>
      <c r="I73" s="50"/>
      <c r="J73" s="50"/>
      <c r="K73" s="50"/>
      <c r="L73" s="50"/>
      <c r="M73" s="50"/>
      <c r="N73" s="90"/>
      <c r="O73" s="50"/>
      <c r="P73" s="50"/>
      <c r="Q73" s="50"/>
      <c r="R73" s="50"/>
      <c r="S73" s="50"/>
      <c r="T73" s="50"/>
      <c r="U73" s="50"/>
      <c r="V73" s="50"/>
      <c r="W73" s="50"/>
      <c r="X73" s="50"/>
      <c r="Y73" s="50"/>
      <c r="Z73" s="50"/>
    </row>
    <row r="74" spans="1:26" x14ac:dyDescent="0.3">
      <c r="A74" s="50"/>
      <c r="B74" s="50"/>
      <c r="C74" s="50"/>
      <c r="E74" s="50"/>
      <c r="F74" s="50"/>
      <c r="G74" s="50"/>
      <c r="H74" s="50"/>
      <c r="I74" s="50"/>
      <c r="J74" s="50"/>
      <c r="K74" s="50"/>
      <c r="L74" s="50"/>
      <c r="M74" s="50"/>
      <c r="N74" s="90"/>
      <c r="O74" s="50"/>
      <c r="P74" s="50"/>
      <c r="Q74" s="50"/>
      <c r="R74" s="50"/>
      <c r="S74" s="50"/>
      <c r="T74" s="50"/>
      <c r="U74" s="50"/>
      <c r="V74" s="50"/>
      <c r="W74" s="50"/>
      <c r="X74" s="50"/>
      <c r="Y74" s="50"/>
      <c r="Z74" s="50"/>
    </row>
    <row r="75" spans="1:26" x14ac:dyDescent="0.3">
      <c r="A75" s="50"/>
      <c r="B75" s="50"/>
      <c r="C75" s="50"/>
      <c r="E75" s="50"/>
      <c r="F75" s="50"/>
      <c r="G75" s="50"/>
      <c r="H75" s="50"/>
      <c r="I75" s="50"/>
      <c r="J75" s="50"/>
      <c r="K75" s="50"/>
      <c r="L75" s="50"/>
      <c r="M75" s="50"/>
      <c r="N75" s="90"/>
      <c r="O75" s="50"/>
      <c r="P75" s="50"/>
      <c r="Q75" s="50"/>
      <c r="R75" s="50"/>
      <c r="S75" s="50"/>
      <c r="T75" s="50"/>
      <c r="U75" s="50"/>
      <c r="V75" s="50"/>
      <c r="W75" s="50"/>
      <c r="X75" s="50"/>
      <c r="Y75" s="50"/>
      <c r="Z75" s="50"/>
    </row>
    <row r="76" spans="1:26" x14ac:dyDescent="0.3">
      <c r="A76" s="50"/>
      <c r="B76" s="50"/>
      <c r="C76" s="50"/>
      <c r="E76" s="50"/>
      <c r="F76" s="50"/>
      <c r="G76" s="50"/>
      <c r="H76" s="50"/>
      <c r="I76" s="50"/>
      <c r="J76" s="50"/>
      <c r="K76" s="50"/>
      <c r="L76" s="50"/>
      <c r="M76" s="50"/>
      <c r="N76" s="90"/>
      <c r="O76" s="50"/>
      <c r="P76" s="50"/>
      <c r="Q76" s="50"/>
      <c r="R76" s="50"/>
      <c r="S76" s="50"/>
      <c r="T76" s="50"/>
      <c r="U76" s="50"/>
      <c r="V76" s="50"/>
      <c r="W76" s="50"/>
      <c r="X76" s="50"/>
      <c r="Y76" s="50"/>
      <c r="Z76" s="50"/>
    </row>
    <row r="77" spans="1:26" x14ac:dyDescent="0.3">
      <c r="A77" s="50"/>
      <c r="B77" s="50"/>
      <c r="C77" s="50"/>
      <c r="E77" s="50"/>
      <c r="F77" s="50"/>
      <c r="G77" s="50"/>
      <c r="H77" s="50"/>
      <c r="I77" s="50"/>
      <c r="J77" s="50"/>
      <c r="K77" s="50"/>
      <c r="L77" s="50"/>
      <c r="M77" s="50"/>
      <c r="N77" s="90"/>
      <c r="O77" s="50"/>
      <c r="P77" s="50"/>
      <c r="Q77" s="50"/>
      <c r="R77" s="50"/>
      <c r="S77" s="50"/>
      <c r="T77" s="50"/>
      <c r="U77" s="50"/>
      <c r="V77" s="50"/>
      <c r="W77" s="50"/>
      <c r="X77" s="50"/>
      <c r="Y77" s="50"/>
      <c r="Z77" s="50"/>
    </row>
    <row r="78" spans="1:26" x14ac:dyDescent="0.3">
      <c r="A78" s="50"/>
      <c r="B78" s="50"/>
      <c r="C78" s="50"/>
      <c r="E78" s="50"/>
      <c r="F78" s="50"/>
      <c r="G78" s="50"/>
      <c r="H78" s="50"/>
      <c r="I78" s="50"/>
      <c r="J78" s="50"/>
      <c r="K78" s="50"/>
      <c r="L78" s="50"/>
      <c r="M78" s="50"/>
      <c r="N78" s="90"/>
      <c r="O78" s="50"/>
      <c r="P78" s="50"/>
      <c r="Q78" s="50"/>
      <c r="R78" s="50"/>
      <c r="S78" s="50"/>
      <c r="T78" s="50"/>
      <c r="U78" s="50"/>
      <c r="V78" s="50"/>
      <c r="W78" s="50"/>
      <c r="X78" s="50"/>
      <c r="Y78" s="50"/>
      <c r="Z78" s="50"/>
    </row>
    <row r="79" spans="1:26" x14ac:dyDescent="0.3">
      <c r="A79" s="50"/>
      <c r="B79" s="50"/>
      <c r="C79" s="50"/>
      <c r="E79" s="50"/>
      <c r="F79" s="50"/>
      <c r="G79" s="50"/>
      <c r="H79" s="50"/>
      <c r="I79" s="50"/>
      <c r="J79" s="50"/>
      <c r="K79" s="50"/>
      <c r="L79" s="50"/>
      <c r="M79" s="50"/>
      <c r="N79" s="90"/>
      <c r="O79" s="50"/>
      <c r="P79" s="50"/>
      <c r="Q79" s="50"/>
      <c r="R79" s="50"/>
      <c r="S79" s="50"/>
      <c r="T79" s="50"/>
      <c r="U79" s="50"/>
      <c r="V79" s="50"/>
      <c r="W79" s="50"/>
      <c r="X79" s="50"/>
      <c r="Y79" s="50"/>
      <c r="Z79" s="50"/>
    </row>
    <row r="80" spans="1:26" x14ac:dyDescent="0.3">
      <c r="A80" s="50"/>
      <c r="B80" s="50"/>
      <c r="C80" s="50"/>
      <c r="E80" s="50"/>
      <c r="F80" s="50"/>
      <c r="G80" s="50"/>
      <c r="H80" s="50"/>
      <c r="I80" s="50"/>
      <c r="J80" s="50"/>
      <c r="K80" s="50"/>
      <c r="L80" s="50"/>
      <c r="M80" s="50"/>
      <c r="N80" s="90"/>
      <c r="O80" s="50"/>
      <c r="P80" s="50"/>
      <c r="Q80" s="50"/>
      <c r="R80" s="50"/>
      <c r="S80" s="50"/>
      <c r="T80" s="50"/>
      <c r="U80" s="50"/>
      <c r="V80" s="50"/>
      <c r="W80" s="50"/>
      <c r="X80" s="50"/>
      <c r="Y80" s="50"/>
      <c r="Z80" s="50"/>
    </row>
    <row r="81" spans="1:26" x14ac:dyDescent="0.3">
      <c r="A81" s="50"/>
      <c r="B81" s="50"/>
      <c r="C81" s="50"/>
      <c r="E81" s="50"/>
      <c r="F81" s="50"/>
      <c r="G81" s="50"/>
      <c r="H81" s="50"/>
      <c r="I81" s="50"/>
      <c r="J81" s="50"/>
      <c r="K81" s="50"/>
      <c r="L81" s="50"/>
      <c r="M81" s="50"/>
      <c r="N81" s="90"/>
      <c r="O81" s="50"/>
      <c r="P81" s="50"/>
      <c r="Q81" s="50"/>
      <c r="R81" s="50"/>
      <c r="S81" s="50"/>
      <c r="T81" s="50"/>
      <c r="U81" s="50"/>
      <c r="V81" s="50"/>
      <c r="W81" s="50"/>
      <c r="X81" s="50"/>
      <c r="Y81" s="50"/>
      <c r="Z81" s="50"/>
    </row>
    <row r="82" spans="1:26" x14ac:dyDescent="0.3">
      <c r="A82" s="50"/>
      <c r="B82" s="50"/>
      <c r="C82" s="50"/>
      <c r="E82" s="50"/>
      <c r="F82" s="50"/>
      <c r="G82" s="50"/>
      <c r="H82" s="50"/>
      <c r="I82" s="50"/>
      <c r="J82" s="50"/>
      <c r="K82" s="50"/>
      <c r="L82" s="50"/>
      <c r="M82" s="50"/>
      <c r="N82" s="90"/>
      <c r="O82" s="50"/>
      <c r="P82" s="50"/>
      <c r="Q82" s="50"/>
      <c r="R82" s="50"/>
      <c r="S82" s="50"/>
      <c r="T82" s="50"/>
      <c r="U82" s="50"/>
      <c r="V82" s="50"/>
      <c r="W82" s="50"/>
      <c r="X82" s="50"/>
      <c r="Y82" s="50"/>
      <c r="Z82" s="50"/>
    </row>
    <row r="83" spans="1:26" x14ac:dyDescent="0.3">
      <c r="A83" s="50"/>
      <c r="B83" s="50"/>
      <c r="C83" s="50"/>
      <c r="E83" s="50"/>
      <c r="F83" s="50"/>
      <c r="G83" s="50"/>
      <c r="H83" s="50"/>
      <c r="I83" s="50"/>
      <c r="J83" s="50"/>
      <c r="K83" s="50"/>
      <c r="L83" s="50"/>
      <c r="M83" s="50"/>
      <c r="N83" s="90"/>
      <c r="O83" s="50"/>
      <c r="P83" s="50"/>
      <c r="Q83" s="50"/>
      <c r="R83" s="50"/>
      <c r="S83" s="50"/>
      <c r="T83" s="50"/>
      <c r="U83" s="50"/>
      <c r="V83" s="50"/>
      <c r="W83" s="50"/>
      <c r="X83" s="50"/>
      <c r="Y83" s="50"/>
      <c r="Z83" s="50"/>
    </row>
    <row r="84" spans="1:26" x14ac:dyDescent="0.3">
      <c r="A84" s="50"/>
      <c r="B84" s="50"/>
      <c r="C84" s="50"/>
      <c r="E84" s="50"/>
      <c r="F84" s="50"/>
      <c r="G84" s="50"/>
      <c r="H84" s="50"/>
      <c r="I84" s="50"/>
      <c r="J84" s="50"/>
      <c r="K84" s="50"/>
      <c r="L84" s="50"/>
      <c r="M84" s="50"/>
      <c r="N84" s="90"/>
      <c r="O84" s="50"/>
      <c r="P84" s="50"/>
      <c r="Q84" s="50"/>
      <c r="R84" s="50"/>
      <c r="S84" s="50"/>
      <c r="T84" s="50"/>
      <c r="U84" s="50"/>
      <c r="V84" s="50"/>
      <c r="W84" s="50"/>
      <c r="X84" s="50"/>
      <c r="Y84" s="50"/>
      <c r="Z84" s="50"/>
    </row>
    <row r="85" spans="1:26" x14ac:dyDescent="0.3">
      <c r="A85" s="50"/>
      <c r="B85" s="50"/>
      <c r="C85" s="50"/>
      <c r="E85" s="50"/>
      <c r="F85" s="50"/>
      <c r="G85" s="50"/>
      <c r="H85" s="50"/>
      <c r="I85" s="50"/>
      <c r="J85" s="50"/>
      <c r="K85" s="50"/>
      <c r="L85" s="50"/>
      <c r="M85" s="50"/>
      <c r="N85" s="90"/>
      <c r="O85" s="50"/>
      <c r="P85" s="50"/>
      <c r="Q85" s="50"/>
      <c r="R85" s="50"/>
      <c r="S85" s="50"/>
      <c r="T85" s="50"/>
      <c r="U85" s="50"/>
      <c r="V85" s="50"/>
      <c r="W85" s="50"/>
      <c r="X85" s="50"/>
      <c r="Y85" s="50"/>
      <c r="Z85" s="50"/>
    </row>
    <row r="86" spans="1:26" x14ac:dyDescent="0.3">
      <c r="A86" s="50"/>
      <c r="B86" s="50"/>
      <c r="C86" s="50"/>
      <c r="E86" s="50"/>
      <c r="F86" s="50"/>
      <c r="G86" s="50"/>
      <c r="H86" s="50"/>
      <c r="I86" s="50"/>
      <c r="J86" s="50"/>
      <c r="K86" s="50"/>
      <c r="L86" s="50"/>
      <c r="M86" s="50"/>
      <c r="N86" s="90"/>
      <c r="O86" s="50"/>
      <c r="P86" s="50"/>
      <c r="Q86" s="50"/>
      <c r="R86" s="50"/>
      <c r="S86" s="50"/>
      <c r="T86" s="50"/>
      <c r="U86" s="50"/>
      <c r="V86" s="50"/>
      <c r="W86" s="50"/>
      <c r="X86" s="50"/>
      <c r="Y86" s="50"/>
      <c r="Z86" s="50"/>
    </row>
    <row r="87" spans="1:26" x14ac:dyDescent="0.3">
      <c r="A87" s="50"/>
      <c r="B87" s="50"/>
      <c r="C87" s="50"/>
      <c r="E87" s="50"/>
      <c r="F87" s="50"/>
      <c r="G87" s="50"/>
      <c r="H87" s="50"/>
      <c r="I87" s="50"/>
      <c r="J87" s="50"/>
      <c r="K87" s="50"/>
      <c r="L87" s="50"/>
      <c r="M87" s="50"/>
      <c r="N87" s="90"/>
      <c r="O87" s="50"/>
      <c r="P87" s="50"/>
      <c r="Q87" s="50"/>
      <c r="R87" s="50"/>
      <c r="S87" s="50"/>
      <c r="T87" s="50"/>
      <c r="U87" s="50"/>
      <c r="V87" s="50"/>
      <c r="W87" s="50"/>
      <c r="X87" s="50"/>
      <c r="Y87" s="50"/>
      <c r="Z87" s="50"/>
    </row>
    <row r="88" spans="1:26" x14ac:dyDescent="0.3">
      <c r="A88" s="50"/>
      <c r="B88" s="50"/>
      <c r="C88" s="50"/>
      <c r="E88" s="50"/>
      <c r="F88" s="50"/>
      <c r="G88" s="50"/>
      <c r="H88" s="50"/>
      <c r="I88" s="50"/>
      <c r="J88" s="50"/>
      <c r="K88" s="50"/>
      <c r="L88" s="50"/>
      <c r="M88" s="50"/>
      <c r="N88" s="90"/>
      <c r="O88" s="50"/>
      <c r="P88" s="50"/>
      <c r="Q88" s="50"/>
      <c r="R88" s="50"/>
      <c r="S88" s="50"/>
      <c r="T88" s="50"/>
      <c r="U88" s="50"/>
      <c r="V88" s="50"/>
      <c r="W88" s="50"/>
      <c r="X88" s="50"/>
      <c r="Y88" s="50"/>
      <c r="Z88" s="50"/>
    </row>
    <row r="89" spans="1:26" x14ac:dyDescent="0.3">
      <c r="A89" s="50"/>
      <c r="B89" s="50"/>
      <c r="C89" s="50"/>
      <c r="E89" s="50"/>
      <c r="F89" s="50"/>
      <c r="G89" s="50"/>
      <c r="H89" s="50"/>
      <c r="I89" s="50"/>
      <c r="J89" s="50"/>
      <c r="K89" s="50"/>
      <c r="L89" s="50"/>
      <c r="M89" s="50"/>
      <c r="N89" s="90"/>
      <c r="O89" s="50"/>
      <c r="P89" s="50"/>
      <c r="Q89" s="50"/>
      <c r="R89" s="50"/>
      <c r="S89" s="50"/>
      <c r="T89" s="50"/>
      <c r="U89" s="50"/>
      <c r="V89" s="50"/>
      <c r="W89" s="50"/>
      <c r="X89" s="50"/>
      <c r="Y89" s="50"/>
      <c r="Z89" s="50"/>
    </row>
    <row r="90" spans="1:26" x14ac:dyDescent="0.3">
      <c r="A90" s="50"/>
      <c r="B90" s="50"/>
      <c r="C90" s="50"/>
      <c r="E90" s="50"/>
      <c r="F90" s="50"/>
      <c r="G90" s="50"/>
      <c r="H90" s="50"/>
      <c r="I90" s="50"/>
      <c r="J90" s="50"/>
      <c r="K90" s="50"/>
      <c r="L90" s="50"/>
      <c r="M90" s="50"/>
      <c r="N90" s="90"/>
      <c r="O90" s="50"/>
      <c r="P90" s="50"/>
      <c r="Q90" s="50"/>
      <c r="R90" s="50"/>
      <c r="S90" s="50"/>
      <c r="T90" s="50"/>
      <c r="U90" s="50"/>
      <c r="V90" s="50"/>
      <c r="W90" s="50"/>
      <c r="X90" s="50"/>
      <c r="Y90" s="50"/>
      <c r="Z90" s="50"/>
    </row>
    <row r="91" spans="1:26" x14ac:dyDescent="0.3">
      <c r="A91" s="50"/>
      <c r="B91" s="50"/>
      <c r="C91" s="50"/>
      <c r="E91" s="50"/>
      <c r="F91" s="50"/>
      <c r="G91" s="50"/>
      <c r="H91" s="50"/>
      <c r="I91" s="50"/>
      <c r="J91" s="50"/>
      <c r="K91" s="50"/>
      <c r="L91" s="50"/>
      <c r="M91" s="50"/>
      <c r="N91" s="90"/>
      <c r="O91" s="50"/>
      <c r="P91" s="50"/>
      <c r="Q91" s="50"/>
      <c r="R91" s="50"/>
      <c r="S91" s="50"/>
      <c r="T91" s="50"/>
      <c r="U91" s="50"/>
      <c r="V91" s="50"/>
      <c r="W91" s="50"/>
      <c r="X91" s="50"/>
      <c r="Y91" s="50"/>
      <c r="Z91" s="50"/>
    </row>
    <row r="92" spans="1:26" x14ac:dyDescent="0.3">
      <c r="A92" s="50"/>
      <c r="B92" s="50"/>
      <c r="C92" s="50"/>
      <c r="E92" s="50"/>
      <c r="F92" s="50"/>
      <c r="G92" s="50"/>
      <c r="H92" s="50"/>
      <c r="I92" s="50"/>
      <c r="J92" s="50"/>
      <c r="K92" s="50"/>
      <c r="L92" s="50"/>
      <c r="M92" s="50"/>
      <c r="N92" s="90"/>
      <c r="O92" s="50"/>
      <c r="P92" s="50"/>
      <c r="Q92" s="50"/>
      <c r="R92" s="50"/>
      <c r="S92" s="50"/>
      <c r="T92" s="50"/>
      <c r="U92" s="50"/>
      <c r="V92" s="50"/>
      <c r="W92" s="50"/>
      <c r="X92" s="50"/>
      <c r="Y92" s="50"/>
      <c r="Z92" s="50"/>
    </row>
    <row r="93" spans="1:26" x14ac:dyDescent="0.3">
      <c r="A93" s="50"/>
      <c r="B93" s="50"/>
      <c r="C93" s="50"/>
      <c r="E93" s="50"/>
      <c r="F93" s="50"/>
      <c r="G93" s="50"/>
      <c r="H93" s="50"/>
      <c r="I93" s="50"/>
      <c r="J93" s="50"/>
      <c r="K93" s="50"/>
      <c r="L93" s="50"/>
      <c r="M93" s="50"/>
      <c r="N93" s="90"/>
      <c r="O93" s="50"/>
      <c r="P93" s="50"/>
      <c r="Q93" s="50"/>
      <c r="R93" s="50"/>
      <c r="S93" s="50"/>
      <c r="T93" s="50"/>
      <c r="U93" s="50"/>
      <c r="V93" s="50"/>
      <c r="W93" s="50"/>
      <c r="X93" s="50"/>
      <c r="Y93" s="50"/>
      <c r="Z93" s="50"/>
    </row>
    <row r="94" spans="1:26" x14ac:dyDescent="0.3">
      <c r="A94" s="50"/>
      <c r="B94" s="50"/>
      <c r="C94" s="50"/>
      <c r="E94" s="50"/>
      <c r="F94" s="50"/>
      <c r="G94" s="50"/>
      <c r="H94" s="50"/>
      <c r="I94" s="50"/>
      <c r="J94" s="50"/>
      <c r="K94" s="50"/>
      <c r="L94" s="50"/>
      <c r="M94" s="50"/>
      <c r="N94" s="90"/>
      <c r="O94" s="50"/>
      <c r="P94" s="50"/>
      <c r="Q94" s="50"/>
      <c r="R94" s="50"/>
      <c r="S94" s="50"/>
      <c r="T94" s="50"/>
      <c r="U94" s="50"/>
      <c r="V94" s="50"/>
      <c r="W94" s="50"/>
      <c r="X94" s="50"/>
      <c r="Y94" s="50"/>
      <c r="Z94" s="50"/>
    </row>
    <row r="95" spans="1:26" x14ac:dyDescent="0.3">
      <c r="A95" s="50"/>
      <c r="B95" s="50"/>
      <c r="C95" s="50"/>
      <c r="E95" s="50"/>
      <c r="F95" s="50"/>
      <c r="G95" s="50"/>
      <c r="H95" s="50"/>
      <c r="I95" s="50"/>
      <c r="J95" s="50"/>
      <c r="K95" s="50"/>
      <c r="L95" s="50"/>
      <c r="M95" s="50"/>
      <c r="N95" s="90"/>
      <c r="O95" s="50"/>
      <c r="P95" s="50"/>
      <c r="Q95" s="50"/>
      <c r="R95" s="50"/>
      <c r="S95" s="50"/>
      <c r="T95" s="50"/>
      <c r="U95" s="50"/>
      <c r="V95" s="50"/>
      <c r="W95" s="50"/>
      <c r="X95" s="50"/>
      <c r="Y95" s="50"/>
      <c r="Z95" s="50"/>
    </row>
    <row r="96" spans="1:26" x14ac:dyDescent="0.3">
      <c r="A96" s="50"/>
      <c r="B96" s="50"/>
      <c r="C96" s="50"/>
      <c r="E96" s="50"/>
      <c r="F96" s="50"/>
      <c r="G96" s="50"/>
      <c r="H96" s="50"/>
      <c r="I96" s="50"/>
      <c r="J96" s="50"/>
      <c r="K96" s="50"/>
      <c r="L96" s="50"/>
      <c r="M96" s="50"/>
      <c r="N96" s="90"/>
      <c r="O96" s="50"/>
      <c r="P96" s="50"/>
      <c r="Q96" s="50"/>
      <c r="R96" s="50"/>
      <c r="S96" s="50"/>
      <c r="T96" s="50"/>
      <c r="U96" s="50"/>
      <c r="V96" s="50"/>
      <c r="W96" s="50"/>
      <c r="X96" s="50"/>
      <c r="Y96" s="50"/>
      <c r="Z96" s="50"/>
    </row>
    <row r="97" spans="1:26" x14ac:dyDescent="0.3">
      <c r="A97" s="50"/>
      <c r="B97" s="50"/>
      <c r="C97" s="50"/>
      <c r="E97" s="50"/>
      <c r="F97" s="50"/>
      <c r="G97" s="50"/>
      <c r="H97" s="50"/>
      <c r="I97" s="50"/>
      <c r="J97" s="50"/>
      <c r="K97" s="50"/>
      <c r="L97" s="50"/>
      <c r="M97" s="50"/>
      <c r="N97" s="90"/>
      <c r="O97" s="50"/>
      <c r="P97" s="50"/>
      <c r="Q97" s="50"/>
      <c r="R97" s="50"/>
      <c r="S97" s="50"/>
      <c r="T97" s="50"/>
      <c r="U97" s="50"/>
      <c r="V97" s="50"/>
      <c r="W97" s="50"/>
      <c r="X97" s="50"/>
      <c r="Y97" s="50"/>
      <c r="Z97" s="50"/>
    </row>
    <row r="98" spans="1:26" x14ac:dyDescent="0.3">
      <c r="A98" s="50"/>
      <c r="B98" s="50"/>
      <c r="C98" s="50"/>
      <c r="E98" s="50"/>
      <c r="F98" s="50"/>
      <c r="G98" s="50"/>
      <c r="H98" s="50"/>
      <c r="I98" s="50"/>
      <c r="J98" s="50"/>
      <c r="K98" s="50"/>
      <c r="L98" s="50"/>
      <c r="M98" s="50"/>
      <c r="N98" s="90"/>
      <c r="O98" s="50"/>
      <c r="P98" s="50"/>
      <c r="Q98" s="50"/>
      <c r="R98" s="50"/>
      <c r="S98" s="50"/>
      <c r="T98" s="50"/>
      <c r="U98" s="50"/>
      <c r="V98" s="50"/>
      <c r="W98" s="50"/>
      <c r="X98" s="50"/>
      <c r="Y98" s="50"/>
      <c r="Z98" s="50"/>
    </row>
    <row r="99" spans="1:26" x14ac:dyDescent="0.3">
      <c r="A99" s="50"/>
      <c r="B99" s="50"/>
      <c r="C99" s="50"/>
      <c r="E99" s="50"/>
      <c r="F99" s="50"/>
      <c r="G99" s="50"/>
      <c r="H99" s="50"/>
      <c r="I99" s="50"/>
      <c r="J99" s="50"/>
      <c r="K99" s="50"/>
      <c r="L99" s="50"/>
      <c r="M99" s="50"/>
      <c r="N99" s="90"/>
      <c r="O99" s="50"/>
      <c r="P99" s="50"/>
      <c r="Q99" s="50"/>
      <c r="R99" s="50"/>
      <c r="S99" s="50"/>
      <c r="T99" s="50"/>
      <c r="U99" s="50"/>
      <c r="V99" s="50"/>
      <c r="W99" s="50"/>
      <c r="X99" s="50"/>
      <c r="Y99" s="50"/>
      <c r="Z99" s="50"/>
    </row>
    <row r="100" spans="1:26" x14ac:dyDescent="0.3">
      <c r="A100" s="50"/>
      <c r="B100" s="50"/>
      <c r="C100" s="50"/>
      <c r="E100" s="50"/>
      <c r="F100" s="50"/>
      <c r="G100" s="50"/>
      <c r="H100" s="50"/>
      <c r="I100" s="50"/>
      <c r="J100" s="50"/>
      <c r="K100" s="50"/>
      <c r="L100" s="50"/>
      <c r="M100" s="50"/>
      <c r="N100" s="90"/>
      <c r="O100" s="50"/>
      <c r="P100" s="50"/>
      <c r="Q100" s="50"/>
      <c r="R100" s="50"/>
      <c r="S100" s="50"/>
      <c r="T100" s="50"/>
      <c r="U100" s="50"/>
      <c r="V100" s="50"/>
      <c r="W100" s="50"/>
      <c r="X100" s="50"/>
      <c r="Y100" s="50"/>
      <c r="Z100" s="50"/>
    </row>
    <row r="101" spans="1:26" x14ac:dyDescent="0.3">
      <c r="A101" s="50"/>
      <c r="B101" s="50"/>
      <c r="C101" s="50"/>
      <c r="E101" s="50"/>
      <c r="F101" s="50"/>
      <c r="G101" s="50"/>
      <c r="H101" s="50"/>
      <c r="I101" s="50"/>
      <c r="J101" s="50"/>
      <c r="K101" s="50"/>
      <c r="L101" s="50"/>
      <c r="M101" s="50"/>
      <c r="N101" s="90"/>
      <c r="O101" s="50"/>
      <c r="P101" s="50"/>
      <c r="Q101" s="50"/>
      <c r="R101" s="50"/>
      <c r="S101" s="50"/>
      <c r="T101" s="50"/>
      <c r="U101" s="50"/>
      <c r="V101" s="50"/>
      <c r="W101" s="50"/>
      <c r="X101" s="50"/>
      <c r="Y101" s="50"/>
      <c r="Z101" s="50"/>
    </row>
    <row r="102" spans="1:26" x14ac:dyDescent="0.3">
      <c r="A102" s="50"/>
      <c r="B102" s="50"/>
      <c r="C102" s="50"/>
      <c r="E102" s="50"/>
      <c r="F102" s="50"/>
      <c r="G102" s="50"/>
      <c r="H102" s="50"/>
      <c r="I102" s="50"/>
      <c r="J102" s="50"/>
      <c r="K102" s="50"/>
      <c r="L102" s="50"/>
      <c r="M102" s="50"/>
      <c r="N102" s="90"/>
      <c r="O102" s="50"/>
      <c r="P102" s="50"/>
      <c r="Q102" s="50"/>
      <c r="R102" s="50"/>
      <c r="S102" s="50"/>
      <c r="T102" s="50"/>
      <c r="U102" s="50"/>
      <c r="V102" s="50"/>
      <c r="W102" s="50"/>
      <c r="X102" s="50"/>
      <c r="Y102" s="50"/>
      <c r="Z102" s="50"/>
    </row>
    <row r="103" spans="1:26" x14ac:dyDescent="0.3">
      <c r="A103" s="50"/>
      <c r="B103" s="50"/>
      <c r="C103" s="50"/>
      <c r="E103" s="50"/>
      <c r="F103" s="50"/>
      <c r="G103" s="50"/>
      <c r="H103" s="50"/>
      <c r="I103" s="50"/>
      <c r="J103" s="50"/>
      <c r="K103" s="50"/>
      <c r="L103" s="50"/>
      <c r="M103" s="50"/>
      <c r="N103" s="90"/>
      <c r="O103" s="50"/>
      <c r="P103" s="50"/>
      <c r="Q103" s="50"/>
      <c r="R103" s="50"/>
      <c r="S103" s="50"/>
      <c r="T103" s="50"/>
      <c r="U103" s="50"/>
      <c r="V103" s="50"/>
      <c r="W103" s="50"/>
      <c r="X103" s="50"/>
      <c r="Y103" s="50"/>
      <c r="Z103" s="50"/>
    </row>
    <row r="104" spans="1:26" x14ac:dyDescent="0.3">
      <c r="A104" s="50"/>
      <c r="B104" s="50"/>
      <c r="C104" s="50"/>
      <c r="E104" s="50"/>
      <c r="F104" s="50"/>
      <c r="G104" s="50"/>
      <c r="H104" s="50"/>
      <c r="I104" s="50"/>
      <c r="J104" s="50"/>
      <c r="K104" s="50"/>
      <c r="L104" s="50"/>
      <c r="M104" s="50"/>
      <c r="N104" s="90"/>
      <c r="O104" s="50"/>
      <c r="P104" s="50"/>
      <c r="Q104" s="50"/>
      <c r="R104" s="50"/>
      <c r="S104" s="50"/>
      <c r="T104" s="50"/>
      <c r="U104" s="50"/>
      <c r="V104" s="50"/>
      <c r="W104" s="50"/>
      <c r="X104" s="50"/>
      <c r="Y104" s="50"/>
      <c r="Z104" s="50"/>
    </row>
    <row r="105" spans="1:26" x14ac:dyDescent="0.3">
      <c r="A105" s="50"/>
      <c r="B105" s="50"/>
      <c r="C105" s="50"/>
      <c r="E105" s="50"/>
      <c r="F105" s="50"/>
      <c r="G105" s="50"/>
      <c r="H105" s="50"/>
      <c r="I105" s="50"/>
      <c r="J105" s="50"/>
      <c r="K105" s="50"/>
      <c r="L105" s="50"/>
      <c r="M105" s="50"/>
      <c r="N105" s="90"/>
      <c r="O105" s="50"/>
      <c r="P105" s="50"/>
      <c r="Q105" s="50"/>
      <c r="R105" s="50"/>
      <c r="S105" s="50"/>
      <c r="T105" s="50"/>
      <c r="U105" s="50"/>
      <c r="V105" s="50"/>
      <c r="W105" s="50"/>
      <c r="X105" s="50"/>
      <c r="Y105" s="50"/>
      <c r="Z105" s="50"/>
    </row>
    <row r="106" spans="1:26" x14ac:dyDescent="0.3">
      <c r="A106" s="50"/>
      <c r="B106" s="50"/>
      <c r="C106" s="50"/>
      <c r="E106" s="50"/>
      <c r="F106" s="50"/>
      <c r="G106" s="50"/>
      <c r="H106" s="50"/>
      <c r="I106" s="50"/>
      <c r="J106" s="50"/>
      <c r="K106" s="50"/>
      <c r="L106" s="50"/>
      <c r="M106" s="50"/>
      <c r="N106" s="90"/>
      <c r="O106" s="50"/>
      <c r="P106" s="50"/>
      <c r="Q106" s="50"/>
      <c r="R106" s="50"/>
      <c r="S106" s="50"/>
      <c r="T106" s="50"/>
      <c r="U106" s="50"/>
      <c r="V106" s="50"/>
      <c r="W106" s="50"/>
      <c r="X106" s="50"/>
      <c r="Y106" s="50"/>
      <c r="Z106" s="50"/>
    </row>
    <row r="107" spans="1:26" x14ac:dyDescent="0.3">
      <c r="A107" s="50"/>
      <c r="B107" s="50"/>
      <c r="C107" s="50"/>
      <c r="E107" s="50"/>
      <c r="F107" s="50"/>
      <c r="G107" s="50"/>
      <c r="H107" s="50"/>
      <c r="I107" s="50"/>
      <c r="J107" s="50"/>
      <c r="K107" s="50"/>
      <c r="L107" s="50"/>
      <c r="M107" s="50"/>
      <c r="N107" s="90"/>
      <c r="O107" s="50"/>
      <c r="P107" s="50"/>
      <c r="Q107" s="50"/>
      <c r="R107" s="50"/>
      <c r="S107" s="50"/>
      <c r="T107" s="50"/>
      <c r="U107" s="50"/>
      <c r="V107" s="50"/>
      <c r="W107" s="50"/>
      <c r="X107" s="50"/>
      <c r="Y107" s="50"/>
      <c r="Z107" s="50"/>
    </row>
    <row r="108" spans="1:26" x14ac:dyDescent="0.3">
      <c r="A108" s="50"/>
      <c r="B108" s="50"/>
      <c r="C108" s="50"/>
      <c r="E108" s="50"/>
      <c r="F108" s="50"/>
      <c r="G108" s="50"/>
      <c r="H108" s="50"/>
      <c r="I108" s="50"/>
      <c r="J108" s="50"/>
      <c r="K108" s="50"/>
      <c r="L108" s="50"/>
      <c r="M108" s="50"/>
      <c r="N108" s="90"/>
      <c r="O108" s="50"/>
      <c r="P108" s="50"/>
      <c r="Q108" s="50"/>
      <c r="R108" s="50"/>
      <c r="S108" s="50"/>
      <c r="T108" s="50"/>
      <c r="U108" s="50"/>
      <c r="V108" s="50"/>
      <c r="W108" s="50"/>
      <c r="X108" s="50"/>
      <c r="Y108" s="50"/>
      <c r="Z108" s="50"/>
    </row>
    <row r="109" spans="1:26" x14ac:dyDescent="0.3">
      <c r="A109" s="50"/>
      <c r="B109" s="50"/>
      <c r="C109" s="50"/>
      <c r="E109" s="50"/>
      <c r="F109" s="50"/>
      <c r="G109" s="50"/>
      <c r="H109" s="50"/>
      <c r="I109" s="50"/>
      <c r="J109" s="50"/>
      <c r="K109" s="50"/>
      <c r="L109" s="50"/>
      <c r="M109" s="50"/>
      <c r="N109" s="90"/>
      <c r="O109" s="50"/>
      <c r="P109" s="50"/>
      <c r="Q109" s="50"/>
      <c r="R109" s="50"/>
      <c r="S109" s="50"/>
      <c r="T109" s="50"/>
      <c r="U109" s="50"/>
      <c r="V109" s="50"/>
      <c r="W109" s="50"/>
      <c r="X109" s="50"/>
      <c r="Y109" s="50"/>
      <c r="Z109" s="50"/>
    </row>
    <row r="110" spans="1:26" x14ac:dyDescent="0.3">
      <c r="A110" s="50"/>
      <c r="B110" s="50"/>
      <c r="C110" s="50"/>
      <c r="E110" s="50"/>
      <c r="F110" s="50"/>
      <c r="G110" s="50"/>
      <c r="H110" s="50"/>
      <c r="I110" s="50"/>
      <c r="J110" s="50"/>
      <c r="K110" s="50"/>
      <c r="L110" s="50"/>
      <c r="M110" s="50"/>
      <c r="N110" s="90"/>
      <c r="O110" s="50"/>
      <c r="P110" s="50"/>
      <c r="Q110" s="50"/>
      <c r="R110" s="50"/>
      <c r="S110" s="50"/>
      <c r="T110" s="50"/>
      <c r="U110" s="50"/>
      <c r="V110" s="50"/>
      <c r="W110" s="50"/>
      <c r="X110" s="50"/>
      <c r="Y110" s="50"/>
      <c r="Z110" s="50"/>
    </row>
    <row r="111" spans="1:26" x14ac:dyDescent="0.3">
      <c r="A111" s="50"/>
      <c r="B111" s="50"/>
      <c r="C111" s="50"/>
      <c r="E111" s="50"/>
      <c r="F111" s="50"/>
      <c r="G111" s="50"/>
      <c r="H111" s="50"/>
      <c r="I111" s="50"/>
      <c r="J111" s="50"/>
      <c r="K111" s="50"/>
      <c r="L111" s="50"/>
      <c r="M111" s="50"/>
      <c r="N111" s="90"/>
      <c r="O111" s="50"/>
      <c r="P111" s="50"/>
      <c r="Q111" s="50"/>
      <c r="R111" s="50"/>
      <c r="S111" s="50"/>
      <c r="T111" s="50"/>
      <c r="U111" s="50"/>
      <c r="V111" s="50"/>
      <c r="W111" s="50"/>
      <c r="X111" s="50"/>
      <c r="Y111" s="50"/>
      <c r="Z111" s="50"/>
    </row>
    <row r="112" spans="1:26" x14ac:dyDescent="0.3">
      <c r="A112" s="50"/>
      <c r="B112" s="50"/>
      <c r="C112" s="50"/>
      <c r="E112" s="50"/>
      <c r="F112" s="50"/>
      <c r="G112" s="50"/>
      <c r="H112" s="50"/>
      <c r="I112" s="50"/>
      <c r="J112" s="50"/>
      <c r="K112" s="50"/>
      <c r="L112" s="50"/>
      <c r="M112" s="50"/>
      <c r="N112" s="90"/>
      <c r="O112" s="50"/>
      <c r="P112" s="50"/>
      <c r="Q112" s="50"/>
      <c r="R112" s="50"/>
      <c r="S112" s="50"/>
      <c r="T112" s="50"/>
      <c r="U112" s="50"/>
      <c r="V112" s="50"/>
      <c r="W112" s="50"/>
      <c r="X112" s="50"/>
      <c r="Y112" s="50"/>
      <c r="Z112" s="50"/>
    </row>
    <row r="113" spans="1:26" x14ac:dyDescent="0.3">
      <c r="A113" s="50"/>
      <c r="B113" s="50"/>
      <c r="C113" s="50"/>
      <c r="E113" s="50"/>
      <c r="F113" s="50"/>
      <c r="G113" s="50"/>
      <c r="H113" s="50"/>
      <c r="I113" s="50"/>
      <c r="J113" s="50"/>
      <c r="K113" s="50"/>
      <c r="L113" s="50"/>
      <c r="M113" s="50"/>
      <c r="N113" s="90"/>
      <c r="O113" s="50"/>
      <c r="P113" s="50"/>
      <c r="Q113" s="50"/>
      <c r="R113" s="50"/>
      <c r="S113" s="50"/>
      <c r="T113" s="50"/>
      <c r="U113" s="50"/>
      <c r="V113" s="50"/>
      <c r="W113" s="50"/>
      <c r="X113" s="50"/>
      <c r="Y113" s="50"/>
      <c r="Z113" s="50"/>
    </row>
    <row r="114" spans="1:26" x14ac:dyDescent="0.3">
      <c r="A114" s="50"/>
      <c r="B114" s="50"/>
      <c r="C114" s="50"/>
      <c r="E114" s="50"/>
      <c r="F114" s="50"/>
      <c r="G114" s="50"/>
      <c r="H114" s="50"/>
      <c r="I114" s="50"/>
      <c r="J114" s="50"/>
      <c r="K114" s="50"/>
      <c r="L114" s="50"/>
      <c r="M114" s="50"/>
      <c r="N114" s="90"/>
      <c r="O114" s="50"/>
      <c r="P114" s="50"/>
      <c r="Q114" s="50"/>
      <c r="R114" s="50"/>
      <c r="S114" s="50"/>
      <c r="T114" s="50"/>
      <c r="U114" s="50"/>
      <c r="V114" s="50"/>
      <c r="W114" s="50"/>
      <c r="X114" s="50"/>
      <c r="Y114" s="50"/>
      <c r="Z114" s="50"/>
    </row>
    <row r="115" spans="1:26" x14ac:dyDescent="0.3">
      <c r="A115" s="50"/>
      <c r="B115" s="50"/>
      <c r="C115" s="50"/>
      <c r="E115" s="50"/>
      <c r="F115" s="50"/>
      <c r="G115" s="50"/>
      <c r="H115" s="50"/>
      <c r="I115" s="50"/>
      <c r="J115" s="50"/>
      <c r="K115" s="50"/>
      <c r="L115" s="50"/>
      <c r="M115" s="50"/>
      <c r="N115" s="90"/>
      <c r="O115" s="50"/>
      <c r="P115" s="50"/>
      <c r="Q115" s="50"/>
      <c r="R115" s="50"/>
      <c r="S115" s="50"/>
      <c r="T115" s="50"/>
      <c r="U115" s="50"/>
      <c r="V115" s="50"/>
      <c r="W115" s="50"/>
      <c r="X115" s="50"/>
      <c r="Y115" s="50"/>
      <c r="Z115" s="50"/>
    </row>
    <row r="116" spans="1:26" x14ac:dyDescent="0.3">
      <c r="A116" s="50"/>
      <c r="B116" s="50"/>
      <c r="C116" s="50"/>
      <c r="E116" s="50"/>
      <c r="F116" s="50"/>
      <c r="G116" s="50"/>
      <c r="H116" s="50"/>
      <c r="I116" s="50"/>
      <c r="J116" s="50"/>
      <c r="K116" s="50"/>
      <c r="L116" s="50"/>
      <c r="M116" s="50"/>
      <c r="N116" s="90"/>
      <c r="O116" s="50"/>
      <c r="P116" s="50"/>
      <c r="Q116" s="50"/>
      <c r="R116" s="50"/>
      <c r="S116" s="50"/>
      <c r="T116" s="50"/>
      <c r="U116" s="50"/>
      <c r="V116" s="50"/>
      <c r="W116" s="50"/>
      <c r="X116" s="50"/>
      <c r="Y116" s="50"/>
      <c r="Z116" s="50"/>
    </row>
    <row r="117" spans="1:26" x14ac:dyDescent="0.3">
      <c r="A117" s="50"/>
      <c r="B117" s="50"/>
      <c r="C117" s="50"/>
      <c r="E117" s="50"/>
      <c r="F117" s="50"/>
      <c r="G117" s="50"/>
      <c r="H117" s="50"/>
      <c r="I117" s="50"/>
      <c r="J117" s="50"/>
      <c r="K117" s="50"/>
      <c r="L117" s="50"/>
      <c r="M117" s="50"/>
      <c r="N117" s="90"/>
      <c r="O117" s="50"/>
      <c r="P117" s="50"/>
      <c r="Q117" s="50"/>
      <c r="R117" s="50"/>
      <c r="S117" s="50"/>
      <c r="T117" s="50"/>
      <c r="U117" s="50"/>
      <c r="V117" s="50"/>
      <c r="W117" s="50"/>
      <c r="X117" s="50"/>
      <c r="Y117" s="50"/>
      <c r="Z117" s="50"/>
    </row>
    <row r="118" spans="1:26" x14ac:dyDescent="0.3">
      <c r="A118" s="50"/>
      <c r="B118" s="50"/>
      <c r="C118" s="50"/>
      <c r="E118" s="50"/>
      <c r="F118" s="50"/>
      <c r="G118" s="50"/>
      <c r="H118" s="50"/>
      <c r="I118" s="50"/>
      <c r="J118" s="50"/>
      <c r="K118" s="50"/>
      <c r="L118" s="50"/>
      <c r="M118" s="50"/>
      <c r="N118" s="90"/>
      <c r="O118" s="50"/>
      <c r="P118" s="50"/>
      <c r="Q118" s="50"/>
      <c r="R118" s="50"/>
      <c r="S118" s="50"/>
      <c r="T118" s="50"/>
      <c r="U118" s="50"/>
      <c r="V118" s="50"/>
      <c r="W118" s="50"/>
      <c r="X118" s="50"/>
      <c r="Y118" s="50"/>
      <c r="Z118" s="50"/>
    </row>
    <row r="119" spans="1:26" x14ac:dyDescent="0.3">
      <c r="A119" s="50"/>
      <c r="B119" s="50"/>
      <c r="C119" s="50"/>
      <c r="E119" s="50"/>
      <c r="F119" s="50"/>
      <c r="G119" s="50"/>
      <c r="H119" s="50"/>
      <c r="I119" s="50"/>
      <c r="J119" s="50"/>
      <c r="K119" s="50"/>
      <c r="L119" s="50"/>
      <c r="M119" s="50"/>
      <c r="N119" s="90"/>
      <c r="O119" s="50"/>
      <c r="P119" s="50"/>
      <c r="Q119" s="50"/>
      <c r="R119" s="50"/>
      <c r="S119" s="50"/>
      <c r="T119" s="50"/>
      <c r="U119" s="50"/>
      <c r="V119" s="50"/>
      <c r="W119" s="50"/>
      <c r="X119" s="50"/>
      <c r="Y119" s="50"/>
      <c r="Z119" s="50"/>
    </row>
    <row r="120" spans="1:26" x14ac:dyDescent="0.3">
      <c r="A120" s="50"/>
      <c r="B120" s="50"/>
      <c r="C120" s="50"/>
      <c r="E120" s="50"/>
      <c r="F120" s="50"/>
      <c r="G120" s="50"/>
      <c r="H120" s="50"/>
      <c r="I120" s="50"/>
      <c r="J120" s="50"/>
      <c r="K120" s="50"/>
      <c r="L120" s="50"/>
      <c r="M120" s="50"/>
      <c r="N120" s="90"/>
      <c r="O120" s="50"/>
      <c r="P120" s="50"/>
      <c r="Q120" s="50"/>
      <c r="R120" s="50"/>
      <c r="S120" s="50"/>
      <c r="T120" s="50"/>
      <c r="U120" s="50"/>
      <c r="V120" s="50"/>
      <c r="W120" s="50"/>
      <c r="X120" s="50"/>
      <c r="Y120" s="50"/>
      <c r="Z120" s="50"/>
    </row>
    <row r="121" spans="1:26" x14ac:dyDescent="0.3">
      <c r="A121" s="50"/>
      <c r="B121" s="50"/>
      <c r="C121" s="50"/>
      <c r="E121" s="50"/>
      <c r="F121" s="50"/>
      <c r="G121" s="50"/>
      <c r="H121" s="50"/>
      <c r="I121" s="50"/>
      <c r="J121" s="50"/>
      <c r="K121" s="50"/>
      <c r="L121" s="50"/>
      <c r="M121" s="50"/>
      <c r="N121" s="90"/>
      <c r="O121" s="50"/>
      <c r="P121" s="50"/>
      <c r="Q121" s="50"/>
      <c r="R121" s="50"/>
      <c r="S121" s="50"/>
      <c r="T121" s="50"/>
      <c r="U121" s="50"/>
      <c r="V121" s="50"/>
      <c r="W121" s="50"/>
      <c r="X121" s="50"/>
      <c r="Y121" s="50"/>
      <c r="Z121" s="50"/>
    </row>
    <row r="122" spans="1:26" x14ac:dyDescent="0.3">
      <c r="A122" s="50"/>
      <c r="B122" s="50"/>
      <c r="C122" s="50"/>
      <c r="E122" s="50"/>
      <c r="F122" s="50"/>
      <c r="G122" s="50"/>
      <c r="H122" s="50"/>
      <c r="I122" s="50"/>
      <c r="J122" s="50"/>
      <c r="K122" s="50"/>
      <c r="L122" s="50"/>
      <c r="M122" s="50"/>
      <c r="N122" s="90"/>
      <c r="O122" s="50"/>
      <c r="P122" s="50"/>
      <c r="Q122" s="50"/>
      <c r="R122" s="50"/>
      <c r="S122" s="50"/>
      <c r="T122" s="50"/>
      <c r="U122" s="50"/>
      <c r="V122" s="50"/>
      <c r="W122" s="50"/>
      <c r="X122" s="50"/>
      <c r="Y122" s="50"/>
      <c r="Z122" s="50"/>
    </row>
    <row r="123" spans="1:26" x14ac:dyDescent="0.3">
      <c r="A123" s="50"/>
      <c r="B123" s="50"/>
      <c r="C123" s="50"/>
      <c r="E123" s="50"/>
      <c r="F123" s="50"/>
      <c r="G123" s="50"/>
      <c r="H123" s="50"/>
      <c r="I123" s="50"/>
      <c r="J123" s="50"/>
      <c r="K123" s="50"/>
      <c r="L123" s="50"/>
      <c r="M123" s="50"/>
      <c r="N123" s="90"/>
      <c r="O123" s="50"/>
      <c r="P123" s="50"/>
      <c r="Q123" s="50"/>
      <c r="R123" s="50"/>
      <c r="S123" s="50"/>
      <c r="T123" s="50"/>
      <c r="U123" s="50"/>
      <c r="V123" s="50"/>
      <c r="W123" s="50"/>
      <c r="X123" s="50"/>
      <c r="Y123" s="50"/>
      <c r="Z123" s="50"/>
    </row>
    <row r="124" spans="1:26" x14ac:dyDescent="0.3">
      <c r="A124" s="50"/>
      <c r="B124" s="50"/>
      <c r="C124" s="50"/>
      <c r="E124" s="50"/>
      <c r="F124" s="50"/>
      <c r="G124" s="50"/>
      <c r="H124" s="50"/>
      <c r="I124" s="50"/>
      <c r="J124" s="50"/>
      <c r="K124" s="50"/>
      <c r="L124" s="50"/>
      <c r="M124" s="50"/>
      <c r="N124" s="90"/>
      <c r="O124" s="50"/>
      <c r="P124" s="50"/>
      <c r="Q124" s="50"/>
      <c r="R124" s="50"/>
      <c r="S124" s="50"/>
      <c r="T124" s="50"/>
      <c r="U124" s="50"/>
      <c r="V124" s="50"/>
      <c r="W124" s="50"/>
      <c r="X124" s="50"/>
      <c r="Y124" s="50"/>
      <c r="Z124" s="50"/>
    </row>
    <row r="125" spans="1:26" x14ac:dyDescent="0.3">
      <c r="A125" s="50"/>
      <c r="B125" s="50"/>
      <c r="C125" s="50"/>
      <c r="E125" s="50"/>
      <c r="F125" s="50"/>
      <c r="G125" s="50"/>
      <c r="H125" s="50"/>
      <c r="I125" s="50"/>
      <c r="J125" s="50"/>
      <c r="K125" s="50"/>
      <c r="L125" s="50"/>
      <c r="M125" s="50"/>
      <c r="N125" s="90"/>
      <c r="O125" s="50"/>
      <c r="P125" s="50"/>
      <c r="Q125" s="50"/>
      <c r="R125" s="50"/>
      <c r="S125" s="50"/>
      <c r="T125" s="50"/>
      <c r="U125" s="50"/>
      <c r="V125" s="50"/>
      <c r="W125" s="50"/>
      <c r="X125" s="50"/>
      <c r="Y125" s="50"/>
      <c r="Z125" s="50"/>
    </row>
    <row r="126" spans="1:26" x14ac:dyDescent="0.3">
      <c r="A126" s="50"/>
      <c r="B126" s="50"/>
      <c r="C126" s="50"/>
      <c r="E126" s="50"/>
      <c r="F126" s="50"/>
      <c r="G126" s="50"/>
      <c r="H126" s="50"/>
      <c r="I126" s="50"/>
      <c r="J126" s="50"/>
      <c r="K126" s="50"/>
      <c r="L126" s="50"/>
      <c r="M126" s="50"/>
      <c r="N126" s="90"/>
      <c r="O126" s="50"/>
      <c r="P126" s="50"/>
      <c r="Q126" s="50"/>
      <c r="R126" s="50"/>
      <c r="S126" s="50"/>
      <c r="T126" s="50"/>
      <c r="U126" s="50"/>
      <c r="V126" s="50"/>
      <c r="W126" s="50"/>
      <c r="X126" s="50"/>
      <c r="Y126" s="50"/>
      <c r="Z126" s="50"/>
    </row>
    <row r="127" spans="1:26" x14ac:dyDescent="0.3">
      <c r="A127" s="50"/>
      <c r="B127" s="50"/>
      <c r="C127" s="50"/>
      <c r="E127" s="50"/>
      <c r="F127" s="50"/>
      <c r="G127" s="50"/>
      <c r="H127" s="50"/>
      <c r="I127" s="50"/>
      <c r="J127" s="50"/>
      <c r="K127" s="50"/>
      <c r="L127" s="50"/>
      <c r="M127" s="50"/>
      <c r="N127" s="90"/>
      <c r="O127" s="50"/>
      <c r="P127" s="50"/>
      <c r="Q127" s="50"/>
      <c r="R127" s="50"/>
      <c r="S127" s="50"/>
      <c r="T127" s="50"/>
      <c r="U127" s="50"/>
      <c r="V127" s="50"/>
      <c r="W127" s="50"/>
      <c r="X127" s="50"/>
      <c r="Y127" s="50"/>
      <c r="Z127" s="50"/>
    </row>
    <row r="128" spans="1:26" x14ac:dyDescent="0.3">
      <c r="A128" s="50"/>
      <c r="B128" s="50"/>
      <c r="C128" s="50"/>
      <c r="E128" s="50"/>
      <c r="F128" s="50"/>
      <c r="G128" s="50"/>
      <c r="H128" s="50"/>
      <c r="I128" s="50"/>
      <c r="J128" s="50"/>
      <c r="K128" s="50"/>
      <c r="L128" s="50"/>
      <c r="M128" s="50"/>
      <c r="N128" s="90"/>
      <c r="O128" s="50"/>
      <c r="P128" s="50"/>
      <c r="Q128" s="50"/>
      <c r="R128" s="50"/>
      <c r="S128" s="50"/>
      <c r="T128" s="50"/>
      <c r="U128" s="50"/>
      <c r="V128" s="50"/>
      <c r="W128" s="50"/>
      <c r="X128" s="50"/>
      <c r="Y128" s="50"/>
      <c r="Z128" s="50"/>
    </row>
    <row r="129" spans="1:26" x14ac:dyDescent="0.3">
      <c r="A129" s="50"/>
      <c r="B129" s="50"/>
      <c r="C129" s="50"/>
      <c r="E129" s="50"/>
      <c r="F129" s="50"/>
      <c r="G129" s="50"/>
      <c r="H129" s="50"/>
      <c r="I129" s="50"/>
      <c r="J129" s="50"/>
      <c r="K129" s="50"/>
      <c r="L129" s="50"/>
      <c r="M129" s="50"/>
      <c r="N129" s="90"/>
      <c r="O129" s="50"/>
      <c r="P129" s="50"/>
      <c r="Q129" s="50"/>
      <c r="R129" s="50"/>
      <c r="S129" s="50"/>
      <c r="T129" s="50"/>
      <c r="U129" s="50"/>
      <c r="V129" s="50"/>
      <c r="W129" s="50"/>
      <c r="X129" s="50"/>
      <c r="Y129" s="50"/>
      <c r="Z129" s="50"/>
    </row>
    <row r="130" spans="1:26" x14ac:dyDescent="0.3">
      <c r="A130" s="50"/>
      <c r="B130" s="50"/>
      <c r="C130" s="50"/>
      <c r="E130" s="50"/>
      <c r="F130" s="50"/>
      <c r="G130" s="50"/>
      <c r="H130" s="50"/>
      <c r="I130" s="50"/>
      <c r="J130" s="50"/>
      <c r="K130" s="50"/>
      <c r="L130" s="50"/>
      <c r="M130" s="50"/>
      <c r="N130" s="90"/>
      <c r="O130" s="50"/>
      <c r="P130" s="50"/>
      <c r="Q130" s="50"/>
      <c r="R130" s="50"/>
      <c r="S130" s="50"/>
      <c r="T130" s="50"/>
      <c r="U130" s="50"/>
      <c r="V130" s="50"/>
      <c r="W130" s="50"/>
      <c r="X130" s="50"/>
      <c r="Y130" s="50"/>
      <c r="Z130" s="50"/>
    </row>
    <row r="131" spans="1:26" x14ac:dyDescent="0.3">
      <c r="A131" s="50"/>
      <c r="B131" s="50"/>
      <c r="C131" s="50"/>
      <c r="E131" s="50"/>
      <c r="F131" s="50"/>
      <c r="G131" s="50"/>
      <c r="H131" s="50"/>
      <c r="I131" s="50"/>
      <c r="J131" s="50"/>
      <c r="K131" s="50"/>
      <c r="L131" s="50"/>
      <c r="M131" s="50"/>
      <c r="N131" s="90"/>
      <c r="O131" s="50"/>
      <c r="P131" s="50"/>
      <c r="Q131" s="50"/>
      <c r="R131" s="50"/>
      <c r="S131" s="50"/>
      <c r="T131" s="50"/>
      <c r="U131" s="50"/>
      <c r="V131" s="50"/>
      <c r="W131" s="50"/>
      <c r="X131" s="50"/>
      <c r="Y131" s="50"/>
      <c r="Z131" s="50"/>
    </row>
    <row r="132" spans="1:26" x14ac:dyDescent="0.3">
      <c r="A132" s="50"/>
      <c r="B132" s="50"/>
      <c r="C132" s="50"/>
      <c r="E132" s="50"/>
      <c r="F132" s="50"/>
      <c r="G132" s="50"/>
      <c r="H132" s="50"/>
      <c r="I132" s="50"/>
      <c r="J132" s="50"/>
      <c r="K132" s="50"/>
      <c r="L132" s="50"/>
      <c r="M132" s="50"/>
      <c r="N132" s="90"/>
      <c r="O132" s="50"/>
      <c r="P132" s="50"/>
      <c r="Q132" s="50"/>
      <c r="R132" s="50"/>
      <c r="S132" s="50"/>
      <c r="T132" s="50"/>
      <c r="U132" s="50"/>
      <c r="V132" s="50"/>
      <c r="W132" s="50"/>
      <c r="X132" s="50"/>
      <c r="Y132" s="50"/>
      <c r="Z132" s="50"/>
    </row>
    <row r="133" spans="1:26" x14ac:dyDescent="0.3">
      <c r="A133" s="50"/>
      <c r="B133" s="50"/>
      <c r="C133" s="50"/>
      <c r="E133" s="50"/>
      <c r="F133" s="50"/>
      <c r="G133" s="50"/>
      <c r="H133" s="50"/>
      <c r="I133" s="50"/>
      <c r="J133" s="50"/>
      <c r="K133" s="50"/>
      <c r="L133" s="50"/>
      <c r="M133" s="50"/>
      <c r="N133" s="90"/>
      <c r="O133" s="50"/>
      <c r="P133" s="50"/>
      <c r="Q133" s="50"/>
      <c r="R133" s="50"/>
      <c r="S133" s="50"/>
      <c r="T133" s="50"/>
      <c r="U133" s="50"/>
      <c r="V133" s="50"/>
      <c r="W133" s="50"/>
      <c r="X133" s="50"/>
      <c r="Y133" s="50"/>
      <c r="Z133" s="50"/>
    </row>
    <row r="134" spans="1:26" x14ac:dyDescent="0.3">
      <c r="A134" s="50"/>
      <c r="B134" s="50"/>
      <c r="C134" s="50"/>
      <c r="E134" s="50"/>
      <c r="F134" s="50"/>
      <c r="G134" s="50"/>
      <c r="H134" s="50"/>
      <c r="I134" s="50"/>
      <c r="J134" s="50"/>
      <c r="K134" s="50"/>
      <c r="L134" s="50"/>
      <c r="M134" s="50"/>
      <c r="N134" s="90"/>
      <c r="O134" s="50"/>
      <c r="P134" s="50"/>
      <c r="Q134" s="50"/>
      <c r="R134" s="50"/>
      <c r="S134" s="50"/>
      <c r="T134" s="50"/>
      <c r="U134" s="50"/>
      <c r="V134" s="50"/>
      <c r="W134" s="50"/>
      <c r="X134" s="50"/>
      <c r="Y134" s="50"/>
      <c r="Z134" s="50"/>
    </row>
    <row r="135" spans="1:26" x14ac:dyDescent="0.3">
      <c r="A135" s="50"/>
      <c r="B135" s="50"/>
      <c r="C135" s="50"/>
      <c r="E135" s="50"/>
      <c r="F135" s="50"/>
      <c r="G135" s="50"/>
      <c r="H135" s="50"/>
      <c r="I135" s="50"/>
      <c r="J135" s="50"/>
      <c r="K135" s="50"/>
      <c r="L135" s="50"/>
      <c r="M135" s="50"/>
      <c r="N135" s="90"/>
      <c r="O135" s="50"/>
      <c r="P135" s="50"/>
      <c r="Q135" s="50"/>
      <c r="R135" s="50"/>
      <c r="S135" s="50"/>
      <c r="T135" s="50"/>
      <c r="U135" s="50"/>
      <c r="V135" s="50"/>
      <c r="W135" s="50"/>
      <c r="X135" s="50"/>
      <c r="Y135" s="50"/>
      <c r="Z135" s="50"/>
    </row>
    <row r="136" spans="1:26" x14ac:dyDescent="0.3">
      <c r="A136" s="50"/>
      <c r="B136" s="50"/>
      <c r="C136" s="50"/>
      <c r="E136" s="50"/>
      <c r="F136" s="50"/>
      <c r="G136" s="50"/>
      <c r="H136" s="50"/>
      <c r="I136" s="50"/>
      <c r="J136" s="50"/>
      <c r="K136" s="50"/>
      <c r="L136" s="50"/>
      <c r="M136" s="50"/>
      <c r="N136" s="90"/>
      <c r="O136" s="50"/>
      <c r="P136" s="50"/>
      <c r="Q136" s="50"/>
      <c r="R136" s="50"/>
      <c r="S136" s="50"/>
      <c r="T136" s="50"/>
      <c r="U136" s="50"/>
      <c r="V136" s="50"/>
      <c r="W136" s="50"/>
      <c r="X136" s="50"/>
      <c r="Y136" s="50"/>
      <c r="Z136" s="50"/>
    </row>
    <row r="137" spans="1:26" x14ac:dyDescent="0.3">
      <c r="A137" s="50"/>
      <c r="B137" s="50"/>
      <c r="C137" s="50"/>
      <c r="E137" s="50"/>
      <c r="F137" s="50"/>
      <c r="G137" s="50"/>
      <c r="H137" s="50"/>
      <c r="I137" s="50"/>
      <c r="J137" s="50"/>
      <c r="K137" s="50"/>
      <c r="L137" s="50"/>
      <c r="M137" s="50"/>
      <c r="N137" s="90"/>
      <c r="O137" s="50"/>
      <c r="P137" s="50"/>
      <c r="Q137" s="50"/>
      <c r="R137" s="50"/>
      <c r="S137" s="50"/>
      <c r="T137" s="50"/>
      <c r="U137" s="50"/>
      <c r="V137" s="50"/>
      <c r="W137" s="50"/>
      <c r="X137" s="50"/>
      <c r="Y137" s="50"/>
      <c r="Z137" s="50"/>
    </row>
    <row r="138" spans="1:26" x14ac:dyDescent="0.3">
      <c r="A138" s="50"/>
      <c r="B138" s="50"/>
      <c r="C138" s="50"/>
      <c r="E138" s="50"/>
      <c r="F138" s="50"/>
      <c r="G138" s="50"/>
      <c r="H138" s="50"/>
      <c r="I138" s="50"/>
      <c r="J138" s="50"/>
      <c r="K138" s="50"/>
      <c r="L138" s="50"/>
      <c r="M138" s="50"/>
      <c r="N138" s="90"/>
      <c r="O138" s="50"/>
      <c r="P138" s="50"/>
      <c r="Q138" s="50"/>
      <c r="R138" s="50"/>
      <c r="S138" s="50"/>
      <c r="T138" s="50"/>
      <c r="U138" s="50"/>
      <c r="V138" s="50"/>
      <c r="W138" s="50"/>
      <c r="X138" s="50"/>
      <c r="Y138" s="50"/>
      <c r="Z138" s="50"/>
    </row>
    <row r="139" spans="1:26" x14ac:dyDescent="0.3">
      <c r="A139" s="50"/>
      <c r="B139" s="50"/>
      <c r="C139" s="50"/>
      <c r="E139" s="50"/>
      <c r="F139" s="50"/>
      <c r="G139" s="50"/>
      <c r="H139" s="50"/>
      <c r="I139" s="50"/>
      <c r="J139" s="50"/>
      <c r="K139" s="50"/>
      <c r="L139" s="50"/>
      <c r="M139" s="50"/>
      <c r="N139" s="90"/>
      <c r="O139" s="50"/>
      <c r="P139" s="50"/>
      <c r="Q139" s="50"/>
      <c r="R139" s="50"/>
      <c r="S139" s="50"/>
      <c r="T139" s="50"/>
      <c r="U139" s="50"/>
      <c r="V139" s="50"/>
      <c r="W139" s="50"/>
      <c r="X139" s="50"/>
      <c r="Y139" s="50"/>
      <c r="Z139" s="50"/>
    </row>
    <row r="140" spans="1:26" x14ac:dyDescent="0.3">
      <c r="A140" s="50"/>
      <c r="B140" s="50"/>
      <c r="C140" s="50"/>
      <c r="E140" s="50"/>
      <c r="F140" s="50"/>
      <c r="G140" s="50"/>
      <c r="H140" s="50"/>
      <c r="I140" s="50"/>
      <c r="J140" s="50"/>
      <c r="K140" s="50"/>
      <c r="L140" s="50"/>
      <c r="M140" s="50"/>
      <c r="N140" s="90"/>
      <c r="O140" s="50"/>
      <c r="P140" s="50"/>
      <c r="Q140" s="50"/>
      <c r="R140" s="50"/>
      <c r="S140" s="50"/>
      <c r="T140" s="50"/>
      <c r="U140" s="50"/>
      <c r="V140" s="50"/>
      <c r="W140" s="50"/>
      <c r="X140" s="50"/>
      <c r="Y140" s="50"/>
      <c r="Z140" s="50"/>
    </row>
    <row r="141" spans="1:26" x14ac:dyDescent="0.3">
      <c r="A141" s="50"/>
      <c r="B141" s="50"/>
      <c r="C141" s="50"/>
      <c r="E141" s="50"/>
      <c r="F141" s="50"/>
      <c r="G141" s="50"/>
      <c r="H141" s="50"/>
      <c r="I141" s="50"/>
      <c r="J141" s="50"/>
      <c r="K141" s="50"/>
      <c r="L141" s="50"/>
      <c r="M141" s="50"/>
      <c r="N141" s="90"/>
      <c r="O141" s="50"/>
      <c r="P141" s="50"/>
      <c r="Q141" s="50"/>
      <c r="R141" s="50"/>
      <c r="S141" s="50"/>
      <c r="T141" s="50"/>
      <c r="U141" s="50"/>
      <c r="V141" s="50"/>
      <c r="W141" s="50"/>
      <c r="X141" s="50"/>
      <c r="Y141" s="50"/>
      <c r="Z141" s="50"/>
    </row>
    <row r="142" spans="1:26" x14ac:dyDescent="0.3">
      <c r="A142" s="50"/>
      <c r="B142" s="50"/>
      <c r="C142" s="50"/>
      <c r="E142" s="50"/>
      <c r="F142" s="50"/>
      <c r="G142" s="50"/>
      <c r="H142" s="50"/>
      <c r="I142" s="50"/>
      <c r="J142" s="50"/>
      <c r="K142" s="50"/>
      <c r="L142" s="50"/>
      <c r="M142" s="50"/>
      <c r="N142" s="90"/>
      <c r="O142" s="50"/>
      <c r="P142" s="50"/>
      <c r="Q142" s="50"/>
      <c r="R142" s="50"/>
      <c r="S142" s="50"/>
      <c r="T142" s="50"/>
      <c r="U142" s="50"/>
      <c r="V142" s="50"/>
      <c r="W142" s="50"/>
      <c r="X142" s="50"/>
      <c r="Y142" s="50"/>
      <c r="Z142" s="50"/>
    </row>
    <row r="143" spans="1:26" x14ac:dyDescent="0.3">
      <c r="A143" s="50"/>
      <c r="B143" s="50"/>
      <c r="C143" s="50"/>
      <c r="E143" s="50"/>
      <c r="F143" s="50"/>
      <c r="G143" s="50"/>
      <c r="H143" s="50"/>
      <c r="I143" s="50"/>
      <c r="J143" s="50"/>
      <c r="K143" s="50"/>
      <c r="L143" s="50"/>
      <c r="M143" s="50"/>
      <c r="N143" s="90"/>
      <c r="O143" s="50"/>
      <c r="P143" s="50"/>
      <c r="Q143" s="50"/>
      <c r="R143" s="50"/>
      <c r="S143" s="50"/>
      <c r="T143" s="50"/>
      <c r="U143" s="50"/>
      <c r="V143" s="50"/>
      <c r="W143" s="50"/>
      <c r="X143" s="50"/>
      <c r="Y143" s="50"/>
      <c r="Z143" s="50"/>
    </row>
    <row r="144" spans="1:26" x14ac:dyDescent="0.3">
      <c r="A144" s="50"/>
      <c r="B144" s="50"/>
      <c r="C144" s="50"/>
      <c r="E144" s="50"/>
      <c r="F144" s="50"/>
      <c r="G144" s="50"/>
      <c r="H144" s="50"/>
      <c r="I144" s="50"/>
      <c r="J144" s="50"/>
      <c r="K144" s="50"/>
      <c r="L144" s="50"/>
      <c r="M144" s="50"/>
      <c r="N144" s="90"/>
      <c r="O144" s="50"/>
      <c r="P144" s="50"/>
      <c r="Q144" s="50"/>
      <c r="R144" s="50"/>
      <c r="S144" s="50"/>
      <c r="T144" s="50"/>
      <c r="U144" s="50"/>
      <c r="V144" s="50"/>
      <c r="W144" s="50"/>
      <c r="X144" s="50"/>
      <c r="Y144" s="50"/>
      <c r="Z144" s="50"/>
    </row>
    <row r="145" spans="1:26" x14ac:dyDescent="0.3">
      <c r="A145" s="50"/>
      <c r="B145" s="50"/>
      <c r="C145" s="50"/>
      <c r="E145" s="50"/>
      <c r="F145" s="50"/>
      <c r="G145" s="50"/>
      <c r="H145" s="50"/>
      <c r="I145" s="50"/>
      <c r="J145" s="50"/>
      <c r="K145" s="50"/>
      <c r="L145" s="50"/>
      <c r="M145" s="50"/>
      <c r="N145" s="90"/>
      <c r="O145" s="50"/>
      <c r="P145" s="50"/>
      <c r="Q145" s="50"/>
      <c r="R145" s="50"/>
      <c r="S145" s="50"/>
      <c r="T145" s="50"/>
      <c r="U145" s="50"/>
      <c r="V145" s="50"/>
      <c r="W145" s="50"/>
      <c r="X145" s="50"/>
      <c r="Y145" s="50"/>
      <c r="Z145" s="50"/>
    </row>
    <row r="146" spans="1:26" x14ac:dyDescent="0.3">
      <c r="A146" s="50"/>
      <c r="B146" s="50"/>
      <c r="C146" s="50"/>
      <c r="E146" s="50"/>
      <c r="F146" s="50"/>
      <c r="G146" s="50"/>
      <c r="H146" s="50"/>
      <c r="I146" s="50"/>
      <c r="J146" s="50"/>
      <c r="K146" s="50"/>
      <c r="L146" s="50"/>
      <c r="M146" s="50"/>
      <c r="N146" s="90"/>
      <c r="O146" s="50"/>
      <c r="P146" s="50"/>
      <c r="Q146" s="50"/>
      <c r="R146" s="50"/>
      <c r="S146" s="50"/>
      <c r="T146" s="50"/>
      <c r="U146" s="50"/>
      <c r="V146" s="50"/>
      <c r="W146" s="50"/>
      <c r="X146" s="50"/>
      <c r="Y146" s="50"/>
      <c r="Z146" s="50"/>
    </row>
    <row r="147" spans="1:26" x14ac:dyDescent="0.3">
      <c r="A147" s="50"/>
      <c r="B147" s="50"/>
      <c r="C147" s="50"/>
      <c r="E147" s="50"/>
      <c r="F147" s="50"/>
      <c r="G147" s="50"/>
      <c r="H147" s="50"/>
      <c r="I147" s="50"/>
      <c r="J147" s="50"/>
      <c r="K147" s="50"/>
      <c r="L147" s="50"/>
      <c r="M147" s="50"/>
      <c r="N147" s="90"/>
      <c r="O147" s="50"/>
      <c r="P147" s="50"/>
      <c r="Q147" s="50"/>
      <c r="R147" s="50"/>
      <c r="S147" s="50"/>
      <c r="T147" s="50"/>
      <c r="U147" s="50"/>
      <c r="V147" s="50"/>
      <c r="W147" s="50"/>
      <c r="X147" s="50"/>
      <c r="Y147" s="50"/>
      <c r="Z147" s="50"/>
    </row>
    <row r="148" spans="1:26" x14ac:dyDescent="0.3">
      <c r="A148" s="50"/>
      <c r="B148" s="50"/>
      <c r="C148" s="50"/>
      <c r="E148" s="50"/>
      <c r="F148" s="50"/>
      <c r="G148" s="50"/>
      <c r="H148" s="50"/>
      <c r="I148" s="50"/>
      <c r="J148" s="50"/>
      <c r="K148" s="50"/>
      <c r="L148" s="50"/>
      <c r="M148" s="50"/>
      <c r="N148" s="90"/>
      <c r="O148" s="50"/>
      <c r="P148" s="50"/>
      <c r="Q148" s="50"/>
      <c r="R148" s="50"/>
      <c r="S148" s="50"/>
      <c r="T148" s="50"/>
      <c r="U148" s="50"/>
      <c r="V148" s="50"/>
      <c r="W148" s="50"/>
      <c r="X148" s="50"/>
      <c r="Y148" s="50"/>
      <c r="Z148" s="50"/>
    </row>
    <row r="149" spans="1:26" x14ac:dyDescent="0.3">
      <c r="A149" s="50"/>
      <c r="B149" s="50"/>
      <c r="C149" s="50"/>
      <c r="E149" s="50"/>
      <c r="F149" s="50"/>
      <c r="G149" s="50"/>
      <c r="H149" s="50"/>
      <c r="I149" s="50"/>
      <c r="J149" s="50"/>
      <c r="K149" s="50"/>
      <c r="L149" s="50"/>
      <c r="M149" s="50"/>
      <c r="N149" s="90"/>
      <c r="O149" s="50"/>
      <c r="P149" s="50"/>
      <c r="Q149" s="50"/>
      <c r="R149" s="50"/>
      <c r="S149" s="50"/>
      <c r="T149" s="50"/>
      <c r="U149" s="50"/>
      <c r="V149" s="50"/>
      <c r="W149" s="50"/>
      <c r="X149" s="50"/>
      <c r="Y149" s="50"/>
      <c r="Z149" s="50"/>
    </row>
    <row r="150" spans="1:26" x14ac:dyDescent="0.3">
      <c r="A150" s="50"/>
      <c r="B150" s="50"/>
      <c r="C150" s="50"/>
      <c r="E150" s="50"/>
      <c r="F150" s="50"/>
      <c r="G150" s="50"/>
      <c r="H150" s="50"/>
      <c r="I150" s="50"/>
      <c r="J150" s="50"/>
      <c r="K150" s="50"/>
      <c r="L150" s="50"/>
      <c r="M150" s="50"/>
      <c r="N150" s="90"/>
      <c r="O150" s="50"/>
      <c r="P150" s="50"/>
      <c r="Q150" s="50"/>
      <c r="R150" s="50"/>
      <c r="S150" s="50"/>
      <c r="T150" s="50"/>
      <c r="U150" s="50"/>
      <c r="V150" s="50"/>
      <c r="W150" s="50"/>
      <c r="X150" s="50"/>
      <c r="Y150" s="50"/>
      <c r="Z150" s="50"/>
    </row>
    <row r="151" spans="1:26" x14ac:dyDescent="0.3">
      <c r="A151" s="50"/>
      <c r="B151" s="50"/>
      <c r="C151" s="50"/>
      <c r="E151" s="50"/>
      <c r="F151" s="50"/>
      <c r="G151" s="50"/>
      <c r="H151" s="50"/>
      <c r="I151" s="50"/>
      <c r="J151" s="50"/>
      <c r="K151" s="50"/>
      <c r="L151" s="50"/>
      <c r="M151" s="50"/>
      <c r="N151" s="90"/>
      <c r="O151" s="50"/>
      <c r="P151" s="50"/>
      <c r="Q151" s="50"/>
      <c r="R151" s="50"/>
      <c r="S151" s="50"/>
      <c r="T151" s="50"/>
      <c r="U151" s="50"/>
      <c r="V151" s="50"/>
      <c r="W151" s="50"/>
      <c r="X151" s="50"/>
      <c r="Y151" s="50"/>
      <c r="Z151" s="50"/>
    </row>
    <row r="152" spans="1:26" x14ac:dyDescent="0.3">
      <c r="A152" s="50"/>
      <c r="B152" s="50"/>
      <c r="C152" s="50"/>
      <c r="E152" s="50"/>
      <c r="F152" s="50"/>
      <c r="G152" s="50"/>
      <c r="H152" s="50"/>
      <c r="I152" s="50"/>
      <c r="J152" s="50"/>
      <c r="K152" s="50"/>
      <c r="L152" s="50"/>
      <c r="M152" s="50"/>
      <c r="N152" s="90"/>
      <c r="O152" s="50"/>
      <c r="P152" s="50"/>
      <c r="Q152" s="50"/>
      <c r="R152" s="50"/>
      <c r="S152" s="50"/>
      <c r="T152" s="50"/>
      <c r="U152" s="50"/>
      <c r="V152" s="50"/>
      <c r="W152" s="50"/>
      <c r="X152" s="50"/>
      <c r="Y152" s="50"/>
      <c r="Z152" s="50"/>
    </row>
    <row r="153" spans="1:26" x14ac:dyDescent="0.3">
      <c r="A153" s="50"/>
      <c r="B153" s="50"/>
      <c r="C153" s="50"/>
      <c r="E153" s="50"/>
      <c r="F153" s="50"/>
      <c r="G153" s="50"/>
      <c r="H153" s="50"/>
      <c r="I153" s="50"/>
      <c r="J153" s="50"/>
      <c r="K153" s="50"/>
      <c r="L153" s="50"/>
      <c r="M153" s="50"/>
      <c r="N153" s="90"/>
      <c r="O153" s="50"/>
      <c r="P153" s="50"/>
      <c r="Q153" s="50"/>
      <c r="R153" s="50"/>
      <c r="S153" s="50"/>
      <c r="T153" s="50"/>
      <c r="U153" s="50"/>
      <c r="V153" s="50"/>
      <c r="W153" s="50"/>
      <c r="X153" s="50"/>
      <c r="Y153" s="50"/>
      <c r="Z153" s="50"/>
    </row>
    <row r="154" spans="1:26" x14ac:dyDescent="0.3">
      <c r="A154" s="50"/>
      <c r="B154" s="50"/>
      <c r="C154" s="50"/>
      <c r="E154" s="50"/>
      <c r="F154" s="50"/>
      <c r="G154" s="50"/>
      <c r="H154" s="50"/>
      <c r="I154" s="50"/>
      <c r="J154" s="50"/>
      <c r="K154" s="50"/>
      <c r="L154" s="50"/>
      <c r="M154" s="50"/>
      <c r="N154" s="90"/>
      <c r="O154" s="50"/>
      <c r="P154" s="50"/>
      <c r="Q154" s="50"/>
      <c r="R154" s="50"/>
      <c r="S154" s="50"/>
      <c r="T154" s="50"/>
      <c r="U154" s="50"/>
      <c r="V154" s="50"/>
      <c r="W154" s="50"/>
      <c r="X154" s="50"/>
      <c r="Y154" s="50"/>
      <c r="Z154" s="50"/>
    </row>
    <row r="155" spans="1:26" x14ac:dyDescent="0.3">
      <c r="A155" s="50"/>
      <c r="B155" s="50"/>
      <c r="C155" s="50"/>
      <c r="E155" s="50"/>
      <c r="F155" s="50"/>
      <c r="G155" s="50"/>
      <c r="H155" s="50"/>
      <c r="I155" s="50"/>
      <c r="J155" s="50"/>
      <c r="K155" s="50"/>
      <c r="L155" s="50"/>
      <c r="M155" s="50"/>
      <c r="N155" s="90"/>
      <c r="O155" s="50"/>
      <c r="P155" s="50"/>
      <c r="Q155" s="50"/>
      <c r="R155" s="50"/>
      <c r="S155" s="50"/>
      <c r="T155" s="50"/>
      <c r="U155" s="50"/>
      <c r="V155" s="50"/>
      <c r="W155" s="50"/>
      <c r="X155" s="50"/>
      <c r="Y155" s="50"/>
      <c r="Z155" s="50"/>
    </row>
    <row r="156" spans="1:26" x14ac:dyDescent="0.3">
      <c r="A156" s="50"/>
      <c r="B156" s="50"/>
      <c r="C156" s="50"/>
      <c r="E156" s="50"/>
      <c r="F156" s="50"/>
      <c r="G156" s="50"/>
      <c r="H156" s="50"/>
      <c r="I156" s="50"/>
      <c r="J156" s="50"/>
      <c r="K156" s="50"/>
      <c r="L156" s="50"/>
      <c r="M156" s="50"/>
      <c r="N156" s="90"/>
      <c r="O156" s="50"/>
      <c r="P156" s="50"/>
      <c r="Q156" s="50"/>
      <c r="R156" s="50"/>
      <c r="S156" s="50"/>
      <c r="T156" s="50"/>
      <c r="U156" s="50"/>
      <c r="V156" s="50"/>
      <c r="W156" s="50"/>
      <c r="X156" s="50"/>
      <c r="Y156" s="50"/>
      <c r="Z156" s="50"/>
    </row>
    <row r="157" spans="1:26" x14ac:dyDescent="0.3">
      <c r="A157" s="50"/>
      <c r="B157" s="50"/>
      <c r="C157" s="50"/>
      <c r="E157" s="50"/>
      <c r="F157" s="50"/>
      <c r="G157" s="50"/>
      <c r="H157" s="50"/>
      <c r="I157" s="50"/>
      <c r="J157" s="50"/>
      <c r="K157" s="50"/>
      <c r="L157" s="50"/>
      <c r="M157" s="50"/>
      <c r="N157" s="90"/>
      <c r="O157" s="50"/>
      <c r="P157" s="50"/>
      <c r="Q157" s="50"/>
      <c r="R157" s="50"/>
      <c r="S157" s="50"/>
      <c r="T157" s="50"/>
      <c r="U157" s="50"/>
      <c r="V157" s="50"/>
      <c r="W157" s="50"/>
      <c r="X157" s="50"/>
      <c r="Y157" s="50"/>
      <c r="Z157" s="50"/>
    </row>
    <row r="158" spans="1:26" x14ac:dyDescent="0.3">
      <c r="A158" s="50"/>
      <c r="B158" s="50"/>
      <c r="C158" s="50"/>
      <c r="E158" s="50"/>
      <c r="F158" s="50"/>
      <c r="G158" s="50"/>
      <c r="H158" s="50"/>
      <c r="I158" s="50"/>
      <c r="J158" s="50"/>
      <c r="K158" s="50"/>
      <c r="L158" s="50"/>
      <c r="M158" s="50"/>
      <c r="N158" s="90"/>
      <c r="O158" s="50"/>
      <c r="P158" s="50"/>
      <c r="Q158" s="50"/>
      <c r="R158" s="50"/>
      <c r="S158" s="50"/>
      <c r="T158" s="50"/>
      <c r="U158" s="50"/>
      <c r="V158" s="50"/>
      <c r="W158" s="50"/>
      <c r="X158" s="50"/>
      <c r="Y158" s="50"/>
      <c r="Z158" s="50"/>
    </row>
    <row r="159" spans="1:26" x14ac:dyDescent="0.3">
      <c r="A159" s="50"/>
      <c r="B159" s="50"/>
      <c r="C159" s="50"/>
      <c r="E159" s="50"/>
      <c r="F159" s="50"/>
      <c r="G159" s="50"/>
      <c r="H159" s="50"/>
      <c r="I159" s="50"/>
      <c r="J159" s="50"/>
      <c r="K159" s="50"/>
      <c r="L159" s="50"/>
      <c r="M159" s="50"/>
      <c r="N159" s="90"/>
      <c r="O159" s="50"/>
      <c r="P159" s="50"/>
      <c r="Q159" s="50"/>
      <c r="R159" s="50"/>
      <c r="S159" s="50"/>
      <c r="T159" s="50"/>
      <c r="U159" s="50"/>
      <c r="V159" s="50"/>
      <c r="W159" s="50"/>
      <c r="X159" s="50"/>
      <c r="Y159" s="50"/>
      <c r="Z159" s="50"/>
    </row>
    <row r="160" spans="1:26" x14ac:dyDescent="0.3">
      <c r="A160" s="50"/>
      <c r="B160" s="50"/>
      <c r="C160" s="50"/>
      <c r="E160" s="50"/>
      <c r="F160" s="50"/>
      <c r="G160" s="50"/>
      <c r="H160" s="50"/>
      <c r="I160" s="50"/>
      <c r="J160" s="50"/>
      <c r="K160" s="50"/>
      <c r="L160" s="50"/>
      <c r="M160" s="50"/>
      <c r="N160" s="90"/>
      <c r="O160" s="50"/>
      <c r="P160" s="50"/>
      <c r="Q160" s="50"/>
      <c r="R160" s="50"/>
      <c r="S160" s="50"/>
      <c r="T160" s="50"/>
      <c r="U160" s="50"/>
      <c r="V160" s="50"/>
      <c r="W160" s="50"/>
      <c r="X160" s="50"/>
      <c r="Y160" s="50"/>
      <c r="Z160" s="50"/>
    </row>
    <row r="161" spans="1:26" x14ac:dyDescent="0.3">
      <c r="A161" s="50"/>
      <c r="B161" s="50"/>
      <c r="C161" s="50"/>
      <c r="E161" s="50"/>
      <c r="F161" s="50"/>
      <c r="G161" s="50"/>
      <c r="H161" s="50"/>
      <c r="I161" s="50"/>
      <c r="J161" s="50"/>
      <c r="K161" s="50"/>
      <c r="L161" s="50"/>
      <c r="M161" s="50"/>
      <c r="N161" s="90"/>
      <c r="O161" s="50"/>
      <c r="P161" s="50"/>
      <c r="Q161" s="50"/>
      <c r="R161" s="50"/>
      <c r="S161" s="50"/>
      <c r="T161" s="50"/>
      <c r="U161" s="50"/>
      <c r="V161" s="50"/>
      <c r="W161" s="50"/>
      <c r="X161" s="50"/>
      <c r="Y161" s="50"/>
      <c r="Z161" s="50"/>
    </row>
    <row r="162" spans="1:26" x14ac:dyDescent="0.3">
      <c r="A162" s="50"/>
      <c r="B162" s="50"/>
      <c r="C162" s="50"/>
      <c r="E162" s="50"/>
      <c r="F162" s="50"/>
      <c r="G162" s="50"/>
      <c r="H162" s="50"/>
      <c r="I162" s="50"/>
      <c r="J162" s="50"/>
      <c r="K162" s="50"/>
      <c r="L162" s="50"/>
      <c r="M162" s="50"/>
      <c r="N162" s="90"/>
      <c r="O162" s="50"/>
      <c r="P162" s="50"/>
      <c r="Q162" s="50"/>
      <c r="R162" s="50"/>
      <c r="S162" s="50"/>
      <c r="T162" s="50"/>
      <c r="U162" s="50"/>
      <c r="V162" s="50"/>
      <c r="W162" s="50"/>
      <c r="X162" s="50"/>
      <c r="Y162" s="50"/>
      <c r="Z162" s="50"/>
    </row>
    <row r="163" spans="1:26" x14ac:dyDescent="0.3">
      <c r="A163" s="50"/>
      <c r="B163" s="50"/>
      <c r="C163" s="50"/>
      <c r="E163" s="50"/>
      <c r="F163" s="50"/>
      <c r="G163" s="50"/>
      <c r="H163" s="50"/>
      <c r="I163" s="50"/>
      <c r="J163" s="50"/>
      <c r="K163" s="50"/>
      <c r="L163" s="50"/>
      <c r="M163" s="50"/>
      <c r="N163" s="90"/>
      <c r="O163" s="50"/>
      <c r="P163" s="50"/>
      <c r="Q163" s="50"/>
      <c r="R163" s="50"/>
      <c r="S163" s="50"/>
      <c r="T163" s="50"/>
      <c r="U163" s="50"/>
      <c r="V163" s="50"/>
      <c r="W163" s="50"/>
      <c r="X163" s="50"/>
      <c r="Y163" s="50"/>
      <c r="Z163" s="50"/>
    </row>
    <row r="164" spans="1:26" x14ac:dyDescent="0.3">
      <c r="A164" s="50"/>
      <c r="B164" s="50"/>
      <c r="C164" s="50"/>
      <c r="E164" s="50"/>
      <c r="F164" s="50"/>
      <c r="G164" s="50"/>
      <c r="H164" s="50"/>
      <c r="I164" s="50"/>
      <c r="J164" s="50"/>
      <c r="K164" s="50"/>
      <c r="L164" s="50"/>
      <c r="M164" s="50"/>
      <c r="N164" s="90"/>
      <c r="O164" s="50"/>
      <c r="P164" s="50"/>
      <c r="Q164" s="50"/>
      <c r="R164" s="50"/>
      <c r="S164" s="50"/>
      <c r="T164" s="50"/>
      <c r="U164" s="50"/>
      <c r="V164" s="50"/>
      <c r="W164" s="50"/>
      <c r="X164" s="50"/>
      <c r="Y164" s="50"/>
      <c r="Z164" s="50"/>
    </row>
    <row r="165" spans="1:26" x14ac:dyDescent="0.3">
      <c r="A165" s="50"/>
      <c r="B165" s="50"/>
      <c r="C165" s="50"/>
      <c r="E165" s="50"/>
      <c r="F165" s="50"/>
      <c r="G165" s="50"/>
      <c r="H165" s="50"/>
      <c r="I165" s="50"/>
      <c r="J165" s="50"/>
      <c r="K165" s="50"/>
      <c r="L165" s="50"/>
      <c r="M165" s="50"/>
      <c r="N165" s="90"/>
      <c r="O165" s="50"/>
      <c r="P165" s="50"/>
      <c r="Q165" s="50"/>
      <c r="R165" s="50"/>
      <c r="S165" s="50"/>
      <c r="T165" s="50"/>
      <c r="U165" s="50"/>
      <c r="V165" s="50"/>
      <c r="W165" s="50"/>
      <c r="X165" s="50"/>
      <c r="Y165" s="50"/>
      <c r="Z165" s="50"/>
    </row>
    <row r="166" spans="1:26" x14ac:dyDescent="0.3">
      <c r="A166" s="50"/>
      <c r="B166" s="50"/>
      <c r="C166" s="50"/>
      <c r="E166" s="50"/>
      <c r="F166" s="50"/>
      <c r="G166" s="50"/>
      <c r="H166" s="50"/>
      <c r="I166" s="50"/>
      <c r="J166" s="50"/>
      <c r="K166" s="50"/>
      <c r="L166" s="50"/>
      <c r="M166" s="50"/>
      <c r="N166" s="90"/>
      <c r="O166" s="50"/>
      <c r="P166" s="50"/>
      <c r="Q166" s="50"/>
      <c r="R166" s="50"/>
      <c r="S166" s="50"/>
      <c r="T166" s="50"/>
      <c r="U166" s="50"/>
      <c r="V166" s="50"/>
      <c r="W166" s="50"/>
      <c r="X166" s="50"/>
      <c r="Y166" s="50"/>
      <c r="Z166" s="50"/>
    </row>
    <row r="167" spans="1:26" x14ac:dyDescent="0.3">
      <c r="A167" s="50"/>
      <c r="B167" s="50"/>
      <c r="C167" s="50"/>
      <c r="E167" s="50"/>
      <c r="F167" s="50"/>
      <c r="G167" s="50"/>
      <c r="H167" s="50"/>
      <c r="I167" s="50"/>
      <c r="J167" s="50"/>
      <c r="K167" s="50"/>
      <c r="L167" s="50"/>
      <c r="M167" s="50"/>
      <c r="N167" s="90"/>
      <c r="O167" s="50"/>
      <c r="P167" s="50"/>
      <c r="Q167" s="50"/>
      <c r="R167" s="50"/>
      <c r="S167" s="50"/>
      <c r="T167" s="50"/>
      <c r="U167" s="50"/>
      <c r="V167" s="50"/>
      <c r="W167" s="50"/>
      <c r="X167" s="50"/>
      <c r="Y167" s="50"/>
      <c r="Z167" s="50"/>
    </row>
    <row r="168" spans="1:26" x14ac:dyDescent="0.3">
      <c r="A168" s="50"/>
      <c r="B168" s="50"/>
      <c r="C168" s="50"/>
      <c r="E168" s="50"/>
      <c r="F168" s="50"/>
      <c r="G168" s="50"/>
      <c r="H168" s="50"/>
      <c r="I168" s="50"/>
      <c r="J168" s="50"/>
      <c r="K168" s="50"/>
      <c r="L168" s="50"/>
      <c r="M168" s="50"/>
      <c r="N168" s="90"/>
      <c r="O168" s="50"/>
      <c r="P168" s="50"/>
      <c r="Q168" s="50"/>
      <c r="R168" s="50"/>
      <c r="S168" s="50"/>
      <c r="T168" s="50"/>
      <c r="U168" s="50"/>
      <c r="V168" s="50"/>
      <c r="W168" s="50"/>
      <c r="X168" s="50"/>
      <c r="Y168" s="50"/>
      <c r="Z168" s="50"/>
    </row>
    <row r="169" spans="1:26" x14ac:dyDescent="0.3">
      <c r="A169" s="50"/>
      <c r="B169" s="50"/>
      <c r="C169" s="50"/>
      <c r="E169" s="50"/>
      <c r="F169" s="50"/>
      <c r="G169" s="50"/>
      <c r="H169" s="50"/>
      <c r="I169" s="50"/>
      <c r="J169" s="50"/>
      <c r="K169" s="50"/>
      <c r="L169" s="50"/>
      <c r="M169" s="50"/>
      <c r="N169" s="90"/>
      <c r="O169" s="50"/>
      <c r="P169" s="50"/>
      <c r="Q169" s="50"/>
      <c r="R169" s="50"/>
      <c r="S169" s="50"/>
      <c r="T169" s="50"/>
      <c r="U169" s="50"/>
      <c r="V169" s="50"/>
      <c r="W169" s="50"/>
      <c r="X169" s="50"/>
      <c r="Y169" s="50"/>
      <c r="Z169" s="50"/>
    </row>
    <row r="170" spans="1:26" x14ac:dyDescent="0.3">
      <c r="A170" s="50"/>
      <c r="B170" s="50"/>
      <c r="C170" s="50"/>
      <c r="E170" s="50"/>
      <c r="F170" s="50"/>
      <c r="G170" s="50"/>
      <c r="H170" s="50"/>
      <c r="I170" s="50"/>
      <c r="J170" s="50"/>
      <c r="K170" s="50"/>
      <c r="L170" s="50"/>
      <c r="M170" s="50"/>
      <c r="N170" s="90"/>
      <c r="O170" s="50"/>
      <c r="P170" s="50"/>
      <c r="Q170" s="50"/>
      <c r="R170" s="50"/>
      <c r="S170" s="50"/>
      <c r="T170" s="50"/>
      <c r="U170" s="50"/>
      <c r="V170" s="50"/>
      <c r="W170" s="50"/>
      <c r="X170" s="50"/>
      <c r="Y170" s="50"/>
      <c r="Z170" s="50"/>
    </row>
    <row r="171" spans="1:26" x14ac:dyDescent="0.3">
      <c r="A171" s="50"/>
      <c r="B171" s="50"/>
      <c r="C171" s="50"/>
      <c r="E171" s="50"/>
      <c r="F171" s="50"/>
      <c r="G171" s="50"/>
      <c r="H171" s="50"/>
      <c r="I171" s="50"/>
      <c r="J171" s="50"/>
      <c r="K171" s="50"/>
      <c r="L171" s="50"/>
      <c r="M171" s="50"/>
      <c r="N171" s="90"/>
      <c r="O171" s="50"/>
      <c r="P171" s="50"/>
      <c r="Q171" s="50"/>
      <c r="R171" s="50"/>
      <c r="S171" s="50"/>
      <c r="T171" s="50"/>
      <c r="U171" s="50"/>
      <c r="V171" s="50"/>
      <c r="W171" s="50"/>
      <c r="X171" s="50"/>
      <c r="Y171" s="50"/>
      <c r="Z171" s="50"/>
    </row>
    <row r="172" spans="1:26" x14ac:dyDescent="0.3">
      <c r="A172" s="50"/>
      <c r="B172" s="50"/>
      <c r="C172" s="50"/>
      <c r="E172" s="50"/>
      <c r="F172" s="50"/>
      <c r="G172" s="50"/>
      <c r="H172" s="50"/>
      <c r="I172" s="50"/>
      <c r="J172" s="50"/>
      <c r="K172" s="50"/>
      <c r="L172" s="50"/>
      <c r="M172" s="50"/>
      <c r="N172" s="90"/>
      <c r="O172" s="50"/>
      <c r="P172" s="50"/>
      <c r="Q172" s="50"/>
      <c r="R172" s="50"/>
      <c r="S172" s="50"/>
      <c r="T172" s="50"/>
      <c r="U172" s="50"/>
      <c r="V172" s="50"/>
      <c r="W172" s="50"/>
      <c r="X172" s="50"/>
      <c r="Y172" s="50"/>
      <c r="Z172" s="50"/>
    </row>
    <row r="173" spans="1:26" x14ac:dyDescent="0.3">
      <c r="A173" s="50"/>
      <c r="B173" s="50"/>
      <c r="C173" s="50"/>
      <c r="E173" s="50"/>
      <c r="F173" s="50"/>
      <c r="G173" s="50"/>
      <c r="H173" s="50"/>
      <c r="I173" s="50"/>
      <c r="J173" s="50"/>
      <c r="K173" s="50"/>
      <c r="L173" s="50"/>
      <c r="M173" s="50"/>
      <c r="N173" s="90"/>
      <c r="O173" s="50"/>
      <c r="P173" s="50"/>
      <c r="Q173" s="50"/>
      <c r="R173" s="50"/>
      <c r="S173" s="50"/>
      <c r="T173" s="50"/>
      <c r="U173" s="50"/>
      <c r="V173" s="50"/>
      <c r="W173" s="50"/>
      <c r="X173" s="50"/>
      <c r="Y173" s="50"/>
      <c r="Z173" s="50"/>
    </row>
    <row r="174" spans="1:26" x14ac:dyDescent="0.3">
      <c r="A174" s="50"/>
      <c r="B174" s="50"/>
      <c r="C174" s="50"/>
      <c r="E174" s="50"/>
      <c r="F174" s="50"/>
      <c r="G174" s="50"/>
      <c r="H174" s="50"/>
      <c r="I174" s="50"/>
      <c r="J174" s="50"/>
      <c r="K174" s="50"/>
      <c r="L174" s="50"/>
      <c r="M174" s="50"/>
      <c r="N174" s="90"/>
      <c r="O174" s="50"/>
      <c r="P174" s="50"/>
      <c r="Q174" s="50"/>
      <c r="R174" s="50"/>
      <c r="S174" s="50"/>
      <c r="T174" s="50"/>
      <c r="U174" s="50"/>
      <c r="V174" s="50"/>
      <c r="W174" s="50"/>
      <c r="X174" s="50"/>
      <c r="Y174" s="50"/>
      <c r="Z174" s="50"/>
    </row>
    <row r="175" spans="1:26" x14ac:dyDescent="0.3">
      <c r="A175" s="50"/>
      <c r="B175" s="50"/>
      <c r="C175" s="50"/>
      <c r="E175" s="50"/>
      <c r="F175" s="50"/>
      <c r="G175" s="50"/>
      <c r="H175" s="50"/>
      <c r="I175" s="50"/>
      <c r="J175" s="50"/>
      <c r="K175" s="50"/>
      <c r="L175" s="50"/>
      <c r="M175" s="50"/>
      <c r="N175" s="90"/>
      <c r="O175" s="50"/>
      <c r="P175" s="50"/>
      <c r="Q175" s="50"/>
      <c r="R175" s="50"/>
      <c r="S175" s="50"/>
      <c r="T175" s="50"/>
      <c r="U175" s="50"/>
      <c r="V175" s="50"/>
      <c r="W175" s="50"/>
      <c r="X175" s="50"/>
      <c r="Y175" s="50"/>
      <c r="Z175" s="50"/>
    </row>
    <row r="176" spans="1:26" x14ac:dyDescent="0.3">
      <c r="A176" s="50"/>
      <c r="B176" s="50"/>
      <c r="C176" s="50"/>
      <c r="E176" s="50"/>
      <c r="F176" s="50"/>
      <c r="G176" s="50"/>
      <c r="H176" s="50"/>
      <c r="I176" s="50"/>
      <c r="J176" s="50"/>
      <c r="K176" s="50"/>
      <c r="L176" s="50"/>
      <c r="M176" s="50"/>
      <c r="N176" s="90"/>
      <c r="O176" s="50"/>
      <c r="P176" s="50"/>
      <c r="Q176" s="50"/>
      <c r="R176" s="50"/>
      <c r="S176" s="50"/>
      <c r="T176" s="50"/>
      <c r="U176" s="50"/>
      <c r="V176" s="50"/>
      <c r="W176" s="50"/>
      <c r="X176" s="50"/>
      <c r="Y176" s="50"/>
      <c r="Z176" s="50"/>
    </row>
    <row r="177" spans="1:26" x14ac:dyDescent="0.3">
      <c r="A177" s="50"/>
      <c r="B177" s="50"/>
      <c r="C177" s="50"/>
      <c r="E177" s="50"/>
      <c r="F177" s="50"/>
      <c r="G177" s="50"/>
      <c r="H177" s="50"/>
      <c r="I177" s="50"/>
      <c r="J177" s="50"/>
      <c r="K177" s="50"/>
      <c r="L177" s="50"/>
      <c r="M177" s="50"/>
      <c r="N177" s="90"/>
      <c r="O177" s="50"/>
      <c r="P177" s="50"/>
      <c r="Q177" s="50"/>
      <c r="R177" s="50"/>
      <c r="S177" s="50"/>
      <c r="T177" s="50"/>
      <c r="U177" s="50"/>
      <c r="V177" s="50"/>
      <c r="W177" s="50"/>
      <c r="X177" s="50"/>
      <c r="Y177" s="50"/>
      <c r="Z177" s="50"/>
    </row>
    <row r="178" spans="1:26" x14ac:dyDescent="0.3">
      <c r="A178" s="50"/>
      <c r="B178" s="50"/>
      <c r="C178" s="50"/>
      <c r="E178" s="50"/>
      <c r="F178" s="50"/>
      <c r="G178" s="50"/>
      <c r="H178" s="50"/>
      <c r="I178" s="50"/>
      <c r="J178" s="50"/>
      <c r="K178" s="50"/>
      <c r="L178" s="50"/>
      <c r="M178" s="50"/>
      <c r="N178" s="90"/>
      <c r="O178" s="50"/>
      <c r="P178" s="50"/>
      <c r="Q178" s="50"/>
      <c r="R178" s="50"/>
      <c r="S178" s="50"/>
      <c r="T178" s="50"/>
      <c r="U178" s="50"/>
      <c r="V178" s="50"/>
      <c r="W178" s="50"/>
      <c r="X178" s="50"/>
      <c r="Y178" s="50"/>
      <c r="Z178" s="50"/>
    </row>
    <row r="179" spans="1:26" x14ac:dyDescent="0.3">
      <c r="A179" s="50"/>
      <c r="B179" s="50"/>
      <c r="C179" s="50"/>
      <c r="E179" s="50"/>
      <c r="F179" s="50"/>
      <c r="G179" s="50"/>
      <c r="H179" s="50"/>
      <c r="I179" s="50"/>
      <c r="J179" s="50"/>
      <c r="K179" s="50"/>
      <c r="L179" s="50"/>
      <c r="M179" s="50"/>
      <c r="N179" s="90"/>
      <c r="O179" s="50"/>
      <c r="P179" s="50"/>
      <c r="Q179" s="50"/>
      <c r="R179" s="50"/>
      <c r="S179" s="50"/>
      <c r="T179" s="50"/>
      <c r="U179" s="50"/>
      <c r="V179" s="50"/>
      <c r="W179" s="50"/>
      <c r="X179" s="50"/>
      <c r="Y179" s="50"/>
      <c r="Z179" s="50"/>
    </row>
    <row r="180" spans="1:26" x14ac:dyDescent="0.3">
      <c r="A180" s="50"/>
      <c r="B180" s="50"/>
      <c r="C180" s="50"/>
      <c r="E180" s="50"/>
      <c r="F180" s="50"/>
      <c r="G180" s="50"/>
      <c r="H180" s="50"/>
      <c r="I180" s="50"/>
      <c r="J180" s="50"/>
      <c r="K180" s="50"/>
      <c r="L180" s="50"/>
      <c r="M180" s="50"/>
      <c r="N180" s="90"/>
      <c r="O180" s="50"/>
      <c r="P180" s="50"/>
      <c r="Q180" s="50"/>
      <c r="R180" s="50"/>
      <c r="S180" s="50"/>
      <c r="T180" s="50"/>
      <c r="U180" s="50"/>
      <c r="V180" s="50"/>
      <c r="W180" s="50"/>
      <c r="X180" s="50"/>
      <c r="Y180" s="50"/>
      <c r="Z180" s="50"/>
    </row>
    <row r="181" spans="1:26" x14ac:dyDescent="0.3">
      <c r="A181" s="50"/>
      <c r="B181" s="50"/>
      <c r="C181" s="50"/>
      <c r="E181" s="50"/>
      <c r="F181" s="50"/>
      <c r="G181" s="50"/>
      <c r="H181" s="50"/>
      <c r="I181" s="50"/>
      <c r="J181" s="50"/>
      <c r="K181" s="50"/>
      <c r="L181" s="50"/>
      <c r="M181" s="50"/>
      <c r="N181" s="90"/>
      <c r="O181" s="50"/>
      <c r="P181" s="50"/>
      <c r="Q181" s="50"/>
      <c r="R181" s="50"/>
      <c r="S181" s="50"/>
      <c r="T181" s="50"/>
      <c r="U181" s="50"/>
      <c r="V181" s="50"/>
      <c r="W181" s="50"/>
      <c r="X181" s="50"/>
      <c r="Y181" s="50"/>
      <c r="Z181" s="50"/>
    </row>
    <row r="182" spans="1:26" x14ac:dyDescent="0.3">
      <c r="A182" s="50"/>
      <c r="B182" s="50"/>
      <c r="C182" s="50"/>
      <c r="E182" s="50"/>
      <c r="F182" s="50"/>
      <c r="G182" s="50"/>
      <c r="H182" s="50"/>
      <c r="I182" s="50"/>
      <c r="J182" s="50"/>
      <c r="K182" s="50"/>
      <c r="L182" s="50"/>
      <c r="M182" s="50"/>
      <c r="N182" s="90"/>
      <c r="O182" s="50"/>
      <c r="P182" s="50"/>
      <c r="Q182" s="50"/>
      <c r="R182" s="50"/>
      <c r="S182" s="50"/>
      <c r="T182" s="50"/>
      <c r="U182" s="50"/>
      <c r="V182" s="50"/>
      <c r="W182" s="50"/>
      <c r="X182" s="50"/>
      <c r="Y182" s="50"/>
      <c r="Z182" s="50"/>
    </row>
    <row r="183" spans="1:26" x14ac:dyDescent="0.3">
      <c r="A183" s="50"/>
      <c r="B183" s="50"/>
      <c r="C183" s="50"/>
      <c r="E183" s="50"/>
      <c r="F183" s="50"/>
      <c r="G183" s="50"/>
      <c r="H183" s="50"/>
      <c r="I183" s="50"/>
      <c r="J183" s="50"/>
      <c r="K183" s="50"/>
      <c r="L183" s="50"/>
      <c r="M183" s="50"/>
      <c r="N183" s="90"/>
      <c r="O183" s="50"/>
      <c r="P183" s="50"/>
      <c r="Q183" s="50"/>
      <c r="R183" s="50"/>
      <c r="S183" s="50"/>
      <c r="T183" s="50"/>
      <c r="U183" s="50"/>
      <c r="V183" s="50"/>
      <c r="W183" s="50"/>
      <c r="X183" s="50"/>
      <c r="Y183" s="50"/>
      <c r="Z183" s="50"/>
    </row>
    <row r="184" spans="1:26" x14ac:dyDescent="0.3">
      <c r="A184" s="50"/>
      <c r="B184" s="50"/>
      <c r="C184" s="50"/>
      <c r="E184" s="50"/>
      <c r="F184" s="50"/>
      <c r="G184" s="50"/>
      <c r="H184" s="50"/>
      <c r="I184" s="50"/>
      <c r="J184" s="50"/>
      <c r="K184" s="50"/>
      <c r="L184" s="50"/>
      <c r="M184" s="50"/>
      <c r="N184" s="90"/>
      <c r="O184" s="50"/>
      <c r="P184" s="50"/>
      <c r="Q184" s="50"/>
      <c r="R184" s="50"/>
      <c r="S184" s="50"/>
      <c r="T184" s="50"/>
      <c r="U184" s="50"/>
      <c r="V184" s="50"/>
      <c r="W184" s="50"/>
      <c r="X184" s="50"/>
      <c r="Y184" s="50"/>
      <c r="Z184" s="50"/>
    </row>
    <row r="185" spans="1:26" x14ac:dyDescent="0.3">
      <c r="A185" s="50"/>
      <c r="B185" s="50"/>
      <c r="C185" s="50"/>
      <c r="E185" s="50"/>
      <c r="F185" s="50"/>
      <c r="G185" s="50"/>
      <c r="H185" s="50"/>
      <c r="I185" s="50"/>
      <c r="J185" s="50"/>
      <c r="K185" s="50"/>
      <c r="L185" s="50"/>
      <c r="M185" s="50"/>
      <c r="N185" s="90"/>
      <c r="O185" s="50"/>
      <c r="P185" s="50"/>
      <c r="Q185" s="50"/>
      <c r="R185" s="50"/>
      <c r="S185" s="50"/>
      <c r="T185" s="50"/>
      <c r="U185" s="50"/>
      <c r="V185" s="50"/>
      <c r="W185" s="50"/>
      <c r="X185" s="50"/>
      <c r="Y185" s="50"/>
      <c r="Z185" s="50"/>
    </row>
    <row r="186" spans="1:26" x14ac:dyDescent="0.3">
      <c r="A186" s="50"/>
      <c r="B186" s="50"/>
      <c r="C186" s="50"/>
      <c r="E186" s="50"/>
      <c r="F186" s="50"/>
      <c r="G186" s="50"/>
      <c r="H186" s="50"/>
      <c r="I186" s="50"/>
      <c r="J186" s="50"/>
      <c r="K186" s="50"/>
      <c r="L186" s="50"/>
      <c r="M186" s="50"/>
      <c r="N186" s="90"/>
      <c r="O186" s="50"/>
      <c r="P186" s="50"/>
      <c r="Q186" s="50"/>
      <c r="R186" s="50"/>
      <c r="S186" s="50"/>
      <c r="T186" s="50"/>
      <c r="U186" s="50"/>
      <c r="V186" s="50"/>
      <c r="W186" s="50"/>
      <c r="X186" s="50"/>
      <c r="Y186" s="50"/>
      <c r="Z186" s="50"/>
    </row>
    <row r="187" spans="1:26" x14ac:dyDescent="0.3">
      <c r="A187" s="50"/>
      <c r="B187" s="50"/>
      <c r="C187" s="50"/>
      <c r="E187" s="50"/>
      <c r="F187" s="50"/>
      <c r="G187" s="50"/>
      <c r="H187" s="50"/>
      <c r="I187" s="50"/>
      <c r="J187" s="50"/>
      <c r="K187" s="50"/>
      <c r="L187" s="50"/>
      <c r="M187" s="50"/>
      <c r="N187" s="90"/>
      <c r="O187" s="50"/>
      <c r="P187" s="50"/>
      <c r="Q187" s="50"/>
      <c r="R187" s="50"/>
      <c r="S187" s="50"/>
      <c r="T187" s="50"/>
      <c r="U187" s="50"/>
      <c r="V187" s="50"/>
      <c r="W187" s="50"/>
      <c r="X187" s="50"/>
      <c r="Y187" s="50"/>
      <c r="Z187" s="50"/>
    </row>
    <row r="188" spans="1:26" x14ac:dyDescent="0.3">
      <c r="A188" s="50"/>
      <c r="B188" s="50"/>
      <c r="C188" s="50"/>
      <c r="E188" s="50"/>
      <c r="F188" s="50"/>
      <c r="G188" s="50"/>
      <c r="H188" s="50"/>
      <c r="I188" s="50"/>
      <c r="J188" s="50"/>
      <c r="K188" s="50"/>
      <c r="L188" s="50"/>
      <c r="M188" s="50"/>
      <c r="N188" s="90"/>
      <c r="O188" s="50"/>
      <c r="P188" s="50"/>
      <c r="Q188" s="50"/>
      <c r="R188" s="50"/>
      <c r="S188" s="50"/>
      <c r="T188" s="50"/>
      <c r="U188" s="50"/>
      <c r="V188" s="50"/>
      <c r="W188" s="50"/>
      <c r="X188" s="50"/>
      <c r="Y188" s="50"/>
      <c r="Z188" s="50"/>
    </row>
    <row r="189" spans="1:26" x14ac:dyDescent="0.3">
      <c r="A189" s="50"/>
      <c r="B189" s="50"/>
      <c r="C189" s="50"/>
      <c r="E189" s="50"/>
      <c r="F189" s="50"/>
      <c r="G189" s="50"/>
      <c r="H189" s="50"/>
      <c r="I189" s="50"/>
      <c r="J189" s="50"/>
      <c r="K189" s="50"/>
      <c r="L189" s="50"/>
      <c r="M189" s="50"/>
      <c r="N189" s="90"/>
      <c r="O189" s="50"/>
      <c r="P189" s="50"/>
      <c r="Q189" s="50"/>
      <c r="R189" s="50"/>
      <c r="S189" s="50"/>
      <c r="T189" s="50"/>
      <c r="U189" s="50"/>
      <c r="V189" s="50"/>
      <c r="W189" s="50"/>
      <c r="X189" s="50"/>
      <c r="Y189" s="50"/>
      <c r="Z189" s="50"/>
    </row>
    <row r="190" spans="1:26" x14ac:dyDescent="0.3">
      <c r="A190" s="50"/>
      <c r="B190" s="50"/>
      <c r="C190" s="50"/>
      <c r="E190" s="50"/>
      <c r="F190" s="50"/>
      <c r="G190" s="50"/>
      <c r="H190" s="50"/>
      <c r="I190" s="50"/>
      <c r="J190" s="50"/>
      <c r="K190" s="50"/>
      <c r="L190" s="50"/>
      <c r="M190" s="50"/>
      <c r="N190" s="90"/>
      <c r="O190" s="50"/>
      <c r="P190" s="50"/>
      <c r="Q190" s="50"/>
      <c r="R190" s="50"/>
      <c r="S190" s="50"/>
      <c r="T190" s="50"/>
      <c r="U190" s="50"/>
      <c r="V190" s="50"/>
      <c r="W190" s="50"/>
      <c r="X190" s="50"/>
      <c r="Y190" s="50"/>
      <c r="Z190" s="50"/>
    </row>
    <row r="191" spans="1:26" x14ac:dyDescent="0.3">
      <c r="A191" s="50"/>
      <c r="B191" s="50"/>
      <c r="C191" s="50"/>
      <c r="E191" s="50"/>
      <c r="F191" s="50"/>
      <c r="G191" s="50"/>
      <c r="H191" s="50"/>
      <c r="I191" s="50"/>
      <c r="J191" s="50"/>
      <c r="K191" s="50"/>
      <c r="L191" s="50"/>
      <c r="M191" s="50"/>
      <c r="N191" s="90"/>
      <c r="O191" s="50"/>
      <c r="P191" s="50"/>
      <c r="Q191" s="50"/>
      <c r="R191" s="50"/>
      <c r="S191" s="50"/>
      <c r="T191" s="50"/>
      <c r="U191" s="50"/>
      <c r="V191" s="50"/>
      <c r="W191" s="50"/>
      <c r="X191" s="50"/>
      <c r="Y191" s="50"/>
      <c r="Z191" s="50"/>
    </row>
    <row r="192" spans="1:26" x14ac:dyDescent="0.3">
      <c r="A192" s="50"/>
      <c r="B192" s="50"/>
      <c r="C192" s="50"/>
      <c r="E192" s="50"/>
      <c r="F192" s="50"/>
      <c r="G192" s="50"/>
      <c r="H192" s="50"/>
      <c r="I192" s="50"/>
      <c r="J192" s="50"/>
      <c r="K192" s="50"/>
      <c r="L192" s="50"/>
      <c r="M192" s="50"/>
      <c r="N192" s="90"/>
      <c r="O192" s="50"/>
      <c r="P192" s="50"/>
      <c r="Q192" s="50"/>
      <c r="R192" s="50"/>
      <c r="S192" s="50"/>
      <c r="T192" s="50"/>
      <c r="U192" s="50"/>
      <c r="V192" s="50"/>
      <c r="W192" s="50"/>
      <c r="X192" s="50"/>
      <c r="Y192" s="50"/>
      <c r="Z192" s="50"/>
    </row>
    <row r="193" spans="1:26" x14ac:dyDescent="0.3">
      <c r="A193" s="50"/>
      <c r="B193" s="50"/>
      <c r="C193" s="50"/>
      <c r="E193" s="50"/>
      <c r="F193" s="50"/>
      <c r="G193" s="50"/>
      <c r="H193" s="50"/>
      <c r="I193" s="50"/>
      <c r="J193" s="50"/>
      <c r="K193" s="50"/>
      <c r="L193" s="50"/>
      <c r="M193" s="50"/>
      <c r="N193" s="90"/>
      <c r="O193" s="50"/>
      <c r="P193" s="50"/>
      <c r="Q193" s="50"/>
      <c r="R193" s="50"/>
      <c r="S193" s="50"/>
      <c r="T193" s="50"/>
      <c r="U193" s="50"/>
      <c r="V193" s="50"/>
      <c r="W193" s="50"/>
      <c r="X193" s="50"/>
      <c r="Y193" s="50"/>
      <c r="Z193" s="50"/>
    </row>
    <row r="194" spans="1:26" x14ac:dyDescent="0.3">
      <c r="A194" s="50"/>
      <c r="B194" s="50"/>
      <c r="C194" s="50"/>
      <c r="E194" s="50"/>
      <c r="F194" s="50"/>
      <c r="G194" s="50"/>
      <c r="H194" s="50"/>
      <c r="I194" s="50"/>
      <c r="J194" s="50"/>
      <c r="K194" s="50"/>
      <c r="L194" s="50"/>
      <c r="M194" s="50"/>
      <c r="N194" s="90"/>
      <c r="O194" s="50"/>
      <c r="P194" s="50"/>
      <c r="Q194" s="50"/>
      <c r="R194" s="50"/>
      <c r="S194" s="50"/>
      <c r="T194" s="50"/>
      <c r="U194" s="50"/>
      <c r="V194" s="50"/>
      <c r="W194" s="50"/>
      <c r="X194" s="50"/>
      <c r="Y194" s="50"/>
      <c r="Z194" s="50"/>
    </row>
    <row r="195" spans="1:26" x14ac:dyDescent="0.3">
      <c r="A195" s="50"/>
      <c r="B195" s="50"/>
      <c r="C195" s="50"/>
      <c r="E195" s="50"/>
      <c r="F195" s="50"/>
      <c r="G195" s="50"/>
      <c r="H195" s="50"/>
      <c r="I195" s="50"/>
      <c r="J195" s="50"/>
      <c r="K195" s="50"/>
      <c r="L195" s="50"/>
      <c r="M195" s="50"/>
      <c r="N195" s="90"/>
      <c r="O195" s="50"/>
      <c r="P195" s="50"/>
      <c r="Q195" s="50"/>
      <c r="R195" s="50"/>
      <c r="S195" s="50"/>
      <c r="T195" s="50"/>
      <c r="U195" s="50"/>
      <c r="V195" s="50"/>
      <c r="W195" s="50"/>
      <c r="X195" s="50"/>
      <c r="Y195" s="50"/>
      <c r="Z195" s="50"/>
    </row>
    <row r="196" spans="1:26" x14ac:dyDescent="0.3">
      <c r="A196" s="50"/>
      <c r="B196" s="50"/>
      <c r="C196" s="50"/>
      <c r="E196" s="50"/>
      <c r="F196" s="50"/>
      <c r="G196" s="50"/>
      <c r="H196" s="50"/>
      <c r="I196" s="50"/>
      <c r="J196" s="50"/>
      <c r="K196" s="50"/>
      <c r="L196" s="50"/>
      <c r="M196" s="50"/>
      <c r="N196" s="90"/>
      <c r="O196" s="50"/>
      <c r="P196" s="50"/>
      <c r="Q196" s="50"/>
      <c r="R196" s="50"/>
      <c r="S196" s="50"/>
      <c r="T196" s="50"/>
      <c r="U196" s="50"/>
      <c r="V196" s="50"/>
      <c r="W196" s="50"/>
      <c r="X196" s="50"/>
      <c r="Y196" s="50"/>
      <c r="Z196" s="50"/>
    </row>
    <row r="197" spans="1:26" x14ac:dyDescent="0.3">
      <c r="A197" s="50"/>
      <c r="B197" s="50"/>
      <c r="C197" s="50"/>
      <c r="E197" s="50"/>
      <c r="F197" s="50"/>
      <c r="G197" s="50"/>
      <c r="H197" s="50"/>
      <c r="I197" s="50"/>
      <c r="J197" s="50"/>
      <c r="K197" s="50"/>
      <c r="L197" s="50"/>
      <c r="M197" s="50"/>
      <c r="N197" s="90"/>
      <c r="O197" s="50"/>
      <c r="P197" s="50"/>
      <c r="Q197" s="50"/>
      <c r="R197" s="50"/>
      <c r="S197" s="50"/>
      <c r="T197" s="50"/>
      <c r="U197" s="50"/>
      <c r="V197" s="50"/>
      <c r="W197" s="50"/>
      <c r="X197" s="50"/>
      <c r="Y197" s="50"/>
      <c r="Z197" s="50"/>
    </row>
    <row r="198" spans="1:26" x14ac:dyDescent="0.3">
      <c r="A198" s="50"/>
      <c r="B198" s="50"/>
      <c r="C198" s="50"/>
      <c r="E198" s="50"/>
      <c r="F198" s="50"/>
      <c r="G198" s="50"/>
      <c r="H198" s="50"/>
      <c r="I198" s="50"/>
      <c r="J198" s="50"/>
      <c r="K198" s="50"/>
      <c r="L198" s="50"/>
      <c r="M198" s="50"/>
      <c r="N198" s="90"/>
      <c r="O198" s="50"/>
      <c r="P198" s="50"/>
      <c r="Q198" s="50"/>
      <c r="R198" s="50"/>
      <c r="S198" s="50"/>
      <c r="T198" s="50"/>
      <c r="U198" s="50"/>
      <c r="V198" s="50"/>
      <c r="W198" s="50"/>
      <c r="X198" s="50"/>
      <c r="Y198" s="50"/>
      <c r="Z198" s="50"/>
    </row>
    <row r="199" spans="1:26" x14ac:dyDescent="0.3">
      <c r="A199" s="50"/>
      <c r="B199" s="50"/>
      <c r="C199" s="50"/>
      <c r="E199" s="50"/>
      <c r="F199" s="50"/>
      <c r="G199" s="50"/>
      <c r="H199" s="50"/>
      <c r="I199" s="50"/>
      <c r="J199" s="50"/>
      <c r="K199" s="50"/>
      <c r="L199" s="50"/>
      <c r="M199" s="50"/>
      <c r="N199" s="90"/>
      <c r="O199" s="50"/>
      <c r="P199" s="50"/>
      <c r="Q199" s="50"/>
      <c r="R199" s="50"/>
      <c r="S199" s="50"/>
      <c r="T199" s="50"/>
      <c r="U199" s="50"/>
      <c r="V199" s="50"/>
      <c r="W199" s="50"/>
      <c r="X199" s="50"/>
      <c r="Y199" s="50"/>
      <c r="Z199" s="50"/>
    </row>
    <row r="200" spans="1:26" x14ac:dyDescent="0.3">
      <c r="A200" s="50"/>
      <c r="B200" s="50"/>
      <c r="C200" s="50"/>
      <c r="E200" s="50"/>
      <c r="F200" s="50"/>
      <c r="G200" s="50"/>
      <c r="H200" s="50"/>
      <c r="I200" s="50"/>
      <c r="J200" s="50"/>
      <c r="K200" s="50"/>
      <c r="L200" s="50"/>
      <c r="M200" s="50"/>
      <c r="N200" s="90"/>
      <c r="O200" s="50"/>
      <c r="P200" s="50"/>
      <c r="Q200" s="50"/>
      <c r="R200" s="50"/>
      <c r="S200" s="50"/>
      <c r="T200" s="50"/>
      <c r="U200" s="50"/>
      <c r="V200" s="50"/>
      <c r="W200" s="50"/>
      <c r="X200" s="50"/>
      <c r="Y200" s="50"/>
      <c r="Z200" s="50"/>
    </row>
    <row r="201" spans="1:26" x14ac:dyDescent="0.3">
      <c r="A201" s="50"/>
      <c r="B201" s="50"/>
      <c r="C201" s="50"/>
      <c r="E201" s="50"/>
      <c r="F201" s="50"/>
      <c r="G201" s="50"/>
      <c r="H201" s="50"/>
      <c r="I201" s="50"/>
      <c r="J201" s="50"/>
      <c r="K201" s="50"/>
      <c r="L201" s="50"/>
      <c r="M201" s="50"/>
      <c r="N201" s="90"/>
      <c r="O201" s="50"/>
      <c r="P201" s="50"/>
      <c r="Q201" s="50"/>
      <c r="R201" s="50"/>
      <c r="S201" s="50"/>
      <c r="T201" s="50"/>
      <c r="U201" s="50"/>
      <c r="V201" s="50"/>
      <c r="W201" s="50"/>
      <c r="X201" s="50"/>
      <c r="Y201" s="50"/>
      <c r="Z201" s="50"/>
    </row>
    <row r="202" spans="1:26" x14ac:dyDescent="0.3">
      <c r="A202" s="50"/>
      <c r="B202" s="50"/>
      <c r="C202" s="50"/>
      <c r="E202" s="50"/>
      <c r="F202" s="50"/>
      <c r="G202" s="50"/>
      <c r="H202" s="50"/>
      <c r="I202" s="50"/>
      <c r="J202" s="50"/>
      <c r="K202" s="50"/>
      <c r="L202" s="50"/>
      <c r="M202" s="50"/>
      <c r="N202" s="90"/>
      <c r="O202" s="50"/>
      <c r="P202" s="50"/>
      <c r="Q202" s="50"/>
      <c r="R202" s="50"/>
      <c r="S202" s="50"/>
      <c r="T202" s="50"/>
      <c r="U202" s="50"/>
      <c r="V202" s="50"/>
      <c r="W202" s="50"/>
      <c r="X202" s="50"/>
      <c r="Y202" s="50"/>
      <c r="Z202" s="50"/>
    </row>
    <row r="203" spans="1:26" x14ac:dyDescent="0.3">
      <c r="A203" s="50"/>
      <c r="B203" s="50"/>
      <c r="C203" s="50"/>
      <c r="E203" s="50"/>
      <c r="F203" s="50"/>
      <c r="G203" s="50"/>
      <c r="H203" s="50"/>
      <c r="I203" s="50"/>
      <c r="J203" s="50"/>
      <c r="K203" s="50"/>
      <c r="L203" s="50"/>
      <c r="M203" s="50"/>
      <c r="N203" s="90"/>
      <c r="O203" s="50"/>
      <c r="P203" s="50"/>
      <c r="Q203" s="50"/>
      <c r="R203" s="50"/>
      <c r="S203" s="50"/>
      <c r="T203" s="50"/>
      <c r="U203" s="50"/>
      <c r="V203" s="50"/>
      <c r="W203" s="50"/>
      <c r="X203" s="50"/>
      <c r="Y203" s="50"/>
      <c r="Z203" s="50"/>
    </row>
    <row r="204" spans="1:26" x14ac:dyDescent="0.3">
      <c r="A204" s="50"/>
      <c r="B204" s="50"/>
      <c r="C204" s="50"/>
      <c r="E204" s="50"/>
      <c r="F204" s="50"/>
      <c r="G204" s="50"/>
      <c r="H204" s="50"/>
      <c r="I204" s="50"/>
      <c r="J204" s="50"/>
      <c r="K204" s="50"/>
      <c r="L204" s="50"/>
      <c r="M204" s="50"/>
      <c r="N204" s="90"/>
      <c r="O204" s="50"/>
      <c r="P204" s="50"/>
      <c r="Q204" s="50"/>
      <c r="R204" s="50"/>
      <c r="S204" s="50"/>
      <c r="T204" s="50"/>
      <c r="U204" s="50"/>
      <c r="V204" s="50"/>
      <c r="W204" s="50"/>
      <c r="X204" s="50"/>
      <c r="Y204" s="50"/>
      <c r="Z204" s="50"/>
    </row>
    <row r="205" spans="1:26" x14ac:dyDescent="0.3">
      <c r="A205" s="50"/>
      <c r="B205" s="50"/>
      <c r="C205" s="50"/>
      <c r="E205" s="50"/>
      <c r="F205" s="50"/>
      <c r="G205" s="50"/>
      <c r="H205" s="50"/>
      <c r="I205" s="50"/>
      <c r="J205" s="50"/>
      <c r="K205" s="50"/>
      <c r="L205" s="50"/>
      <c r="M205" s="50"/>
      <c r="N205" s="90"/>
      <c r="O205" s="50"/>
      <c r="P205" s="50"/>
      <c r="Q205" s="50"/>
      <c r="R205" s="50"/>
      <c r="S205" s="50"/>
      <c r="T205" s="50"/>
      <c r="U205" s="50"/>
      <c r="V205" s="50"/>
      <c r="W205" s="50"/>
      <c r="X205" s="50"/>
      <c r="Y205" s="50"/>
      <c r="Z205" s="50"/>
    </row>
    <row r="206" spans="1:26" x14ac:dyDescent="0.3">
      <c r="A206" s="50"/>
      <c r="B206" s="50"/>
      <c r="C206" s="50"/>
      <c r="E206" s="50"/>
      <c r="F206" s="50"/>
      <c r="G206" s="50"/>
      <c r="H206" s="50"/>
      <c r="I206" s="50"/>
      <c r="J206" s="50"/>
      <c r="K206" s="50"/>
      <c r="L206" s="50"/>
      <c r="M206" s="50"/>
      <c r="N206" s="90"/>
      <c r="O206" s="50"/>
      <c r="P206" s="50"/>
      <c r="Q206" s="50"/>
      <c r="R206" s="50"/>
      <c r="S206" s="50"/>
      <c r="T206" s="50"/>
      <c r="U206" s="50"/>
      <c r="V206" s="50"/>
      <c r="W206" s="50"/>
      <c r="X206" s="50"/>
      <c r="Y206" s="50"/>
      <c r="Z206" s="50"/>
    </row>
    <row r="207" spans="1:26" x14ac:dyDescent="0.3">
      <c r="A207" s="50"/>
      <c r="B207" s="50"/>
      <c r="C207" s="50"/>
      <c r="E207" s="50"/>
      <c r="F207" s="50"/>
      <c r="G207" s="50"/>
      <c r="H207" s="50"/>
      <c r="I207" s="50"/>
      <c r="J207" s="50"/>
      <c r="K207" s="50"/>
      <c r="L207" s="50"/>
      <c r="M207" s="50"/>
      <c r="N207" s="90"/>
      <c r="O207" s="50"/>
      <c r="P207" s="50"/>
      <c r="Q207" s="50"/>
      <c r="R207" s="50"/>
      <c r="S207" s="50"/>
      <c r="T207" s="50"/>
      <c r="U207" s="50"/>
      <c r="V207" s="50"/>
      <c r="W207" s="50"/>
      <c r="X207" s="50"/>
      <c r="Y207" s="50"/>
      <c r="Z207" s="50"/>
    </row>
    <row r="208" spans="1:26" x14ac:dyDescent="0.3">
      <c r="A208" s="50"/>
      <c r="B208" s="50"/>
      <c r="C208" s="50"/>
      <c r="E208" s="50"/>
      <c r="F208" s="50"/>
      <c r="G208" s="50"/>
      <c r="H208" s="50"/>
      <c r="I208" s="50"/>
      <c r="J208" s="50"/>
      <c r="K208" s="50"/>
      <c r="L208" s="50"/>
      <c r="M208" s="50"/>
      <c r="N208" s="90"/>
      <c r="O208" s="50"/>
      <c r="P208" s="50"/>
      <c r="Q208" s="50"/>
      <c r="R208" s="50"/>
      <c r="S208" s="50"/>
      <c r="T208" s="50"/>
      <c r="U208" s="50"/>
      <c r="V208" s="50"/>
      <c r="W208" s="50"/>
      <c r="X208" s="50"/>
      <c r="Y208" s="50"/>
      <c r="Z208" s="50"/>
    </row>
    <row r="209" spans="1:26" x14ac:dyDescent="0.3">
      <c r="A209" s="50"/>
      <c r="B209" s="50"/>
      <c r="C209" s="50"/>
      <c r="E209" s="50"/>
      <c r="F209" s="50"/>
      <c r="G209" s="50"/>
      <c r="H209" s="50"/>
      <c r="I209" s="50"/>
      <c r="J209" s="50"/>
      <c r="K209" s="50"/>
      <c r="L209" s="50"/>
      <c r="M209" s="50"/>
      <c r="N209" s="90"/>
      <c r="O209" s="50"/>
      <c r="P209" s="50"/>
      <c r="Q209" s="50"/>
      <c r="R209" s="50"/>
      <c r="S209" s="50"/>
      <c r="T209" s="50"/>
      <c r="U209" s="50"/>
      <c r="V209" s="50"/>
      <c r="W209" s="50"/>
      <c r="X209" s="50"/>
      <c r="Y209" s="50"/>
      <c r="Z209" s="50"/>
    </row>
    <row r="210" spans="1:26" x14ac:dyDescent="0.3">
      <c r="A210" s="50"/>
      <c r="B210" s="50"/>
      <c r="C210" s="50"/>
      <c r="E210" s="50"/>
      <c r="F210" s="50"/>
      <c r="G210" s="50"/>
      <c r="H210" s="50"/>
      <c r="I210" s="50"/>
      <c r="J210" s="50"/>
      <c r="K210" s="50"/>
      <c r="L210" s="50"/>
      <c r="M210" s="50"/>
      <c r="N210" s="90"/>
      <c r="O210" s="50"/>
      <c r="P210" s="50"/>
      <c r="Q210" s="50"/>
      <c r="R210" s="50"/>
      <c r="S210" s="50"/>
      <c r="T210" s="50"/>
      <c r="U210" s="50"/>
      <c r="V210" s="50"/>
      <c r="W210" s="50"/>
      <c r="X210" s="50"/>
      <c r="Y210" s="50"/>
      <c r="Z210" s="50"/>
    </row>
    <row r="211" spans="1:26" x14ac:dyDescent="0.3">
      <c r="A211" s="50"/>
      <c r="B211" s="50"/>
      <c r="C211" s="50"/>
      <c r="E211" s="50"/>
      <c r="F211" s="50"/>
      <c r="G211" s="50"/>
      <c r="H211" s="50"/>
      <c r="I211" s="50"/>
      <c r="J211" s="50"/>
      <c r="K211" s="50"/>
      <c r="L211" s="50"/>
      <c r="M211" s="50"/>
      <c r="N211" s="90"/>
      <c r="O211" s="50"/>
      <c r="P211" s="50"/>
      <c r="Q211" s="50"/>
      <c r="R211" s="50"/>
      <c r="S211" s="50"/>
      <c r="T211" s="50"/>
      <c r="U211" s="50"/>
      <c r="V211" s="50"/>
      <c r="W211" s="50"/>
      <c r="X211" s="50"/>
      <c r="Y211" s="50"/>
      <c r="Z211" s="50"/>
    </row>
    <row r="212" spans="1:26" x14ac:dyDescent="0.3">
      <c r="A212" s="50"/>
      <c r="B212" s="50"/>
      <c r="C212" s="50"/>
      <c r="E212" s="50"/>
      <c r="F212" s="50"/>
      <c r="G212" s="50"/>
      <c r="H212" s="50"/>
      <c r="I212" s="50"/>
      <c r="J212" s="50"/>
      <c r="K212" s="50"/>
      <c r="L212" s="50"/>
      <c r="M212" s="50"/>
      <c r="N212" s="90"/>
      <c r="O212" s="50"/>
      <c r="P212" s="50"/>
      <c r="Q212" s="50"/>
      <c r="R212" s="50"/>
      <c r="S212" s="50"/>
      <c r="T212" s="50"/>
      <c r="U212" s="50"/>
      <c r="V212" s="50"/>
      <c r="W212" s="50"/>
      <c r="X212" s="50"/>
      <c r="Y212" s="50"/>
      <c r="Z212" s="50"/>
    </row>
    <row r="213" spans="1:26" x14ac:dyDescent="0.3">
      <c r="A213" s="50"/>
      <c r="B213" s="50"/>
      <c r="C213" s="50"/>
      <c r="E213" s="50"/>
      <c r="F213" s="50"/>
      <c r="G213" s="50"/>
      <c r="H213" s="50"/>
      <c r="I213" s="50"/>
      <c r="J213" s="50"/>
      <c r="K213" s="50"/>
      <c r="L213" s="50"/>
      <c r="M213" s="50"/>
      <c r="N213" s="90"/>
      <c r="O213" s="50"/>
      <c r="P213" s="50"/>
      <c r="Q213" s="50"/>
      <c r="R213" s="50"/>
      <c r="S213" s="50"/>
      <c r="T213" s="50"/>
      <c r="U213" s="50"/>
      <c r="V213" s="50"/>
      <c r="W213" s="50"/>
      <c r="X213" s="50"/>
      <c r="Y213" s="50"/>
      <c r="Z213" s="50"/>
    </row>
    <row r="214" spans="1:26" x14ac:dyDescent="0.3">
      <c r="A214" s="50"/>
      <c r="B214" s="50"/>
      <c r="C214" s="50"/>
      <c r="E214" s="50"/>
      <c r="F214" s="50"/>
      <c r="G214" s="50"/>
      <c r="H214" s="50"/>
      <c r="I214" s="50"/>
      <c r="J214" s="50"/>
      <c r="K214" s="50"/>
      <c r="L214" s="50"/>
      <c r="M214" s="50"/>
      <c r="N214" s="90"/>
      <c r="O214" s="50"/>
      <c r="P214" s="50"/>
      <c r="Q214" s="50"/>
      <c r="R214" s="50"/>
      <c r="S214" s="50"/>
      <c r="T214" s="50"/>
      <c r="U214" s="50"/>
      <c r="V214" s="50"/>
      <c r="W214" s="50"/>
      <c r="X214" s="50"/>
      <c r="Y214" s="50"/>
      <c r="Z214" s="50"/>
    </row>
    <row r="215" spans="1:26" x14ac:dyDescent="0.3">
      <c r="A215" s="50"/>
      <c r="B215" s="50"/>
      <c r="C215" s="50"/>
      <c r="E215" s="50"/>
      <c r="F215" s="50"/>
      <c r="G215" s="50"/>
      <c r="H215" s="50"/>
      <c r="I215" s="50"/>
      <c r="J215" s="50"/>
      <c r="K215" s="50"/>
      <c r="L215" s="50"/>
      <c r="M215" s="50"/>
      <c r="N215" s="90"/>
      <c r="O215" s="50"/>
      <c r="P215" s="50"/>
      <c r="Q215" s="50"/>
      <c r="R215" s="50"/>
      <c r="S215" s="50"/>
      <c r="T215" s="50"/>
      <c r="U215" s="50"/>
      <c r="V215" s="50"/>
      <c r="W215" s="50"/>
      <c r="X215" s="50"/>
      <c r="Y215" s="50"/>
      <c r="Z215" s="50"/>
    </row>
    <row r="216" spans="1:26" x14ac:dyDescent="0.3">
      <c r="A216" s="50"/>
      <c r="B216" s="50"/>
      <c r="C216" s="50"/>
      <c r="E216" s="50"/>
      <c r="F216" s="50"/>
      <c r="G216" s="50"/>
      <c r="H216" s="50"/>
      <c r="I216" s="50"/>
      <c r="J216" s="50"/>
      <c r="K216" s="50"/>
      <c r="L216" s="50"/>
      <c r="M216" s="50"/>
      <c r="N216" s="90"/>
      <c r="O216" s="50"/>
      <c r="P216" s="50"/>
      <c r="Q216" s="50"/>
      <c r="R216" s="50"/>
      <c r="S216" s="50"/>
      <c r="T216" s="50"/>
      <c r="U216" s="50"/>
      <c r="V216" s="50"/>
      <c r="W216" s="50"/>
      <c r="X216" s="50"/>
      <c r="Y216" s="50"/>
      <c r="Z216" s="50"/>
    </row>
    <row r="217" spans="1:26" x14ac:dyDescent="0.3">
      <c r="A217" s="50"/>
      <c r="B217" s="50"/>
      <c r="C217" s="50"/>
      <c r="E217" s="50"/>
      <c r="F217" s="50"/>
      <c r="G217" s="50"/>
      <c r="H217" s="50"/>
      <c r="I217" s="50"/>
      <c r="J217" s="50"/>
      <c r="K217" s="50"/>
      <c r="L217" s="50"/>
      <c r="M217" s="50"/>
      <c r="N217" s="90"/>
      <c r="O217" s="50"/>
      <c r="P217" s="50"/>
      <c r="Q217" s="50"/>
      <c r="R217" s="50"/>
      <c r="S217" s="50"/>
      <c r="T217" s="50"/>
      <c r="U217" s="50"/>
      <c r="V217" s="50"/>
      <c r="W217" s="50"/>
      <c r="X217" s="50"/>
      <c r="Y217" s="50"/>
      <c r="Z217" s="50"/>
    </row>
    <row r="218" spans="1:26" x14ac:dyDescent="0.3">
      <c r="A218" s="50"/>
      <c r="B218" s="50"/>
      <c r="C218" s="50"/>
      <c r="E218" s="50"/>
      <c r="F218" s="50"/>
      <c r="G218" s="50"/>
      <c r="H218" s="50"/>
      <c r="I218" s="50"/>
      <c r="J218" s="50"/>
      <c r="K218" s="50"/>
      <c r="L218" s="50"/>
      <c r="M218" s="50"/>
      <c r="N218" s="90"/>
      <c r="O218" s="50"/>
      <c r="P218" s="50"/>
      <c r="Q218" s="50"/>
      <c r="R218" s="50"/>
      <c r="S218" s="50"/>
      <c r="T218" s="50"/>
      <c r="U218" s="50"/>
      <c r="V218" s="50"/>
      <c r="W218" s="50"/>
      <c r="X218" s="50"/>
      <c r="Y218" s="50"/>
      <c r="Z218" s="50"/>
    </row>
    <row r="219" spans="1:26" x14ac:dyDescent="0.3">
      <c r="A219" s="50"/>
      <c r="B219" s="50"/>
      <c r="C219" s="50"/>
      <c r="E219" s="50"/>
      <c r="F219" s="50"/>
      <c r="G219" s="50"/>
      <c r="H219" s="50"/>
      <c r="I219" s="50"/>
      <c r="J219" s="50"/>
      <c r="K219" s="50"/>
      <c r="L219" s="50"/>
      <c r="M219" s="50"/>
      <c r="N219" s="90"/>
      <c r="O219" s="50"/>
      <c r="P219" s="50"/>
      <c r="Q219" s="50"/>
      <c r="R219" s="50"/>
      <c r="S219" s="50"/>
      <c r="T219" s="50"/>
      <c r="U219" s="50"/>
      <c r="V219" s="50"/>
      <c r="W219" s="50"/>
      <c r="X219" s="50"/>
      <c r="Y219" s="50"/>
      <c r="Z219" s="50"/>
    </row>
    <row r="220" spans="1:26" x14ac:dyDescent="0.3">
      <c r="A220" s="50"/>
      <c r="B220" s="50"/>
      <c r="C220" s="50"/>
      <c r="E220" s="50"/>
      <c r="F220" s="50"/>
      <c r="G220" s="50"/>
      <c r="H220" s="50"/>
      <c r="I220" s="50"/>
      <c r="J220" s="50"/>
      <c r="K220" s="50"/>
      <c r="L220" s="50"/>
      <c r="M220" s="50"/>
      <c r="N220" s="90"/>
      <c r="O220" s="50"/>
      <c r="P220" s="50"/>
      <c r="Q220" s="50"/>
      <c r="R220" s="50"/>
      <c r="S220" s="50"/>
      <c r="T220" s="50"/>
      <c r="U220" s="50"/>
      <c r="V220" s="50"/>
      <c r="W220" s="50"/>
      <c r="X220" s="50"/>
      <c r="Y220" s="50"/>
      <c r="Z220" s="50"/>
    </row>
    <row r="221" spans="1:26" x14ac:dyDescent="0.3">
      <c r="A221" s="50"/>
      <c r="B221" s="50"/>
      <c r="C221" s="50"/>
      <c r="E221" s="50"/>
      <c r="F221" s="50"/>
      <c r="G221" s="50"/>
      <c r="H221" s="50"/>
      <c r="I221" s="50"/>
      <c r="J221" s="50"/>
      <c r="K221" s="50"/>
      <c r="L221" s="50"/>
      <c r="M221" s="50"/>
      <c r="N221" s="90"/>
      <c r="O221" s="50"/>
      <c r="P221" s="50"/>
      <c r="Q221" s="50"/>
      <c r="R221" s="50"/>
      <c r="S221" s="50"/>
      <c r="T221" s="50"/>
      <c r="U221" s="50"/>
      <c r="V221" s="50"/>
      <c r="W221" s="50"/>
      <c r="X221" s="50"/>
      <c r="Y221" s="50"/>
      <c r="Z221" s="50"/>
    </row>
    <row r="222" spans="1:26" x14ac:dyDescent="0.3">
      <c r="A222" s="50"/>
      <c r="B222" s="50"/>
      <c r="C222" s="50"/>
      <c r="E222" s="50"/>
      <c r="F222" s="50"/>
      <c r="G222" s="50"/>
      <c r="H222" s="50"/>
      <c r="I222" s="50"/>
      <c r="J222" s="50"/>
      <c r="K222" s="50"/>
      <c r="L222" s="50"/>
      <c r="M222" s="50"/>
      <c r="N222" s="90"/>
      <c r="O222" s="50"/>
      <c r="P222" s="50"/>
      <c r="Q222" s="50"/>
      <c r="R222" s="50"/>
      <c r="S222" s="50"/>
      <c r="T222" s="50"/>
      <c r="U222" s="50"/>
      <c r="V222" s="50"/>
      <c r="W222" s="50"/>
      <c r="X222" s="50"/>
      <c r="Y222" s="50"/>
      <c r="Z222" s="50"/>
    </row>
    <row r="223" spans="1:26" x14ac:dyDescent="0.3">
      <c r="A223" s="50"/>
      <c r="B223" s="50"/>
      <c r="C223" s="50"/>
      <c r="E223" s="50"/>
      <c r="F223" s="50"/>
      <c r="G223" s="50"/>
      <c r="H223" s="50"/>
      <c r="I223" s="50"/>
      <c r="J223" s="50"/>
      <c r="K223" s="50"/>
      <c r="L223" s="50"/>
      <c r="M223" s="50"/>
      <c r="N223" s="90"/>
      <c r="O223" s="50"/>
      <c r="P223" s="50"/>
      <c r="Q223" s="50"/>
      <c r="R223" s="50"/>
      <c r="S223" s="50"/>
      <c r="T223" s="50"/>
      <c r="U223" s="50"/>
      <c r="V223" s="50"/>
      <c r="W223" s="50"/>
      <c r="X223" s="50"/>
      <c r="Y223" s="50"/>
      <c r="Z223" s="50"/>
    </row>
    <row r="224" spans="1:26" x14ac:dyDescent="0.3">
      <c r="A224" s="50"/>
      <c r="B224" s="50"/>
      <c r="C224" s="50"/>
      <c r="E224" s="50"/>
      <c r="F224" s="50"/>
      <c r="G224" s="50"/>
      <c r="H224" s="50"/>
      <c r="I224" s="50"/>
      <c r="J224" s="50"/>
      <c r="K224" s="50"/>
      <c r="L224" s="50"/>
      <c r="M224" s="50"/>
      <c r="N224" s="90"/>
      <c r="O224" s="50"/>
      <c r="P224" s="50"/>
      <c r="Q224" s="50"/>
      <c r="R224" s="50"/>
      <c r="S224" s="50"/>
      <c r="T224" s="50"/>
      <c r="U224" s="50"/>
      <c r="V224" s="50"/>
      <c r="W224" s="50"/>
      <c r="X224" s="50"/>
      <c r="Y224" s="50"/>
      <c r="Z224" s="50"/>
    </row>
    <row r="225" spans="1:26" x14ac:dyDescent="0.3">
      <c r="A225" s="50"/>
      <c r="B225" s="50"/>
      <c r="C225" s="50"/>
      <c r="E225" s="50"/>
      <c r="F225" s="50"/>
      <c r="G225" s="50"/>
      <c r="H225" s="50"/>
      <c r="I225" s="50"/>
      <c r="J225" s="50"/>
      <c r="K225" s="50"/>
      <c r="L225" s="50"/>
      <c r="M225" s="50"/>
      <c r="N225" s="90"/>
      <c r="O225" s="50"/>
      <c r="P225" s="50"/>
      <c r="Q225" s="50"/>
      <c r="R225" s="50"/>
      <c r="S225" s="50"/>
      <c r="T225" s="50"/>
      <c r="U225" s="50"/>
      <c r="V225" s="50"/>
      <c r="W225" s="50"/>
      <c r="X225" s="50"/>
      <c r="Y225" s="50"/>
      <c r="Z225" s="50"/>
    </row>
    <row r="226" spans="1:26" x14ac:dyDescent="0.3">
      <c r="A226" s="50"/>
      <c r="B226" s="50"/>
      <c r="C226" s="50"/>
      <c r="E226" s="50"/>
      <c r="F226" s="50"/>
      <c r="G226" s="50"/>
      <c r="H226" s="50"/>
      <c r="I226" s="50"/>
      <c r="J226" s="50"/>
      <c r="K226" s="50"/>
      <c r="L226" s="50"/>
      <c r="M226" s="50"/>
      <c r="N226" s="90"/>
      <c r="O226" s="50"/>
      <c r="P226" s="50"/>
      <c r="Q226" s="50"/>
      <c r="R226" s="50"/>
      <c r="S226" s="50"/>
      <c r="T226" s="50"/>
      <c r="U226" s="50"/>
      <c r="V226" s="50"/>
      <c r="W226" s="50"/>
      <c r="X226" s="50"/>
      <c r="Y226" s="50"/>
      <c r="Z226" s="50"/>
    </row>
    <row r="227" spans="1:26" x14ac:dyDescent="0.3">
      <c r="A227" s="50"/>
      <c r="B227" s="50"/>
      <c r="C227" s="50"/>
      <c r="E227" s="50"/>
      <c r="F227" s="50"/>
      <c r="G227" s="50"/>
      <c r="H227" s="50"/>
      <c r="I227" s="50"/>
      <c r="J227" s="50"/>
      <c r="K227" s="50"/>
      <c r="L227" s="50"/>
      <c r="M227" s="50"/>
      <c r="N227" s="90"/>
      <c r="O227" s="50"/>
      <c r="P227" s="50"/>
      <c r="Q227" s="50"/>
      <c r="R227" s="50"/>
      <c r="S227" s="50"/>
      <c r="T227" s="50"/>
      <c r="U227" s="50"/>
      <c r="V227" s="50"/>
      <c r="W227" s="50"/>
      <c r="X227" s="50"/>
      <c r="Y227" s="50"/>
      <c r="Z227" s="50"/>
    </row>
    <row r="228" spans="1:26" x14ac:dyDescent="0.3">
      <c r="A228" s="50"/>
      <c r="B228" s="50"/>
      <c r="C228" s="50"/>
      <c r="E228" s="50"/>
      <c r="F228" s="50"/>
      <c r="G228" s="50"/>
      <c r="H228" s="50"/>
      <c r="I228" s="50"/>
      <c r="J228" s="50"/>
      <c r="K228" s="50"/>
      <c r="L228" s="50"/>
      <c r="M228" s="50"/>
      <c r="N228" s="90"/>
      <c r="O228" s="50"/>
      <c r="P228" s="50"/>
      <c r="Q228" s="50"/>
      <c r="R228" s="50"/>
      <c r="S228" s="50"/>
      <c r="T228" s="50"/>
      <c r="U228" s="50"/>
      <c r="V228" s="50"/>
      <c r="W228" s="50"/>
      <c r="X228" s="50"/>
      <c r="Y228" s="50"/>
      <c r="Z228" s="50"/>
    </row>
    <row r="229" spans="1:26" x14ac:dyDescent="0.3">
      <c r="A229" s="50"/>
      <c r="B229" s="50"/>
      <c r="C229" s="50"/>
      <c r="E229" s="50"/>
      <c r="F229" s="50"/>
      <c r="G229" s="50"/>
      <c r="H229" s="50"/>
      <c r="I229" s="50"/>
      <c r="J229" s="50"/>
      <c r="K229" s="50"/>
      <c r="L229" s="50"/>
      <c r="M229" s="50"/>
      <c r="N229" s="90"/>
      <c r="O229" s="50"/>
      <c r="P229" s="50"/>
      <c r="Q229" s="50"/>
      <c r="R229" s="50"/>
      <c r="S229" s="50"/>
      <c r="T229" s="50"/>
      <c r="U229" s="50"/>
      <c r="V229" s="50"/>
      <c r="W229" s="50"/>
      <c r="X229" s="50"/>
      <c r="Y229" s="50"/>
      <c r="Z229" s="50"/>
    </row>
    <row r="230" spans="1:26" x14ac:dyDescent="0.3">
      <c r="A230" s="50"/>
      <c r="B230" s="50"/>
      <c r="C230" s="50"/>
      <c r="E230" s="50"/>
      <c r="F230" s="50"/>
      <c r="G230" s="50"/>
      <c r="H230" s="50"/>
      <c r="I230" s="50"/>
      <c r="J230" s="50"/>
      <c r="K230" s="50"/>
      <c r="L230" s="50"/>
      <c r="M230" s="50"/>
      <c r="N230" s="90"/>
      <c r="O230" s="50"/>
      <c r="P230" s="50"/>
      <c r="Q230" s="50"/>
      <c r="R230" s="50"/>
      <c r="S230" s="50"/>
      <c r="T230" s="50"/>
      <c r="U230" s="50"/>
      <c r="V230" s="50"/>
      <c r="W230" s="50"/>
      <c r="X230" s="50"/>
      <c r="Y230" s="50"/>
      <c r="Z230" s="50"/>
    </row>
    <row r="231" spans="1:26" x14ac:dyDescent="0.3">
      <c r="A231" s="50"/>
      <c r="B231" s="50"/>
      <c r="C231" s="50"/>
      <c r="E231" s="50"/>
      <c r="F231" s="50"/>
      <c r="G231" s="50"/>
      <c r="H231" s="50"/>
      <c r="I231" s="50"/>
      <c r="J231" s="50"/>
      <c r="K231" s="50"/>
      <c r="L231" s="50"/>
      <c r="M231" s="50"/>
      <c r="N231" s="90"/>
      <c r="O231" s="50"/>
      <c r="P231" s="50"/>
      <c r="Q231" s="50"/>
      <c r="R231" s="50"/>
      <c r="S231" s="50"/>
      <c r="T231" s="50"/>
      <c r="U231" s="50"/>
      <c r="V231" s="50"/>
      <c r="W231" s="50"/>
      <c r="X231" s="50"/>
      <c r="Y231" s="50"/>
      <c r="Z231" s="50"/>
    </row>
    <row r="232" spans="1:26" x14ac:dyDescent="0.3">
      <c r="A232" s="50"/>
      <c r="B232" s="50"/>
      <c r="C232" s="50"/>
      <c r="E232" s="50"/>
      <c r="F232" s="50"/>
      <c r="G232" s="50"/>
      <c r="H232" s="50"/>
      <c r="I232" s="50"/>
      <c r="J232" s="50"/>
      <c r="K232" s="50"/>
      <c r="L232" s="50"/>
      <c r="M232" s="50"/>
      <c r="N232" s="90"/>
      <c r="O232" s="50"/>
      <c r="P232" s="50"/>
      <c r="Q232" s="50"/>
      <c r="R232" s="50"/>
      <c r="S232" s="50"/>
      <c r="T232" s="50"/>
      <c r="U232" s="50"/>
      <c r="V232" s="50"/>
      <c r="W232" s="50"/>
      <c r="X232" s="50"/>
      <c r="Y232" s="50"/>
      <c r="Z232" s="50"/>
    </row>
    <row r="233" spans="1:26" x14ac:dyDescent="0.3">
      <c r="A233" s="50"/>
      <c r="B233" s="50"/>
      <c r="C233" s="50"/>
      <c r="E233" s="50"/>
      <c r="F233" s="50"/>
      <c r="G233" s="50"/>
      <c r="H233" s="50"/>
      <c r="I233" s="50"/>
      <c r="J233" s="50"/>
      <c r="K233" s="50"/>
      <c r="L233" s="50"/>
      <c r="M233" s="50"/>
      <c r="N233" s="90"/>
      <c r="O233" s="50"/>
      <c r="P233" s="50"/>
      <c r="Q233" s="50"/>
      <c r="R233" s="50"/>
      <c r="S233" s="50"/>
      <c r="T233" s="50"/>
      <c r="U233" s="50"/>
      <c r="V233" s="50"/>
      <c r="W233" s="50"/>
      <c r="X233" s="50"/>
      <c r="Y233" s="50"/>
      <c r="Z233" s="50"/>
    </row>
    <row r="234" spans="1:26" x14ac:dyDescent="0.3">
      <c r="A234" s="50"/>
      <c r="B234" s="50"/>
      <c r="C234" s="50"/>
      <c r="E234" s="50"/>
      <c r="F234" s="50"/>
      <c r="G234" s="50"/>
      <c r="H234" s="50"/>
      <c r="I234" s="50"/>
      <c r="J234" s="50"/>
      <c r="K234" s="50"/>
      <c r="L234" s="50"/>
      <c r="M234" s="50"/>
      <c r="N234" s="90"/>
      <c r="O234" s="50"/>
      <c r="P234" s="50"/>
      <c r="Q234" s="50"/>
      <c r="R234" s="50"/>
      <c r="S234" s="50"/>
      <c r="T234" s="50"/>
      <c r="U234" s="50"/>
      <c r="V234" s="50"/>
      <c r="W234" s="50"/>
      <c r="X234" s="50"/>
      <c r="Y234" s="50"/>
      <c r="Z234" s="50"/>
    </row>
    <row r="235" spans="1:26" x14ac:dyDescent="0.3">
      <c r="A235" s="50"/>
      <c r="B235" s="50"/>
      <c r="C235" s="50"/>
      <c r="E235" s="50"/>
      <c r="F235" s="50"/>
      <c r="G235" s="50"/>
      <c r="H235" s="50"/>
      <c r="I235" s="50"/>
      <c r="J235" s="50"/>
      <c r="K235" s="50"/>
      <c r="L235" s="50"/>
      <c r="M235" s="50"/>
      <c r="N235" s="90"/>
      <c r="O235" s="50"/>
      <c r="P235" s="50"/>
      <c r="Q235" s="50"/>
      <c r="R235" s="50"/>
      <c r="S235" s="50"/>
      <c r="T235" s="50"/>
      <c r="U235" s="50"/>
      <c r="V235" s="50"/>
      <c r="W235" s="50"/>
      <c r="X235" s="50"/>
      <c r="Y235" s="50"/>
      <c r="Z235" s="50"/>
    </row>
    <row r="236" spans="1:26" x14ac:dyDescent="0.3">
      <c r="A236" s="50"/>
      <c r="B236" s="50"/>
      <c r="C236" s="50"/>
      <c r="E236" s="50"/>
      <c r="F236" s="50"/>
      <c r="G236" s="50"/>
      <c r="H236" s="50"/>
      <c r="I236" s="50"/>
      <c r="J236" s="50"/>
      <c r="K236" s="50"/>
      <c r="L236" s="50"/>
      <c r="M236" s="50"/>
      <c r="N236" s="90"/>
      <c r="O236" s="50"/>
      <c r="P236" s="50"/>
      <c r="Q236" s="50"/>
      <c r="R236" s="50"/>
      <c r="S236" s="50"/>
      <c r="T236" s="50"/>
      <c r="U236" s="50"/>
      <c r="V236" s="50"/>
      <c r="W236" s="50"/>
      <c r="X236" s="50"/>
      <c r="Y236" s="50"/>
      <c r="Z236" s="50"/>
    </row>
    <row r="237" spans="1:26" x14ac:dyDescent="0.3">
      <c r="A237" s="50"/>
      <c r="B237" s="50"/>
      <c r="C237" s="50"/>
      <c r="E237" s="50"/>
      <c r="F237" s="50"/>
      <c r="G237" s="50"/>
      <c r="H237" s="50"/>
      <c r="I237" s="50"/>
      <c r="J237" s="50"/>
      <c r="K237" s="50"/>
      <c r="L237" s="50"/>
      <c r="M237" s="50"/>
      <c r="N237" s="90"/>
      <c r="O237" s="50"/>
      <c r="P237" s="50"/>
      <c r="Q237" s="50"/>
      <c r="R237" s="50"/>
      <c r="S237" s="50"/>
      <c r="T237" s="50"/>
      <c r="U237" s="50"/>
      <c r="V237" s="50"/>
      <c r="W237" s="50"/>
      <c r="X237" s="50"/>
      <c r="Y237" s="50"/>
      <c r="Z237" s="50"/>
    </row>
    <row r="238" spans="1:26" x14ac:dyDescent="0.3">
      <c r="A238" s="50"/>
      <c r="B238" s="50"/>
      <c r="C238" s="50"/>
      <c r="E238" s="50"/>
      <c r="F238" s="50"/>
      <c r="G238" s="50"/>
      <c r="H238" s="50"/>
      <c r="I238" s="50"/>
      <c r="J238" s="50"/>
      <c r="K238" s="50"/>
      <c r="L238" s="50"/>
      <c r="M238" s="50"/>
      <c r="N238" s="90"/>
      <c r="O238" s="50"/>
      <c r="P238" s="50"/>
      <c r="Q238" s="50"/>
      <c r="R238" s="50"/>
      <c r="S238" s="50"/>
      <c r="T238" s="50"/>
      <c r="U238" s="50"/>
      <c r="V238" s="50"/>
      <c r="W238" s="50"/>
      <c r="X238" s="50"/>
      <c r="Y238" s="50"/>
      <c r="Z238" s="50"/>
    </row>
    <row r="239" spans="1:26" x14ac:dyDescent="0.3">
      <c r="A239" s="50"/>
      <c r="B239" s="50"/>
      <c r="C239" s="50"/>
      <c r="E239" s="50"/>
      <c r="F239" s="50"/>
      <c r="G239" s="50"/>
      <c r="H239" s="50"/>
      <c r="I239" s="50"/>
      <c r="J239" s="50"/>
      <c r="K239" s="50"/>
      <c r="L239" s="50"/>
      <c r="M239" s="50"/>
      <c r="N239" s="90"/>
      <c r="O239" s="50"/>
      <c r="P239" s="50"/>
      <c r="Q239" s="50"/>
      <c r="R239" s="50"/>
      <c r="S239" s="50"/>
      <c r="T239" s="50"/>
      <c r="U239" s="50"/>
      <c r="V239" s="50"/>
      <c r="W239" s="50"/>
      <c r="X239" s="50"/>
      <c r="Y239" s="50"/>
      <c r="Z239" s="50"/>
    </row>
    <row r="240" spans="1:26" x14ac:dyDescent="0.3">
      <c r="A240" s="50"/>
      <c r="B240" s="50"/>
      <c r="C240" s="50"/>
      <c r="E240" s="50"/>
      <c r="F240" s="50"/>
      <c r="G240" s="50"/>
      <c r="H240" s="50"/>
      <c r="I240" s="50"/>
      <c r="J240" s="50"/>
      <c r="K240" s="50"/>
      <c r="L240" s="50"/>
      <c r="M240" s="50"/>
      <c r="N240" s="90"/>
      <c r="O240" s="50"/>
      <c r="P240" s="50"/>
      <c r="Q240" s="50"/>
      <c r="R240" s="50"/>
      <c r="S240" s="50"/>
      <c r="T240" s="50"/>
      <c r="U240" s="50"/>
      <c r="V240" s="50"/>
      <c r="W240" s="50"/>
      <c r="X240" s="50"/>
      <c r="Y240" s="50"/>
      <c r="Z240" s="50"/>
    </row>
    <row r="241" spans="1:26" x14ac:dyDescent="0.3">
      <c r="A241" s="50"/>
      <c r="B241" s="50"/>
      <c r="C241" s="50"/>
      <c r="E241" s="50"/>
      <c r="F241" s="50"/>
      <c r="G241" s="50"/>
      <c r="H241" s="50"/>
      <c r="I241" s="50"/>
      <c r="J241" s="50"/>
      <c r="K241" s="50"/>
      <c r="L241" s="50"/>
      <c r="M241" s="50"/>
      <c r="N241" s="90"/>
      <c r="O241" s="50"/>
      <c r="P241" s="50"/>
      <c r="Q241" s="50"/>
      <c r="R241" s="50"/>
      <c r="S241" s="50"/>
      <c r="T241" s="50"/>
      <c r="U241" s="50"/>
      <c r="V241" s="50"/>
      <c r="W241" s="50"/>
      <c r="X241" s="50"/>
      <c r="Y241" s="50"/>
      <c r="Z241" s="50"/>
    </row>
    <row r="242" spans="1:26" x14ac:dyDescent="0.3">
      <c r="A242" s="50"/>
      <c r="B242" s="50"/>
      <c r="C242" s="50"/>
      <c r="E242" s="50"/>
      <c r="F242" s="50"/>
      <c r="G242" s="50"/>
      <c r="H242" s="50"/>
      <c r="I242" s="50"/>
      <c r="J242" s="50"/>
      <c r="K242" s="50"/>
      <c r="L242" s="50"/>
      <c r="M242" s="50"/>
      <c r="N242" s="90"/>
      <c r="O242" s="50"/>
      <c r="P242" s="50"/>
      <c r="Q242" s="50"/>
      <c r="R242" s="50"/>
      <c r="S242" s="50"/>
      <c r="T242" s="50"/>
      <c r="U242" s="50"/>
      <c r="V242" s="50"/>
      <c r="W242" s="50"/>
      <c r="X242" s="50"/>
      <c r="Y242" s="50"/>
      <c r="Z242" s="50"/>
    </row>
    <row r="243" spans="1:26" x14ac:dyDescent="0.3">
      <c r="A243" s="50"/>
      <c r="B243" s="50"/>
      <c r="C243" s="50"/>
      <c r="E243" s="50"/>
      <c r="F243" s="50"/>
      <c r="G243" s="50"/>
      <c r="H243" s="50"/>
      <c r="I243" s="50"/>
      <c r="J243" s="50"/>
      <c r="K243" s="50"/>
      <c r="L243" s="50"/>
      <c r="M243" s="50"/>
      <c r="N243" s="90"/>
      <c r="O243" s="50"/>
      <c r="P243" s="50"/>
      <c r="Q243" s="50"/>
      <c r="R243" s="50"/>
      <c r="S243" s="50"/>
      <c r="T243" s="50"/>
      <c r="U243" s="50"/>
      <c r="V243" s="50"/>
      <c r="W243" s="50"/>
      <c r="X243" s="50"/>
      <c r="Y243" s="50"/>
      <c r="Z243" s="50"/>
    </row>
    <row r="244" spans="1:26" x14ac:dyDescent="0.3">
      <c r="A244" s="50"/>
      <c r="B244" s="50"/>
      <c r="C244" s="50"/>
      <c r="E244" s="50"/>
      <c r="F244" s="50"/>
      <c r="G244" s="50"/>
      <c r="H244" s="50"/>
      <c r="I244" s="50"/>
      <c r="J244" s="50"/>
      <c r="K244" s="50"/>
      <c r="L244" s="50"/>
      <c r="M244" s="50"/>
      <c r="N244" s="90"/>
      <c r="O244" s="50"/>
      <c r="P244" s="50"/>
      <c r="Q244" s="50"/>
      <c r="R244" s="50"/>
      <c r="S244" s="50"/>
      <c r="T244" s="50"/>
      <c r="U244" s="50"/>
      <c r="V244" s="50"/>
      <c r="W244" s="50"/>
      <c r="X244" s="50"/>
      <c r="Y244" s="50"/>
      <c r="Z244" s="50"/>
    </row>
    <row r="245" spans="1:26" x14ac:dyDescent="0.3">
      <c r="A245" s="50"/>
      <c r="B245" s="50"/>
      <c r="C245" s="50"/>
      <c r="E245" s="50"/>
      <c r="F245" s="50"/>
      <c r="G245" s="50"/>
      <c r="H245" s="50"/>
      <c r="I245" s="50"/>
      <c r="J245" s="50"/>
      <c r="K245" s="50"/>
      <c r="L245" s="50"/>
      <c r="M245" s="50"/>
      <c r="N245" s="90"/>
      <c r="O245" s="50"/>
      <c r="P245" s="50"/>
      <c r="Q245" s="50"/>
      <c r="R245" s="50"/>
      <c r="S245" s="50"/>
      <c r="T245" s="50"/>
      <c r="U245" s="50"/>
      <c r="V245" s="50"/>
      <c r="W245" s="50"/>
      <c r="X245" s="50"/>
      <c r="Y245" s="50"/>
      <c r="Z245" s="50"/>
    </row>
    <row r="246" spans="1:26" x14ac:dyDescent="0.3">
      <c r="A246" s="50"/>
      <c r="B246" s="50"/>
      <c r="C246" s="50"/>
      <c r="E246" s="50"/>
      <c r="F246" s="50"/>
      <c r="G246" s="50"/>
      <c r="H246" s="50"/>
      <c r="I246" s="50"/>
      <c r="J246" s="50"/>
      <c r="K246" s="50"/>
      <c r="L246" s="50"/>
      <c r="M246" s="50"/>
      <c r="N246" s="90"/>
      <c r="O246" s="50"/>
      <c r="P246" s="50"/>
      <c r="Q246" s="50"/>
      <c r="R246" s="50"/>
      <c r="S246" s="50"/>
      <c r="T246" s="50"/>
      <c r="U246" s="50"/>
      <c r="V246" s="50"/>
      <c r="W246" s="50"/>
      <c r="X246" s="50"/>
      <c r="Y246" s="50"/>
      <c r="Z246" s="50"/>
    </row>
    <row r="247" spans="1:26" x14ac:dyDescent="0.3">
      <c r="A247" s="50"/>
      <c r="B247" s="50"/>
      <c r="C247" s="50"/>
      <c r="E247" s="50"/>
      <c r="F247" s="50"/>
      <c r="G247" s="50"/>
      <c r="H247" s="50"/>
      <c r="I247" s="50"/>
      <c r="J247" s="50"/>
      <c r="K247" s="50"/>
      <c r="L247" s="50"/>
      <c r="M247" s="50"/>
      <c r="N247" s="90"/>
      <c r="O247" s="50"/>
      <c r="P247" s="50"/>
      <c r="Q247" s="50"/>
      <c r="R247" s="50"/>
      <c r="S247" s="50"/>
      <c r="T247" s="50"/>
      <c r="U247" s="50"/>
      <c r="V247" s="50"/>
      <c r="W247" s="50"/>
      <c r="X247" s="50"/>
      <c r="Y247" s="50"/>
      <c r="Z247" s="50"/>
    </row>
    <row r="248" spans="1:26" x14ac:dyDescent="0.3">
      <c r="A248" s="50"/>
      <c r="B248" s="50"/>
      <c r="C248" s="50"/>
      <c r="E248" s="50"/>
      <c r="F248" s="50"/>
      <c r="G248" s="50"/>
      <c r="H248" s="50"/>
      <c r="I248" s="50"/>
      <c r="J248" s="50"/>
      <c r="K248" s="50"/>
      <c r="L248" s="50"/>
      <c r="M248" s="50"/>
      <c r="N248" s="90"/>
      <c r="O248" s="50"/>
      <c r="P248" s="50"/>
      <c r="Q248" s="50"/>
      <c r="R248" s="50"/>
      <c r="S248" s="50"/>
      <c r="T248" s="50"/>
      <c r="U248" s="50"/>
      <c r="V248" s="50"/>
      <c r="W248" s="50"/>
      <c r="X248" s="50"/>
      <c r="Y248" s="50"/>
      <c r="Z248" s="50"/>
    </row>
    <row r="249" spans="1:26" x14ac:dyDescent="0.3">
      <c r="A249" s="50"/>
      <c r="B249" s="50"/>
      <c r="C249" s="50"/>
      <c r="E249" s="50"/>
      <c r="F249" s="50"/>
      <c r="G249" s="50"/>
      <c r="H249" s="50"/>
      <c r="I249" s="50"/>
      <c r="J249" s="50"/>
      <c r="K249" s="50"/>
      <c r="L249" s="50"/>
      <c r="M249" s="50"/>
      <c r="N249" s="90"/>
      <c r="O249" s="50"/>
      <c r="P249" s="50"/>
      <c r="Q249" s="50"/>
      <c r="R249" s="50"/>
      <c r="S249" s="50"/>
      <c r="T249" s="50"/>
      <c r="U249" s="50"/>
      <c r="V249" s="50"/>
      <c r="W249" s="50"/>
      <c r="X249" s="50"/>
      <c r="Y249" s="50"/>
      <c r="Z249" s="50"/>
    </row>
    <row r="250" spans="1:26" x14ac:dyDescent="0.3">
      <c r="A250" s="50"/>
      <c r="B250" s="50"/>
      <c r="C250" s="50"/>
      <c r="E250" s="50"/>
      <c r="F250" s="50"/>
      <c r="G250" s="50"/>
      <c r="H250" s="50"/>
      <c r="I250" s="50"/>
      <c r="J250" s="50"/>
      <c r="K250" s="50"/>
      <c r="L250" s="50"/>
      <c r="M250" s="50"/>
      <c r="N250" s="90"/>
      <c r="O250" s="50"/>
      <c r="P250" s="50"/>
      <c r="Q250" s="50"/>
      <c r="R250" s="50"/>
      <c r="S250" s="50"/>
      <c r="T250" s="50"/>
      <c r="U250" s="50"/>
      <c r="V250" s="50"/>
      <c r="W250" s="50"/>
      <c r="X250" s="50"/>
      <c r="Y250" s="50"/>
      <c r="Z250" s="50"/>
    </row>
    <row r="251" spans="1:26" x14ac:dyDescent="0.3">
      <c r="A251" s="50"/>
      <c r="B251" s="50"/>
      <c r="C251" s="50"/>
      <c r="E251" s="50"/>
      <c r="F251" s="50"/>
      <c r="G251" s="50"/>
      <c r="H251" s="50"/>
      <c r="I251" s="50"/>
      <c r="J251" s="50"/>
      <c r="K251" s="50"/>
      <c r="L251" s="50"/>
      <c r="M251" s="50"/>
      <c r="N251" s="90"/>
      <c r="O251" s="50"/>
      <c r="P251" s="50"/>
      <c r="Q251" s="50"/>
      <c r="R251" s="50"/>
      <c r="S251" s="50"/>
      <c r="T251" s="50"/>
      <c r="U251" s="50"/>
      <c r="V251" s="50"/>
      <c r="W251" s="50"/>
      <c r="X251" s="50"/>
      <c r="Y251" s="50"/>
      <c r="Z251" s="50"/>
    </row>
    <row r="252" spans="1:26" x14ac:dyDescent="0.3">
      <c r="A252" s="50"/>
      <c r="B252" s="50"/>
      <c r="C252" s="50"/>
      <c r="E252" s="50"/>
      <c r="F252" s="50"/>
      <c r="G252" s="50"/>
      <c r="H252" s="50"/>
      <c r="I252" s="50"/>
      <c r="J252" s="50"/>
      <c r="K252" s="50"/>
      <c r="L252" s="50"/>
      <c r="M252" s="50"/>
      <c r="N252" s="90"/>
      <c r="O252" s="50"/>
      <c r="P252" s="50"/>
      <c r="Q252" s="50"/>
      <c r="R252" s="50"/>
      <c r="S252" s="50"/>
      <c r="T252" s="50"/>
      <c r="U252" s="50"/>
      <c r="V252" s="50"/>
      <c r="W252" s="50"/>
      <c r="X252" s="50"/>
      <c r="Y252" s="50"/>
      <c r="Z252" s="50"/>
    </row>
    <row r="253" spans="1:26" x14ac:dyDescent="0.3">
      <c r="A253" s="50"/>
      <c r="B253" s="50"/>
      <c r="C253" s="50"/>
      <c r="E253" s="50"/>
      <c r="F253" s="50"/>
      <c r="G253" s="50"/>
      <c r="H253" s="50"/>
      <c r="I253" s="50"/>
      <c r="J253" s="50"/>
      <c r="K253" s="50"/>
      <c r="L253" s="50"/>
      <c r="M253" s="50"/>
      <c r="N253" s="90"/>
      <c r="O253" s="50"/>
      <c r="P253" s="50"/>
      <c r="Q253" s="50"/>
      <c r="R253" s="50"/>
      <c r="S253" s="50"/>
      <c r="T253" s="50"/>
      <c r="U253" s="50"/>
      <c r="V253" s="50"/>
      <c r="W253" s="50"/>
      <c r="X253" s="50"/>
      <c r="Y253" s="50"/>
      <c r="Z253" s="50"/>
    </row>
    <row r="254" spans="1:26" x14ac:dyDescent="0.3">
      <c r="A254" s="50"/>
      <c r="B254" s="50"/>
      <c r="C254" s="50"/>
      <c r="E254" s="50"/>
      <c r="F254" s="50"/>
      <c r="G254" s="50"/>
      <c r="H254" s="50"/>
      <c r="I254" s="50"/>
      <c r="J254" s="50"/>
      <c r="K254" s="50"/>
      <c r="L254" s="50"/>
      <c r="M254" s="50"/>
      <c r="N254" s="90"/>
      <c r="O254" s="50"/>
      <c r="P254" s="50"/>
      <c r="Q254" s="50"/>
      <c r="R254" s="50"/>
      <c r="S254" s="50"/>
      <c r="T254" s="50"/>
      <c r="U254" s="50"/>
      <c r="V254" s="50"/>
      <c r="W254" s="50"/>
      <c r="X254" s="50"/>
      <c r="Y254" s="50"/>
      <c r="Z254" s="50"/>
    </row>
    <row r="255" spans="1:26" x14ac:dyDescent="0.3">
      <c r="A255" s="50"/>
      <c r="B255" s="50"/>
      <c r="C255" s="50"/>
      <c r="E255" s="50"/>
      <c r="F255" s="50"/>
      <c r="G255" s="50"/>
      <c r="H255" s="50"/>
      <c r="I255" s="50"/>
      <c r="J255" s="50"/>
      <c r="K255" s="50"/>
      <c r="L255" s="50"/>
      <c r="M255" s="50"/>
      <c r="N255" s="90"/>
      <c r="O255" s="50"/>
      <c r="P255" s="50"/>
      <c r="Q255" s="50"/>
      <c r="R255" s="50"/>
      <c r="S255" s="50"/>
      <c r="T255" s="50"/>
      <c r="U255" s="50"/>
      <c r="V255" s="50"/>
      <c r="W255" s="50"/>
      <c r="X255" s="50"/>
      <c r="Y255" s="50"/>
      <c r="Z255" s="50"/>
    </row>
    <row r="256" spans="1:26" x14ac:dyDescent="0.3">
      <c r="A256" s="50"/>
      <c r="B256" s="50"/>
      <c r="C256" s="50"/>
      <c r="E256" s="50"/>
      <c r="F256" s="50"/>
      <c r="G256" s="50"/>
      <c r="H256" s="50"/>
      <c r="I256" s="50"/>
      <c r="J256" s="50"/>
      <c r="K256" s="50"/>
      <c r="L256" s="50"/>
      <c r="M256" s="50"/>
      <c r="N256" s="90"/>
      <c r="O256" s="50"/>
      <c r="P256" s="50"/>
      <c r="Q256" s="50"/>
      <c r="R256" s="50"/>
      <c r="S256" s="50"/>
      <c r="T256" s="50"/>
      <c r="U256" s="50"/>
      <c r="V256" s="50"/>
      <c r="W256" s="50"/>
      <c r="X256" s="50"/>
      <c r="Y256" s="50"/>
      <c r="Z256" s="50"/>
    </row>
    <row r="257" spans="1:26" x14ac:dyDescent="0.3">
      <c r="A257" s="50"/>
      <c r="B257" s="50"/>
      <c r="C257" s="50"/>
      <c r="E257" s="50"/>
      <c r="F257" s="50"/>
      <c r="G257" s="50"/>
      <c r="H257" s="50"/>
      <c r="I257" s="50"/>
      <c r="J257" s="50"/>
      <c r="K257" s="50"/>
      <c r="L257" s="50"/>
      <c r="M257" s="50"/>
      <c r="N257" s="90"/>
      <c r="O257" s="50"/>
      <c r="P257" s="50"/>
      <c r="Q257" s="50"/>
      <c r="R257" s="50"/>
      <c r="S257" s="50"/>
      <c r="T257" s="50"/>
      <c r="U257" s="50"/>
      <c r="V257" s="50"/>
      <c r="W257" s="50"/>
      <c r="X257" s="50"/>
      <c r="Y257" s="50"/>
      <c r="Z257" s="50"/>
    </row>
    <row r="258" spans="1:26" x14ac:dyDescent="0.3">
      <c r="A258" s="50"/>
      <c r="B258" s="50"/>
      <c r="C258" s="50"/>
      <c r="E258" s="50"/>
      <c r="F258" s="50"/>
      <c r="G258" s="50"/>
      <c r="H258" s="50"/>
      <c r="I258" s="50"/>
      <c r="J258" s="50"/>
      <c r="K258" s="50"/>
      <c r="L258" s="50"/>
      <c r="M258" s="50"/>
      <c r="N258" s="90"/>
      <c r="O258" s="50"/>
      <c r="P258" s="50"/>
      <c r="Q258" s="50"/>
      <c r="R258" s="50"/>
      <c r="S258" s="50"/>
      <c r="T258" s="50"/>
      <c r="U258" s="50"/>
      <c r="V258" s="50"/>
      <c r="W258" s="50"/>
      <c r="X258" s="50"/>
      <c r="Y258" s="50"/>
      <c r="Z258" s="50"/>
    </row>
    <row r="259" spans="1:26" x14ac:dyDescent="0.3">
      <c r="A259" s="50"/>
      <c r="B259" s="50"/>
      <c r="C259" s="50"/>
      <c r="E259" s="50"/>
      <c r="F259" s="50"/>
      <c r="G259" s="50"/>
      <c r="H259" s="50"/>
      <c r="I259" s="50"/>
      <c r="J259" s="50"/>
      <c r="K259" s="50"/>
      <c r="L259" s="50"/>
      <c r="M259" s="50"/>
      <c r="N259" s="90"/>
      <c r="O259" s="50"/>
      <c r="P259" s="50"/>
      <c r="Q259" s="50"/>
      <c r="R259" s="50"/>
      <c r="S259" s="50"/>
      <c r="T259" s="50"/>
      <c r="U259" s="50"/>
      <c r="V259" s="50"/>
      <c r="W259" s="50"/>
      <c r="X259" s="50"/>
      <c r="Y259" s="50"/>
      <c r="Z259" s="50"/>
    </row>
    <row r="260" spans="1:26" x14ac:dyDescent="0.3">
      <c r="A260" s="50"/>
      <c r="B260" s="50"/>
      <c r="C260" s="50"/>
      <c r="E260" s="50"/>
      <c r="F260" s="50"/>
      <c r="G260" s="50"/>
      <c r="H260" s="50"/>
      <c r="I260" s="50"/>
      <c r="J260" s="50"/>
      <c r="K260" s="50"/>
      <c r="L260" s="50"/>
      <c r="M260" s="50"/>
      <c r="N260" s="90"/>
      <c r="O260" s="50"/>
      <c r="P260" s="50"/>
      <c r="Q260" s="50"/>
      <c r="R260" s="50"/>
      <c r="S260" s="50"/>
      <c r="T260" s="50"/>
      <c r="U260" s="50"/>
      <c r="V260" s="50"/>
      <c r="W260" s="50"/>
      <c r="X260" s="50"/>
      <c r="Y260" s="50"/>
      <c r="Z260" s="50"/>
    </row>
    <row r="261" spans="1:26" x14ac:dyDescent="0.3">
      <c r="A261" s="50"/>
      <c r="B261" s="50"/>
      <c r="C261" s="50"/>
      <c r="E261" s="50"/>
      <c r="F261" s="50"/>
      <c r="G261" s="50"/>
      <c r="H261" s="50"/>
      <c r="I261" s="50"/>
      <c r="J261" s="50"/>
      <c r="K261" s="50"/>
      <c r="L261" s="50"/>
      <c r="M261" s="50"/>
      <c r="N261" s="90"/>
      <c r="O261" s="50"/>
      <c r="P261" s="50"/>
      <c r="Q261" s="50"/>
      <c r="R261" s="50"/>
      <c r="S261" s="50"/>
      <c r="T261" s="50"/>
      <c r="U261" s="50"/>
      <c r="V261" s="50"/>
      <c r="W261" s="50"/>
      <c r="X261" s="50"/>
      <c r="Y261" s="50"/>
      <c r="Z261" s="50"/>
    </row>
    <row r="262" spans="1:26" x14ac:dyDescent="0.3">
      <c r="A262" s="50"/>
      <c r="B262" s="50"/>
      <c r="C262" s="50"/>
      <c r="E262" s="50"/>
      <c r="F262" s="50"/>
      <c r="G262" s="50"/>
      <c r="H262" s="50"/>
      <c r="I262" s="50"/>
      <c r="J262" s="50"/>
      <c r="K262" s="50"/>
      <c r="L262" s="50"/>
      <c r="M262" s="50"/>
      <c r="N262" s="90"/>
      <c r="O262" s="50"/>
      <c r="P262" s="50"/>
      <c r="Q262" s="50"/>
      <c r="R262" s="50"/>
      <c r="S262" s="50"/>
      <c r="T262" s="50"/>
      <c r="U262" s="50"/>
      <c r="V262" s="50"/>
      <c r="W262" s="50"/>
      <c r="X262" s="50"/>
      <c r="Y262" s="50"/>
      <c r="Z262" s="50"/>
    </row>
    <row r="263" spans="1:26" x14ac:dyDescent="0.3">
      <c r="A263" s="50"/>
      <c r="B263" s="50"/>
      <c r="C263" s="50"/>
      <c r="E263" s="50"/>
      <c r="F263" s="50"/>
      <c r="G263" s="50"/>
      <c r="H263" s="50"/>
      <c r="I263" s="50"/>
      <c r="J263" s="50"/>
      <c r="K263" s="50"/>
      <c r="L263" s="50"/>
      <c r="M263" s="50"/>
      <c r="N263" s="90"/>
      <c r="O263" s="50"/>
      <c r="P263" s="50"/>
      <c r="Q263" s="50"/>
      <c r="R263" s="50"/>
      <c r="S263" s="50"/>
      <c r="T263" s="50"/>
      <c r="U263" s="50"/>
      <c r="V263" s="50"/>
      <c r="W263" s="50"/>
      <c r="X263" s="50"/>
      <c r="Y263" s="50"/>
      <c r="Z263" s="50"/>
    </row>
    <row r="264" spans="1:26" x14ac:dyDescent="0.3">
      <c r="A264" s="50"/>
      <c r="B264" s="50"/>
      <c r="C264" s="50"/>
      <c r="E264" s="50"/>
      <c r="F264" s="50"/>
      <c r="G264" s="50"/>
      <c r="H264" s="50"/>
      <c r="I264" s="50"/>
      <c r="J264" s="50"/>
      <c r="K264" s="50"/>
      <c r="L264" s="50"/>
      <c r="M264" s="50"/>
      <c r="N264" s="90"/>
      <c r="O264" s="50"/>
      <c r="P264" s="50"/>
      <c r="Q264" s="50"/>
      <c r="R264" s="50"/>
      <c r="S264" s="50"/>
      <c r="T264" s="50"/>
      <c r="U264" s="50"/>
      <c r="V264" s="50"/>
      <c r="W264" s="50"/>
      <c r="X264" s="50"/>
      <c r="Y264" s="50"/>
      <c r="Z264" s="50"/>
    </row>
    <row r="265" spans="1:26" x14ac:dyDescent="0.3">
      <c r="A265" s="50"/>
      <c r="B265" s="50"/>
      <c r="C265" s="50"/>
      <c r="E265" s="50"/>
      <c r="F265" s="50"/>
      <c r="G265" s="50"/>
      <c r="H265" s="50"/>
      <c r="I265" s="50"/>
      <c r="J265" s="50"/>
      <c r="K265" s="50"/>
      <c r="L265" s="50"/>
      <c r="M265" s="50"/>
      <c r="N265" s="90"/>
      <c r="O265" s="50"/>
      <c r="P265" s="50"/>
      <c r="Q265" s="50"/>
      <c r="R265" s="50"/>
      <c r="S265" s="50"/>
      <c r="T265" s="50"/>
      <c r="U265" s="50"/>
      <c r="V265" s="50"/>
      <c r="W265" s="50"/>
      <c r="X265" s="50"/>
      <c r="Y265" s="50"/>
      <c r="Z265" s="50"/>
    </row>
    <row r="266" spans="1:26" x14ac:dyDescent="0.3">
      <c r="A266" s="50"/>
      <c r="B266" s="50"/>
      <c r="C266" s="50"/>
      <c r="E266" s="50"/>
      <c r="F266" s="50"/>
      <c r="G266" s="50"/>
      <c r="H266" s="50"/>
      <c r="I266" s="50"/>
      <c r="J266" s="50"/>
      <c r="K266" s="50"/>
      <c r="L266" s="50"/>
      <c r="M266" s="50"/>
      <c r="N266" s="90"/>
      <c r="O266" s="50"/>
      <c r="P266" s="50"/>
      <c r="Q266" s="50"/>
      <c r="R266" s="50"/>
      <c r="S266" s="50"/>
      <c r="T266" s="50"/>
      <c r="U266" s="50"/>
      <c r="V266" s="50"/>
      <c r="W266" s="50"/>
      <c r="X266" s="50"/>
      <c r="Y266" s="50"/>
      <c r="Z266" s="50"/>
    </row>
    <row r="267" spans="1:26" x14ac:dyDescent="0.3">
      <c r="A267" s="50"/>
      <c r="B267" s="50"/>
      <c r="C267" s="50"/>
      <c r="E267" s="50"/>
      <c r="F267" s="50"/>
      <c r="G267" s="50"/>
      <c r="H267" s="50"/>
      <c r="I267" s="50"/>
      <c r="J267" s="50"/>
      <c r="K267" s="50"/>
      <c r="L267" s="50"/>
      <c r="M267" s="50"/>
      <c r="N267" s="90"/>
      <c r="O267" s="50"/>
      <c r="P267" s="50"/>
      <c r="Q267" s="50"/>
      <c r="R267" s="50"/>
      <c r="S267" s="50"/>
      <c r="T267" s="50"/>
      <c r="U267" s="50"/>
      <c r="V267" s="50"/>
      <c r="W267" s="50"/>
      <c r="X267" s="50"/>
      <c r="Y267" s="50"/>
      <c r="Z267" s="50"/>
    </row>
    <row r="268" spans="1:26" x14ac:dyDescent="0.3">
      <c r="A268" s="50"/>
      <c r="B268" s="50"/>
      <c r="C268" s="50"/>
      <c r="E268" s="50"/>
      <c r="F268" s="50"/>
      <c r="G268" s="50"/>
      <c r="H268" s="50"/>
      <c r="I268" s="50"/>
      <c r="J268" s="50"/>
      <c r="K268" s="50"/>
      <c r="L268" s="50"/>
      <c r="M268" s="50"/>
      <c r="N268" s="90"/>
      <c r="O268" s="50"/>
      <c r="P268" s="50"/>
      <c r="Q268" s="50"/>
      <c r="R268" s="50"/>
      <c r="S268" s="50"/>
      <c r="T268" s="50"/>
      <c r="U268" s="50"/>
      <c r="V268" s="50"/>
      <c r="W268" s="50"/>
      <c r="X268" s="50"/>
      <c r="Y268" s="50"/>
      <c r="Z268" s="50"/>
    </row>
    <row r="269" spans="1:26" x14ac:dyDescent="0.3">
      <c r="A269" s="50"/>
      <c r="B269" s="50"/>
      <c r="C269" s="50"/>
      <c r="E269" s="50"/>
      <c r="F269" s="50"/>
      <c r="G269" s="50"/>
      <c r="H269" s="50"/>
      <c r="I269" s="50"/>
      <c r="J269" s="50"/>
      <c r="K269" s="50"/>
      <c r="L269" s="50"/>
      <c r="M269" s="50"/>
      <c r="N269" s="90"/>
      <c r="O269" s="50"/>
      <c r="P269" s="50"/>
      <c r="Q269" s="50"/>
      <c r="R269" s="50"/>
      <c r="S269" s="50"/>
      <c r="T269" s="50"/>
      <c r="U269" s="50"/>
      <c r="V269" s="50"/>
      <c r="W269" s="50"/>
      <c r="X269" s="50"/>
      <c r="Y269" s="50"/>
      <c r="Z269" s="50"/>
    </row>
    <row r="270" spans="1:26" x14ac:dyDescent="0.3">
      <c r="A270" s="50"/>
      <c r="B270" s="50"/>
      <c r="C270" s="50"/>
      <c r="E270" s="50"/>
      <c r="F270" s="50"/>
      <c r="G270" s="50"/>
      <c r="H270" s="50"/>
      <c r="I270" s="50"/>
      <c r="J270" s="50"/>
      <c r="K270" s="50"/>
      <c r="L270" s="50"/>
      <c r="M270" s="50"/>
      <c r="N270" s="90"/>
      <c r="O270" s="50"/>
      <c r="P270" s="50"/>
      <c r="Q270" s="50"/>
      <c r="R270" s="50"/>
      <c r="S270" s="50"/>
      <c r="T270" s="50"/>
      <c r="U270" s="50"/>
      <c r="V270" s="50"/>
      <c r="W270" s="50"/>
      <c r="X270" s="50"/>
      <c r="Y270" s="50"/>
      <c r="Z270" s="50"/>
    </row>
    <row r="271" spans="1:26" x14ac:dyDescent="0.3">
      <c r="A271" s="50"/>
      <c r="B271" s="50"/>
      <c r="C271" s="50"/>
      <c r="E271" s="50"/>
      <c r="F271" s="50"/>
      <c r="G271" s="50"/>
      <c r="H271" s="50"/>
      <c r="I271" s="50"/>
      <c r="J271" s="50"/>
      <c r="K271" s="50"/>
      <c r="L271" s="50"/>
      <c r="M271" s="50"/>
      <c r="N271" s="90"/>
      <c r="O271" s="50"/>
      <c r="P271" s="50"/>
      <c r="Q271" s="50"/>
      <c r="R271" s="50"/>
      <c r="S271" s="50"/>
      <c r="T271" s="50"/>
      <c r="U271" s="50"/>
      <c r="V271" s="50"/>
      <c r="W271" s="50"/>
      <c r="X271" s="50"/>
      <c r="Y271" s="50"/>
      <c r="Z271" s="50"/>
    </row>
    <row r="272" spans="1:26" x14ac:dyDescent="0.3">
      <c r="A272" s="50"/>
      <c r="B272" s="50"/>
      <c r="C272" s="50"/>
      <c r="E272" s="50"/>
      <c r="F272" s="50"/>
      <c r="G272" s="50"/>
      <c r="H272" s="50"/>
      <c r="I272" s="50"/>
      <c r="J272" s="50"/>
      <c r="K272" s="50"/>
      <c r="L272" s="50"/>
      <c r="M272" s="50"/>
      <c r="N272" s="90"/>
      <c r="O272" s="50"/>
      <c r="P272" s="50"/>
      <c r="Q272" s="50"/>
      <c r="R272" s="50"/>
      <c r="S272" s="50"/>
      <c r="T272" s="50"/>
      <c r="U272" s="50"/>
      <c r="V272" s="50"/>
      <c r="W272" s="50"/>
      <c r="X272" s="50"/>
      <c r="Y272" s="50"/>
      <c r="Z272" s="50"/>
    </row>
    <row r="273" spans="1:26" x14ac:dyDescent="0.3">
      <c r="A273" s="50"/>
      <c r="B273" s="50"/>
      <c r="C273" s="50"/>
      <c r="E273" s="50"/>
      <c r="F273" s="50"/>
      <c r="G273" s="50"/>
      <c r="H273" s="50"/>
      <c r="I273" s="50"/>
      <c r="J273" s="50"/>
      <c r="K273" s="50"/>
      <c r="L273" s="50"/>
      <c r="M273" s="50"/>
      <c r="N273" s="90"/>
      <c r="O273" s="50"/>
      <c r="P273" s="50"/>
      <c r="Q273" s="50"/>
      <c r="R273" s="50"/>
      <c r="S273" s="50"/>
      <c r="T273" s="50"/>
      <c r="U273" s="50"/>
      <c r="V273" s="50"/>
      <c r="W273" s="50"/>
      <c r="X273" s="50"/>
      <c r="Y273" s="50"/>
      <c r="Z273" s="50"/>
    </row>
    <row r="274" spans="1:26" x14ac:dyDescent="0.3">
      <c r="A274" s="50"/>
      <c r="B274" s="50"/>
      <c r="C274" s="50"/>
      <c r="E274" s="50"/>
      <c r="F274" s="50"/>
      <c r="G274" s="50"/>
      <c r="H274" s="50"/>
      <c r="I274" s="50"/>
      <c r="J274" s="50"/>
      <c r="K274" s="50"/>
      <c r="L274" s="50"/>
      <c r="M274" s="50"/>
      <c r="N274" s="90"/>
      <c r="O274" s="50"/>
      <c r="P274" s="50"/>
      <c r="Q274" s="50"/>
      <c r="R274" s="50"/>
      <c r="S274" s="50"/>
      <c r="T274" s="50"/>
      <c r="U274" s="50"/>
      <c r="V274" s="50"/>
      <c r="W274" s="50"/>
      <c r="X274" s="50"/>
      <c r="Y274" s="50"/>
      <c r="Z274" s="50"/>
    </row>
    <row r="275" spans="1:26" x14ac:dyDescent="0.3">
      <c r="A275" s="50"/>
      <c r="B275" s="50"/>
      <c r="C275" s="50"/>
      <c r="E275" s="50"/>
      <c r="F275" s="50"/>
      <c r="G275" s="50"/>
      <c r="H275" s="50"/>
      <c r="I275" s="50"/>
      <c r="J275" s="50"/>
      <c r="K275" s="50"/>
      <c r="L275" s="50"/>
      <c r="M275" s="50"/>
      <c r="N275" s="90"/>
      <c r="O275" s="50"/>
      <c r="P275" s="50"/>
      <c r="Q275" s="50"/>
      <c r="R275" s="50"/>
      <c r="S275" s="50"/>
      <c r="T275" s="50"/>
      <c r="U275" s="50"/>
      <c r="V275" s="50"/>
      <c r="W275" s="50"/>
      <c r="X275" s="50"/>
      <c r="Y275" s="50"/>
      <c r="Z275" s="50"/>
    </row>
    <row r="276" spans="1:26" x14ac:dyDescent="0.3">
      <c r="A276" s="50"/>
      <c r="B276" s="50"/>
      <c r="C276" s="50"/>
      <c r="E276" s="50"/>
      <c r="F276" s="50"/>
      <c r="G276" s="50"/>
      <c r="H276" s="50"/>
      <c r="I276" s="50"/>
      <c r="J276" s="50"/>
      <c r="K276" s="50"/>
      <c r="L276" s="50"/>
      <c r="M276" s="50"/>
      <c r="N276" s="90"/>
      <c r="O276" s="50"/>
      <c r="P276" s="50"/>
      <c r="Q276" s="50"/>
      <c r="R276" s="50"/>
      <c r="S276" s="50"/>
      <c r="T276" s="50"/>
      <c r="U276" s="50"/>
      <c r="V276" s="50"/>
      <c r="W276" s="50"/>
      <c r="X276" s="50"/>
      <c r="Y276" s="50"/>
      <c r="Z276" s="50"/>
    </row>
    <row r="277" spans="1:26" x14ac:dyDescent="0.3">
      <c r="A277" s="50"/>
      <c r="B277" s="50"/>
      <c r="C277" s="50"/>
      <c r="E277" s="50"/>
      <c r="F277" s="50"/>
      <c r="G277" s="50"/>
      <c r="H277" s="50"/>
      <c r="I277" s="50"/>
      <c r="J277" s="50"/>
      <c r="K277" s="50"/>
      <c r="L277" s="50"/>
      <c r="M277" s="50"/>
      <c r="N277" s="90"/>
      <c r="O277" s="50"/>
      <c r="P277" s="50"/>
      <c r="Q277" s="50"/>
      <c r="R277" s="50"/>
      <c r="S277" s="50"/>
      <c r="T277" s="50"/>
      <c r="U277" s="50"/>
      <c r="V277" s="50"/>
      <c r="W277" s="50"/>
      <c r="X277" s="50"/>
      <c r="Y277" s="50"/>
      <c r="Z277" s="50"/>
    </row>
    <row r="278" spans="1:26" x14ac:dyDescent="0.3">
      <c r="A278" s="50"/>
      <c r="B278" s="50"/>
      <c r="C278" s="50"/>
      <c r="E278" s="50"/>
      <c r="F278" s="50"/>
      <c r="G278" s="50"/>
      <c r="H278" s="50"/>
      <c r="I278" s="50"/>
      <c r="J278" s="50"/>
      <c r="K278" s="50"/>
      <c r="L278" s="50"/>
      <c r="M278" s="50"/>
      <c r="N278" s="90"/>
      <c r="O278" s="50"/>
      <c r="P278" s="50"/>
      <c r="Q278" s="50"/>
      <c r="R278" s="50"/>
      <c r="S278" s="50"/>
      <c r="T278" s="50"/>
      <c r="U278" s="50"/>
      <c r="V278" s="50"/>
      <c r="W278" s="50"/>
      <c r="X278" s="50"/>
      <c r="Y278" s="50"/>
      <c r="Z278" s="50"/>
    </row>
    <row r="279" spans="1:26" x14ac:dyDescent="0.3">
      <c r="A279" s="50"/>
      <c r="B279" s="50"/>
      <c r="C279" s="50"/>
      <c r="E279" s="50"/>
      <c r="F279" s="50"/>
      <c r="G279" s="50"/>
      <c r="H279" s="50"/>
      <c r="I279" s="50"/>
      <c r="J279" s="50"/>
      <c r="K279" s="50"/>
      <c r="L279" s="50"/>
      <c r="M279" s="50"/>
      <c r="N279" s="90"/>
      <c r="O279" s="50"/>
      <c r="P279" s="50"/>
      <c r="Q279" s="50"/>
      <c r="R279" s="50"/>
      <c r="S279" s="50"/>
      <c r="T279" s="50"/>
      <c r="U279" s="50"/>
      <c r="V279" s="50"/>
      <c r="W279" s="50"/>
      <c r="X279" s="50"/>
      <c r="Y279" s="50"/>
      <c r="Z279" s="50"/>
    </row>
    <row r="280" spans="1:26" x14ac:dyDescent="0.3">
      <c r="A280" s="50"/>
      <c r="B280" s="50"/>
      <c r="C280" s="50"/>
      <c r="E280" s="50"/>
      <c r="F280" s="50"/>
      <c r="G280" s="50"/>
      <c r="H280" s="50"/>
      <c r="I280" s="50"/>
      <c r="J280" s="50"/>
      <c r="K280" s="50"/>
      <c r="L280" s="50"/>
      <c r="M280" s="50"/>
      <c r="N280" s="90"/>
      <c r="O280" s="50"/>
      <c r="P280" s="50"/>
      <c r="Q280" s="50"/>
      <c r="R280" s="50"/>
      <c r="S280" s="50"/>
      <c r="T280" s="50"/>
      <c r="U280" s="50"/>
      <c r="V280" s="50"/>
      <c r="W280" s="50"/>
      <c r="X280" s="50"/>
      <c r="Y280" s="50"/>
      <c r="Z280" s="50"/>
    </row>
    <row r="281" spans="1:26" x14ac:dyDescent="0.3">
      <c r="A281" s="50"/>
      <c r="B281" s="50"/>
      <c r="C281" s="50"/>
      <c r="E281" s="50"/>
      <c r="F281" s="50"/>
      <c r="G281" s="50"/>
      <c r="H281" s="50"/>
      <c r="I281" s="50"/>
      <c r="J281" s="50"/>
      <c r="K281" s="50"/>
      <c r="L281" s="50"/>
      <c r="M281" s="50"/>
      <c r="N281" s="90"/>
      <c r="O281" s="50"/>
      <c r="P281" s="50"/>
      <c r="Q281" s="50"/>
      <c r="R281" s="50"/>
      <c r="S281" s="50"/>
      <c r="T281" s="50"/>
      <c r="U281" s="50"/>
      <c r="V281" s="50"/>
      <c r="W281" s="50"/>
      <c r="X281" s="50"/>
      <c r="Y281" s="50"/>
      <c r="Z281" s="50"/>
    </row>
    <row r="282" spans="1:26" x14ac:dyDescent="0.3">
      <c r="A282" s="50"/>
      <c r="B282" s="50"/>
      <c r="C282" s="50"/>
      <c r="E282" s="50"/>
      <c r="F282" s="50"/>
      <c r="G282" s="50"/>
      <c r="H282" s="50"/>
      <c r="I282" s="50"/>
      <c r="J282" s="50"/>
      <c r="K282" s="50"/>
      <c r="L282" s="50"/>
      <c r="M282" s="50"/>
      <c r="N282" s="90"/>
      <c r="O282" s="50"/>
      <c r="P282" s="50"/>
      <c r="Q282" s="50"/>
      <c r="R282" s="50"/>
      <c r="S282" s="50"/>
      <c r="T282" s="50"/>
      <c r="U282" s="50"/>
      <c r="V282" s="50"/>
      <c r="W282" s="50"/>
      <c r="X282" s="50"/>
      <c r="Y282" s="50"/>
      <c r="Z282" s="50"/>
    </row>
    <row r="283" spans="1:26" x14ac:dyDescent="0.3">
      <c r="A283" s="50"/>
      <c r="B283" s="50"/>
      <c r="C283" s="50"/>
      <c r="E283" s="50"/>
      <c r="F283" s="50"/>
      <c r="G283" s="50"/>
      <c r="H283" s="50"/>
      <c r="I283" s="50"/>
      <c r="J283" s="50"/>
      <c r="K283" s="50"/>
      <c r="L283" s="50"/>
      <c r="M283" s="50"/>
      <c r="N283" s="90"/>
      <c r="O283" s="50"/>
      <c r="P283" s="50"/>
      <c r="Q283" s="50"/>
      <c r="R283" s="50"/>
      <c r="S283" s="50"/>
      <c r="T283" s="50"/>
      <c r="U283" s="50"/>
      <c r="V283" s="50"/>
      <c r="W283" s="50"/>
      <c r="X283" s="50"/>
      <c r="Y283" s="50"/>
      <c r="Z283" s="50"/>
    </row>
    <row r="284" spans="1:26" x14ac:dyDescent="0.3">
      <c r="A284" s="50"/>
      <c r="B284" s="50"/>
      <c r="C284" s="50"/>
      <c r="E284" s="50"/>
      <c r="F284" s="50"/>
      <c r="G284" s="50"/>
      <c r="H284" s="50"/>
      <c r="I284" s="50"/>
      <c r="J284" s="50"/>
      <c r="K284" s="50"/>
      <c r="L284" s="50"/>
      <c r="M284" s="50"/>
      <c r="N284" s="90"/>
      <c r="O284" s="50"/>
      <c r="P284" s="50"/>
      <c r="Q284" s="50"/>
      <c r="R284" s="50"/>
      <c r="S284" s="50"/>
      <c r="T284" s="50"/>
      <c r="U284" s="50"/>
      <c r="V284" s="50"/>
      <c r="W284" s="50"/>
      <c r="X284" s="50"/>
      <c r="Y284" s="50"/>
      <c r="Z284" s="50"/>
    </row>
    <row r="285" spans="1:26" x14ac:dyDescent="0.3">
      <c r="A285" s="50"/>
      <c r="B285" s="50"/>
      <c r="C285" s="50"/>
      <c r="E285" s="50"/>
      <c r="F285" s="50"/>
      <c r="G285" s="50"/>
      <c r="H285" s="50"/>
      <c r="I285" s="50"/>
      <c r="J285" s="50"/>
      <c r="K285" s="50"/>
      <c r="L285" s="50"/>
      <c r="M285" s="50"/>
      <c r="N285" s="90"/>
      <c r="O285" s="50"/>
      <c r="P285" s="50"/>
      <c r="Q285" s="50"/>
      <c r="R285" s="50"/>
      <c r="S285" s="50"/>
      <c r="T285" s="50"/>
      <c r="U285" s="50"/>
      <c r="V285" s="50"/>
      <c r="W285" s="50"/>
      <c r="X285" s="50"/>
      <c r="Y285" s="50"/>
      <c r="Z285" s="50"/>
    </row>
    <row r="286" spans="1:26" x14ac:dyDescent="0.3">
      <c r="A286" s="50"/>
      <c r="B286" s="50"/>
      <c r="C286" s="50"/>
      <c r="E286" s="50"/>
      <c r="F286" s="50"/>
      <c r="G286" s="50"/>
      <c r="H286" s="50"/>
      <c r="I286" s="50"/>
      <c r="J286" s="50"/>
      <c r="K286" s="50"/>
      <c r="L286" s="50"/>
      <c r="M286" s="50"/>
      <c r="N286" s="90"/>
      <c r="O286" s="50"/>
      <c r="P286" s="50"/>
      <c r="Q286" s="50"/>
      <c r="R286" s="50"/>
      <c r="S286" s="50"/>
      <c r="T286" s="50"/>
      <c r="U286" s="50"/>
      <c r="V286" s="50"/>
      <c r="W286" s="50"/>
      <c r="X286" s="50"/>
      <c r="Y286" s="50"/>
      <c r="Z286" s="50"/>
    </row>
    <row r="287" spans="1:26" x14ac:dyDescent="0.3">
      <c r="A287" s="50"/>
      <c r="B287" s="50"/>
      <c r="C287" s="50"/>
      <c r="E287" s="50"/>
      <c r="F287" s="50"/>
      <c r="G287" s="50"/>
      <c r="H287" s="50"/>
      <c r="I287" s="50"/>
      <c r="J287" s="50"/>
      <c r="K287" s="50"/>
      <c r="L287" s="50"/>
      <c r="M287" s="50"/>
      <c r="N287" s="90"/>
      <c r="O287" s="50"/>
      <c r="P287" s="50"/>
      <c r="Q287" s="50"/>
      <c r="R287" s="50"/>
      <c r="S287" s="50"/>
      <c r="T287" s="50"/>
      <c r="U287" s="50"/>
      <c r="V287" s="50"/>
      <c r="W287" s="50"/>
      <c r="X287" s="50"/>
      <c r="Y287" s="50"/>
      <c r="Z287" s="50"/>
    </row>
    <row r="288" spans="1:26" x14ac:dyDescent="0.3">
      <c r="A288" s="50"/>
      <c r="B288" s="50"/>
      <c r="C288" s="50"/>
      <c r="E288" s="50"/>
      <c r="F288" s="50"/>
      <c r="G288" s="50"/>
      <c r="H288" s="50"/>
      <c r="I288" s="50"/>
      <c r="J288" s="50"/>
      <c r="K288" s="50"/>
      <c r="L288" s="50"/>
      <c r="M288" s="50"/>
      <c r="N288" s="90"/>
      <c r="O288" s="50"/>
      <c r="P288" s="50"/>
      <c r="Q288" s="50"/>
      <c r="R288" s="50"/>
      <c r="S288" s="50"/>
      <c r="T288" s="50"/>
      <c r="U288" s="50"/>
      <c r="V288" s="50"/>
      <c r="W288" s="50"/>
      <c r="X288" s="50"/>
      <c r="Y288" s="50"/>
      <c r="Z288" s="50"/>
    </row>
    <row r="289" spans="1:26" x14ac:dyDescent="0.3">
      <c r="A289" s="50"/>
      <c r="B289" s="50"/>
      <c r="C289" s="50"/>
      <c r="E289" s="50"/>
      <c r="F289" s="50"/>
      <c r="G289" s="50"/>
      <c r="H289" s="50"/>
      <c r="I289" s="50"/>
      <c r="J289" s="50"/>
      <c r="K289" s="50"/>
      <c r="L289" s="50"/>
      <c r="M289" s="50"/>
      <c r="N289" s="90"/>
      <c r="O289" s="50"/>
      <c r="P289" s="50"/>
      <c r="Q289" s="50"/>
      <c r="R289" s="50"/>
      <c r="S289" s="50"/>
      <c r="T289" s="50"/>
      <c r="U289" s="50"/>
      <c r="V289" s="50"/>
      <c r="W289" s="50"/>
      <c r="X289" s="50"/>
      <c r="Y289" s="50"/>
      <c r="Z289" s="50"/>
    </row>
    <row r="290" spans="1:26" x14ac:dyDescent="0.3">
      <c r="A290" s="50"/>
      <c r="B290" s="50"/>
      <c r="C290" s="50"/>
      <c r="E290" s="50"/>
      <c r="F290" s="50"/>
      <c r="G290" s="50"/>
      <c r="H290" s="50"/>
      <c r="I290" s="50"/>
      <c r="J290" s="50"/>
      <c r="K290" s="50"/>
      <c r="L290" s="50"/>
      <c r="M290" s="50"/>
      <c r="N290" s="90"/>
      <c r="O290" s="50"/>
      <c r="P290" s="50"/>
      <c r="Q290" s="50"/>
      <c r="R290" s="50"/>
      <c r="S290" s="50"/>
      <c r="T290" s="50"/>
      <c r="U290" s="50"/>
      <c r="V290" s="50"/>
      <c r="W290" s="50"/>
      <c r="X290" s="50"/>
      <c r="Y290" s="50"/>
      <c r="Z290" s="50"/>
    </row>
    <row r="291" spans="1:26" x14ac:dyDescent="0.3">
      <c r="A291" s="50"/>
      <c r="B291" s="50"/>
      <c r="C291" s="50"/>
      <c r="E291" s="50"/>
      <c r="F291" s="50"/>
      <c r="G291" s="50"/>
      <c r="H291" s="50"/>
      <c r="I291" s="50"/>
      <c r="J291" s="50"/>
      <c r="K291" s="50"/>
      <c r="L291" s="50"/>
      <c r="M291" s="50"/>
      <c r="N291" s="90"/>
      <c r="O291" s="50"/>
      <c r="P291" s="50"/>
      <c r="Q291" s="50"/>
      <c r="R291" s="50"/>
      <c r="S291" s="50"/>
      <c r="T291" s="50"/>
      <c r="U291" s="50"/>
      <c r="V291" s="50"/>
      <c r="W291" s="50"/>
      <c r="X291" s="50"/>
      <c r="Y291" s="50"/>
      <c r="Z291" s="50"/>
    </row>
    <row r="292" spans="1:26" x14ac:dyDescent="0.3">
      <c r="A292" s="50"/>
      <c r="B292" s="50"/>
      <c r="C292" s="50"/>
      <c r="E292" s="50"/>
      <c r="F292" s="50"/>
      <c r="G292" s="50"/>
      <c r="H292" s="50"/>
      <c r="I292" s="50"/>
      <c r="J292" s="50"/>
      <c r="K292" s="50"/>
      <c r="L292" s="50"/>
      <c r="M292" s="50"/>
      <c r="N292" s="90"/>
      <c r="O292" s="50"/>
      <c r="P292" s="50"/>
      <c r="Q292" s="50"/>
      <c r="R292" s="50"/>
      <c r="S292" s="50"/>
      <c r="T292" s="50"/>
      <c r="U292" s="50"/>
      <c r="V292" s="50"/>
      <c r="W292" s="50"/>
      <c r="X292" s="50"/>
      <c r="Y292" s="50"/>
      <c r="Z292" s="50"/>
    </row>
    <row r="293" spans="1:26" x14ac:dyDescent="0.3">
      <c r="A293" s="50"/>
      <c r="B293" s="50"/>
      <c r="C293" s="50"/>
      <c r="E293" s="50"/>
      <c r="F293" s="50"/>
      <c r="G293" s="50"/>
      <c r="H293" s="50"/>
      <c r="I293" s="50"/>
      <c r="J293" s="50"/>
      <c r="K293" s="50"/>
      <c r="L293" s="50"/>
      <c r="M293" s="50"/>
      <c r="N293" s="90"/>
      <c r="O293" s="50"/>
      <c r="P293" s="50"/>
      <c r="Q293" s="50"/>
      <c r="R293" s="50"/>
      <c r="S293" s="50"/>
      <c r="T293" s="50"/>
      <c r="U293" s="50"/>
      <c r="V293" s="50"/>
      <c r="W293" s="50"/>
      <c r="X293" s="50"/>
      <c r="Y293" s="50"/>
      <c r="Z293" s="50"/>
    </row>
    <row r="294" spans="1:26" x14ac:dyDescent="0.3">
      <c r="A294" s="50"/>
      <c r="B294" s="50"/>
      <c r="C294" s="50"/>
      <c r="E294" s="50"/>
      <c r="F294" s="50"/>
      <c r="G294" s="50"/>
      <c r="H294" s="50"/>
      <c r="I294" s="50"/>
      <c r="J294" s="50"/>
      <c r="K294" s="50"/>
      <c r="L294" s="50"/>
      <c r="M294" s="50"/>
      <c r="N294" s="90"/>
      <c r="O294" s="50"/>
      <c r="P294" s="50"/>
      <c r="Q294" s="50"/>
      <c r="R294" s="50"/>
      <c r="S294" s="50"/>
      <c r="T294" s="50"/>
      <c r="U294" s="50"/>
      <c r="V294" s="50"/>
      <c r="W294" s="50"/>
      <c r="X294" s="50"/>
      <c r="Y294" s="50"/>
      <c r="Z294" s="50"/>
    </row>
    <row r="295" spans="1:26" x14ac:dyDescent="0.3">
      <c r="A295" s="50"/>
      <c r="B295" s="50"/>
      <c r="C295" s="50"/>
      <c r="E295" s="50"/>
      <c r="F295" s="50"/>
      <c r="G295" s="50"/>
      <c r="H295" s="50"/>
      <c r="I295" s="50"/>
      <c r="J295" s="50"/>
      <c r="K295" s="50"/>
      <c r="L295" s="50"/>
      <c r="M295" s="50"/>
      <c r="N295" s="90"/>
      <c r="O295" s="50"/>
      <c r="P295" s="50"/>
      <c r="Q295" s="50"/>
      <c r="R295" s="50"/>
      <c r="S295" s="50"/>
      <c r="T295" s="50"/>
      <c r="U295" s="50"/>
      <c r="V295" s="50"/>
      <c r="W295" s="50"/>
      <c r="X295" s="50"/>
      <c r="Y295" s="50"/>
      <c r="Z295" s="50"/>
    </row>
    <row r="296" spans="1:26" x14ac:dyDescent="0.3">
      <c r="A296" s="50"/>
      <c r="B296" s="50"/>
      <c r="C296" s="50"/>
      <c r="E296" s="50"/>
      <c r="F296" s="50"/>
      <c r="G296" s="50"/>
      <c r="H296" s="50"/>
      <c r="I296" s="50"/>
      <c r="J296" s="50"/>
      <c r="K296" s="50"/>
      <c r="L296" s="50"/>
      <c r="M296" s="50"/>
      <c r="N296" s="90"/>
      <c r="O296" s="50"/>
      <c r="P296" s="50"/>
      <c r="Q296" s="50"/>
      <c r="R296" s="50"/>
      <c r="S296" s="50"/>
      <c r="T296" s="50"/>
      <c r="U296" s="50"/>
      <c r="V296" s="50"/>
      <c r="W296" s="50"/>
      <c r="X296" s="50"/>
      <c r="Y296" s="50"/>
      <c r="Z296" s="50"/>
    </row>
    <row r="297" spans="1:26" x14ac:dyDescent="0.3">
      <c r="A297" s="50"/>
      <c r="B297" s="50"/>
      <c r="C297" s="50"/>
      <c r="E297" s="50"/>
      <c r="F297" s="50"/>
      <c r="G297" s="50"/>
      <c r="H297" s="50"/>
      <c r="I297" s="50"/>
      <c r="J297" s="50"/>
      <c r="K297" s="50"/>
      <c r="L297" s="50"/>
      <c r="M297" s="50"/>
      <c r="N297" s="90"/>
      <c r="O297" s="50"/>
      <c r="P297" s="50"/>
      <c r="Q297" s="50"/>
      <c r="R297" s="50"/>
      <c r="S297" s="50"/>
      <c r="T297" s="50"/>
      <c r="U297" s="50"/>
      <c r="V297" s="50"/>
      <c r="W297" s="50"/>
      <c r="X297" s="50"/>
      <c r="Y297" s="50"/>
      <c r="Z297" s="50"/>
    </row>
    <row r="298" spans="1:26" x14ac:dyDescent="0.3">
      <c r="A298" s="50"/>
      <c r="B298" s="50"/>
      <c r="C298" s="50"/>
      <c r="E298" s="50"/>
      <c r="F298" s="50"/>
      <c r="G298" s="50"/>
      <c r="H298" s="50"/>
      <c r="I298" s="50"/>
      <c r="J298" s="50"/>
      <c r="K298" s="50"/>
      <c r="L298" s="50"/>
      <c r="M298" s="50"/>
      <c r="N298" s="90"/>
      <c r="O298" s="50"/>
      <c r="P298" s="50"/>
      <c r="Q298" s="50"/>
      <c r="R298" s="50"/>
      <c r="S298" s="50"/>
      <c r="T298" s="50"/>
      <c r="U298" s="50"/>
      <c r="V298" s="50"/>
      <c r="W298" s="50"/>
      <c r="X298" s="50"/>
      <c r="Y298" s="50"/>
      <c r="Z298" s="50"/>
    </row>
    <row r="299" spans="1:26" x14ac:dyDescent="0.3">
      <c r="A299" s="50"/>
      <c r="B299" s="50"/>
      <c r="C299" s="50"/>
      <c r="E299" s="50"/>
      <c r="F299" s="50"/>
      <c r="G299" s="50"/>
      <c r="H299" s="50"/>
      <c r="I299" s="50"/>
      <c r="J299" s="50"/>
      <c r="K299" s="50"/>
      <c r="L299" s="50"/>
      <c r="M299" s="50"/>
      <c r="N299" s="90"/>
      <c r="O299" s="50"/>
      <c r="P299" s="50"/>
      <c r="Q299" s="50"/>
      <c r="R299" s="50"/>
      <c r="S299" s="50"/>
      <c r="T299" s="50"/>
      <c r="U299" s="50"/>
      <c r="V299" s="50"/>
      <c r="W299" s="50"/>
      <c r="X299" s="50"/>
      <c r="Y299" s="50"/>
      <c r="Z299" s="50"/>
    </row>
    <row r="300" spans="1:26" x14ac:dyDescent="0.3">
      <c r="A300" s="50"/>
      <c r="B300" s="50"/>
      <c r="C300" s="50"/>
      <c r="E300" s="50"/>
      <c r="F300" s="50"/>
      <c r="G300" s="50"/>
      <c r="H300" s="50"/>
      <c r="I300" s="50"/>
      <c r="J300" s="50"/>
      <c r="K300" s="50"/>
      <c r="L300" s="50"/>
      <c r="M300" s="50"/>
      <c r="N300" s="90"/>
      <c r="O300" s="50"/>
      <c r="P300" s="50"/>
      <c r="Q300" s="50"/>
      <c r="R300" s="50"/>
      <c r="S300" s="50"/>
      <c r="T300" s="50"/>
      <c r="U300" s="50"/>
      <c r="V300" s="50"/>
      <c r="W300" s="50"/>
      <c r="X300" s="50"/>
      <c r="Y300" s="50"/>
      <c r="Z300" s="50"/>
    </row>
    <row r="301" spans="1:26" x14ac:dyDescent="0.3">
      <c r="A301" s="50"/>
      <c r="B301" s="50"/>
      <c r="C301" s="50"/>
      <c r="E301" s="50"/>
      <c r="F301" s="50"/>
      <c r="G301" s="50"/>
      <c r="H301" s="50"/>
      <c r="I301" s="50"/>
      <c r="J301" s="50"/>
      <c r="K301" s="50"/>
      <c r="L301" s="50"/>
      <c r="M301" s="50"/>
      <c r="N301" s="90"/>
      <c r="O301" s="50"/>
      <c r="P301" s="50"/>
      <c r="Q301" s="50"/>
      <c r="R301" s="50"/>
      <c r="S301" s="50"/>
      <c r="T301" s="50"/>
      <c r="U301" s="50"/>
      <c r="V301" s="50"/>
      <c r="W301" s="50"/>
      <c r="X301" s="50"/>
      <c r="Y301" s="50"/>
      <c r="Z301" s="50"/>
    </row>
    <row r="302" spans="1:26" x14ac:dyDescent="0.3">
      <c r="A302" s="50"/>
      <c r="B302" s="50"/>
      <c r="C302" s="50"/>
      <c r="E302" s="50"/>
      <c r="F302" s="50"/>
      <c r="G302" s="50"/>
      <c r="H302" s="50"/>
      <c r="I302" s="50"/>
      <c r="J302" s="50"/>
      <c r="K302" s="50"/>
      <c r="L302" s="50"/>
      <c r="M302" s="50"/>
      <c r="N302" s="90"/>
      <c r="O302" s="50"/>
      <c r="P302" s="50"/>
      <c r="Q302" s="50"/>
      <c r="R302" s="50"/>
      <c r="S302" s="50"/>
      <c r="T302" s="50"/>
      <c r="U302" s="50"/>
      <c r="V302" s="50"/>
      <c r="W302" s="50"/>
      <c r="X302" s="50"/>
      <c r="Y302" s="50"/>
      <c r="Z302" s="50"/>
    </row>
    <row r="303" spans="1:26" x14ac:dyDescent="0.3">
      <c r="A303" s="50"/>
      <c r="B303" s="50"/>
      <c r="C303" s="50"/>
      <c r="E303" s="50"/>
      <c r="F303" s="50"/>
      <c r="G303" s="50"/>
      <c r="H303" s="50"/>
      <c r="I303" s="50"/>
      <c r="J303" s="50"/>
      <c r="K303" s="50"/>
      <c r="L303" s="50"/>
      <c r="M303" s="50"/>
      <c r="N303" s="90"/>
      <c r="O303" s="50"/>
      <c r="P303" s="50"/>
      <c r="Q303" s="50"/>
      <c r="R303" s="50"/>
      <c r="S303" s="50"/>
      <c r="T303" s="50"/>
      <c r="U303" s="50"/>
      <c r="V303" s="50"/>
      <c r="W303" s="50"/>
      <c r="X303" s="50"/>
      <c r="Y303" s="50"/>
      <c r="Z303" s="50"/>
    </row>
    <row r="304" spans="1:26" x14ac:dyDescent="0.3">
      <c r="A304" s="50"/>
      <c r="B304" s="50"/>
      <c r="C304" s="50"/>
      <c r="E304" s="50"/>
      <c r="F304" s="50"/>
      <c r="G304" s="50"/>
      <c r="H304" s="50"/>
      <c r="I304" s="50"/>
      <c r="J304" s="50"/>
      <c r="K304" s="50"/>
      <c r="L304" s="50"/>
      <c r="M304" s="50"/>
      <c r="N304" s="90"/>
      <c r="O304" s="50"/>
      <c r="P304" s="50"/>
      <c r="Q304" s="50"/>
      <c r="R304" s="50"/>
      <c r="S304" s="50"/>
      <c r="T304" s="50"/>
      <c r="U304" s="50"/>
      <c r="V304" s="50"/>
      <c r="W304" s="50"/>
      <c r="X304" s="50"/>
      <c r="Y304" s="50"/>
      <c r="Z304" s="50"/>
    </row>
    <row r="305" spans="1:26" x14ac:dyDescent="0.3">
      <c r="A305" s="50"/>
      <c r="B305" s="50"/>
      <c r="C305" s="50"/>
      <c r="E305" s="50"/>
      <c r="F305" s="50"/>
      <c r="G305" s="50"/>
      <c r="H305" s="50"/>
      <c r="I305" s="50"/>
      <c r="J305" s="50"/>
      <c r="K305" s="50"/>
      <c r="L305" s="50"/>
      <c r="M305" s="50"/>
      <c r="N305" s="90"/>
      <c r="O305" s="50"/>
      <c r="P305" s="50"/>
      <c r="Q305" s="50"/>
      <c r="R305" s="50"/>
      <c r="S305" s="50"/>
      <c r="T305" s="50"/>
      <c r="U305" s="50"/>
      <c r="V305" s="50"/>
      <c r="W305" s="50"/>
      <c r="X305" s="50"/>
      <c r="Y305" s="50"/>
      <c r="Z305" s="50"/>
    </row>
    <row r="306" spans="1:26" x14ac:dyDescent="0.3">
      <c r="A306" s="50"/>
      <c r="B306" s="50"/>
      <c r="C306" s="50"/>
      <c r="E306" s="50"/>
      <c r="F306" s="50"/>
      <c r="G306" s="50"/>
      <c r="H306" s="50"/>
      <c r="I306" s="50"/>
      <c r="J306" s="50"/>
      <c r="K306" s="50"/>
      <c r="L306" s="50"/>
      <c r="M306" s="50"/>
      <c r="N306" s="90"/>
      <c r="O306" s="50"/>
      <c r="P306" s="50"/>
      <c r="Q306" s="50"/>
      <c r="R306" s="50"/>
      <c r="S306" s="50"/>
      <c r="T306" s="50"/>
      <c r="U306" s="50"/>
      <c r="V306" s="50"/>
      <c r="W306" s="50"/>
      <c r="X306" s="50"/>
      <c r="Y306" s="50"/>
      <c r="Z306" s="50"/>
    </row>
    <row r="307" spans="1:26" x14ac:dyDescent="0.3">
      <c r="A307" s="50"/>
      <c r="B307" s="50"/>
      <c r="C307" s="50"/>
      <c r="E307" s="50"/>
      <c r="F307" s="50"/>
      <c r="G307" s="50"/>
      <c r="H307" s="50"/>
      <c r="I307" s="50"/>
      <c r="J307" s="50"/>
      <c r="K307" s="50"/>
      <c r="L307" s="50"/>
      <c r="M307" s="50"/>
      <c r="N307" s="90"/>
      <c r="O307" s="50"/>
      <c r="P307" s="50"/>
      <c r="Q307" s="50"/>
      <c r="R307" s="50"/>
      <c r="S307" s="50"/>
      <c r="T307" s="50"/>
      <c r="U307" s="50"/>
      <c r="V307" s="50"/>
      <c r="W307" s="50"/>
      <c r="X307" s="50"/>
      <c r="Y307" s="50"/>
      <c r="Z307" s="50"/>
    </row>
    <row r="308" spans="1:26" x14ac:dyDescent="0.3">
      <c r="A308" s="50"/>
      <c r="B308" s="50"/>
      <c r="C308" s="50"/>
      <c r="E308" s="50"/>
      <c r="F308" s="50"/>
      <c r="G308" s="50"/>
      <c r="H308" s="50"/>
      <c r="I308" s="50"/>
      <c r="J308" s="50"/>
      <c r="K308" s="50"/>
      <c r="L308" s="50"/>
      <c r="M308" s="50"/>
      <c r="N308" s="90"/>
      <c r="O308" s="50"/>
      <c r="P308" s="50"/>
      <c r="Q308" s="50"/>
      <c r="R308" s="50"/>
      <c r="S308" s="50"/>
      <c r="T308" s="50"/>
      <c r="U308" s="50"/>
      <c r="V308" s="50"/>
      <c r="W308" s="50"/>
      <c r="X308" s="50"/>
      <c r="Y308" s="50"/>
      <c r="Z308" s="50"/>
    </row>
    <row r="309" spans="1:26" x14ac:dyDescent="0.3">
      <c r="A309" s="50"/>
      <c r="B309" s="50"/>
      <c r="C309" s="50"/>
      <c r="E309" s="50"/>
      <c r="F309" s="50"/>
      <c r="G309" s="50"/>
      <c r="H309" s="50"/>
      <c r="I309" s="50"/>
      <c r="J309" s="50"/>
      <c r="K309" s="50"/>
      <c r="L309" s="50"/>
      <c r="M309" s="50"/>
      <c r="N309" s="90"/>
      <c r="O309" s="50"/>
      <c r="P309" s="50"/>
      <c r="Q309" s="50"/>
      <c r="R309" s="50"/>
      <c r="S309" s="50"/>
      <c r="T309" s="50"/>
      <c r="U309" s="50"/>
      <c r="V309" s="50"/>
      <c r="W309" s="50"/>
      <c r="X309" s="50"/>
      <c r="Y309" s="50"/>
      <c r="Z309" s="50"/>
    </row>
    <row r="310" spans="1:26" x14ac:dyDescent="0.3">
      <c r="A310" s="50"/>
      <c r="B310" s="50"/>
      <c r="C310" s="50"/>
      <c r="E310" s="50"/>
      <c r="F310" s="50"/>
      <c r="G310" s="50"/>
      <c r="H310" s="50"/>
      <c r="I310" s="50"/>
      <c r="J310" s="50"/>
      <c r="K310" s="50"/>
      <c r="L310" s="50"/>
      <c r="M310" s="50"/>
      <c r="N310" s="90"/>
      <c r="O310" s="50"/>
      <c r="P310" s="50"/>
      <c r="Q310" s="50"/>
      <c r="R310" s="50"/>
      <c r="S310" s="50"/>
      <c r="T310" s="50"/>
      <c r="U310" s="50"/>
      <c r="V310" s="50"/>
      <c r="W310" s="50"/>
      <c r="X310" s="50"/>
      <c r="Y310" s="50"/>
      <c r="Z310" s="50"/>
    </row>
    <row r="311" spans="1:26" x14ac:dyDescent="0.3">
      <c r="A311" s="50"/>
      <c r="B311" s="50"/>
      <c r="C311" s="50"/>
      <c r="E311" s="50"/>
      <c r="F311" s="50"/>
      <c r="G311" s="50"/>
      <c r="H311" s="50"/>
      <c r="I311" s="50"/>
      <c r="J311" s="50"/>
      <c r="K311" s="50"/>
      <c r="L311" s="50"/>
      <c r="M311" s="50"/>
      <c r="N311" s="90"/>
      <c r="O311" s="50"/>
      <c r="P311" s="50"/>
      <c r="Q311" s="50"/>
      <c r="R311" s="50"/>
      <c r="S311" s="50"/>
      <c r="T311" s="50"/>
      <c r="U311" s="50"/>
      <c r="V311" s="50"/>
      <c r="W311" s="50"/>
      <c r="X311" s="50"/>
      <c r="Y311" s="50"/>
      <c r="Z311" s="50"/>
    </row>
    <row r="312" spans="1:26" x14ac:dyDescent="0.3">
      <c r="A312" s="50"/>
      <c r="B312" s="50"/>
      <c r="C312" s="50"/>
      <c r="E312" s="50"/>
      <c r="F312" s="50"/>
      <c r="G312" s="50"/>
      <c r="H312" s="50"/>
      <c r="I312" s="50"/>
      <c r="J312" s="50"/>
      <c r="K312" s="50"/>
      <c r="L312" s="50"/>
      <c r="M312" s="50"/>
      <c r="N312" s="90"/>
      <c r="O312" s="50"/>
      <c r="P312" s="50"/>
      <c r="Q312" s="50"/>
      <c r="R312" s="50"/>
      <c r="S312" s="50"/>
      <c r="T312" s="50"/>
      <c r="U312" s="50"/>
      <c r="V312" s="50"/>
      <c r="W312" s="50"/>
      <c r="X312" s="50"/>
      <c r="Y312" s="50"/>
      <c r="Z312" s="50"/>
    </row>
    <row r="313" spans="1:26" x14ac:dyDescent="0.3">
      <c r="A313" s="50"/>
      <c r="B313" s="50"/>
      <c r="C313" s="50"/>
      <c r="E313" s="50"/>
      <c r="F313" s="50"/>
      <c r="G313" s="50"/>
      <c r="H313" s="50"/>
      <c r="I313" s="50"/>
      <c r="J313" s="50"/>
      <c r="K313" s="50"/>
      <c r="L313" s="50"/>
      <c r="M313" s="50"/>
      <c r="N313" s="90"/>
      <c r="O313" s="50"/>
      <c r="P313" s="50"/>
      <c r="Q313" s="50"/>
      <c r="R313" s="50"/>
      <c r="S313" s="50"/>
      <c r="T313" s="50"/>
      <c r="U313" s="50"/>
      <c r="V313" s="50"/>
      <c r="W313" s="50"/>
      <c r="X313" s="50"/>
      <c r="Y313" s="50"/>
      <c r="Z313" s="50"/>
    </row>
    <row r="314" spans="1:26" x14ac:dyDescent="0.3">
      <c r="A314" s="50"/>
      <c r="B314" s="50"/>
      <c r="C314" s="50"/>
      <c r="E314" s="50"/>
      <c r="F314" s="50"/>
      <c r="G314" s="50"/>
      <c r="H314" s="50"/>
      <c r="I314" s="50"/>
      <c r="J314" s="50"/>
      <c r="K314" s="50"/>
      <c r="L314" s="50"/>
      <c r="M314" s="50"/>
      <c r="N314" s="90"/>
      <c r="O314" s="50"/>
      <c r="P314" s="50"/>
      <c r="Q314" s="50"/>
      <c r="R314" s="50"/>
      <c r="S314" s="50"/>
      <c r="T314" s="50"/>
      <c r="U314" s="50"/>
      <c r="V314" s="50"/>
      <c r="W314" s="50"/>
      <c r="X314" s="50"/>
      <c r="Y314" s="50"/>
      <c r="Z314" s="50"/>
    </row>
    <row r="315" spans="1:26" x14ac:dyDescent="0.3">
      <c r="A315" s="50"/>
      <c r="B315" s="50"/>
      <c r="C315" s="50"/>
      <c r="E315" s="50"/>
      <c r="F315" s="50"/>
      <c r="G315" s="50"/>
      <c r="H315" s="50"/>
      <c r="I315" s="50"/>
      <c r="J315" s="50"/>
      <c r="K315" s="50"/>
      <c r="L315" s="50"/>
      <c r="M315" s="50"/>
      <c r="N315" s="90"/>
      <c r="O315" s="50"/>
      <c r="P315" s="50"/>
      <c r="Q315" s="50"/>
      <c r="R315" s="50"/>
      <c r="S315" s="50"/>
      <c r="T315" s="50"/>
      <c r="U315" s="50"/>
      <c r="V315" s="50"/>
      <c r="W315" s="50"/>
      <c r="X315" s="50"/>
      <c r="Y315" s="50"/>
      <c r="Z315" s="50"/>
    </row>
    <row r="316" spans="1:26" x14ac:dyDescent="0.3">
      <c r="A316" s="50"/>
      <c r="B316" s="50"/>
      <c r="C316" s="50"/>
      <c r="E316" s="50"/>
      <c r="F316" s="50"/>
      <c r="G316" s="50"/>
      <c r="H316" s="50"/>
      <c r="I316" s="50"/>
      <c r="J316" s="50"/>
      <c r="K316" s="50"/>
      <c r="L316" s="50"/>
      <c r="M316" s="50"/>
      <c r="N316" s="90"/>
      <c r="O316" s="50"/>
      <c r="P316" s="50"/>
      <c r="Q316" s="50"/>
      <c r="R316" s="50"/>
      <c r="S316" s="50"/>
      <c r="T316" s="50"/>
      <c r="U316" s="50"/>
      <c r="V316" s="50"/>
      <c r="W316" s="50"/>
      <c r="X316" s="50"/>
      <c r="Y316" s="50"/>
      <c r="Z316" s="50"/>
    </row>
    <row r="317" spans="1:26" x14ac:dyDescent="0.3">
      <c r="A317" s="50"/>
      <c r="B317" s="50"/>
      <c r="C317" s="50"/>
      <c r="E317" s="50"/>
      <c r="F317" s="50"/>
      <c r="G317" s="50"/>
      <c r="H317" s="50"/>
      <c r="I317" s="50"/>
      <c r="J317" s="50"/>
      <c r="K317" s="50"/>
      <c r="L317" s="50"/>
      <c r="M317" s="50"/>
      <c r="N317" s="90"/>
      <c r="O317" s="50"/>
      <c r="P317" s="50"/>
      <c r="Q317" s="50"/>
      <c r="R317" s="50"/>
      <c r="S317" s="50"/>
      <c r="T317" s="50"/>
      <c r="U317" s="50"/>
      <c r="V317" s="50"/>
      <c r="W317" s="50"/>
      <c r="X317" s="50"/>
      <c r="Y317" s="50"/>
      <c r="Z317" s="50"/>
    </row>
    <row r="318" spans="1:26" x14ac:dyDescent="0.3">
      <c r="A318" s="50"/>
      <c r="B318" s="50"/>
      <c r="C318" s="50"/>
      <c r="E318" s="50"/>
      <c r="F318" s="50"/>
      <c r="G318" s="50"/>
      <c r="H318" s="50"/>
      <c r="I318" s="50"/>
      <c r="J318" s="50"/>
      <c r="K318" s="50"/>
      <c r="L318" s="50"/>
      <c r="M318" s="50"/>
      <c r="N318" s="90"/>
      <c r="O318" s="50"/>
      <c r="P318" s="50"/>
      <c r="Q318" s="50"/>
      <c r="R318" s="50"/>
      <c r="S318" s="50"/>
      <c r="T318" s="50"/>
      <c r="U318" s="50"/>
      <c r="V318" s="50"/>
      <c r="W318" s="50"/>
      <c r="X318" s="50"/>
      <c r="Y318" s="50"/>
      <c r="Z318" s="50"/>
    </row>
    <row r="319" spans="1:26" x14ac:dyDescent="0.3">
      <c r="A319" s="50"/>
      <c r="B319" s="50"/>
      <c r="C319" s="50"/>
      <c r="E319" s="50"/>
      <c r="F319" s="50"/>
      <c r="G319" s="50"/>
      <c r="H319" s="50"/>
      <c r="I319" s="50"/>
      <c r="J319" s="50"/>
      <c r="K319" s="50"/>
      <c r="L319" s="50"/>
      <c r="M319" s="50"/>
      <c r="N319" s="90"/>
      <c r="O319" s="50"/>
      <c r="P319" s="50"/>
      <c r="Q319" s="50"/>
      <c r="R319" s="50"/>
      <c r="S319" s="50"/>
      <c r="T319" s="50"/>
      <c r="U319" s="50"/>
      <c r="V319" s="50"/>
      <c r="W319" s="50"/>
      <c r="X319" s="50"/>
      <c r="Y319" s="50"/>
      <c r="Z319" s="50"/>
    </row>
    <row r="320" spans="1:26" x14ac:dyDescent="0.3">
      <c r="A320" s="50"/>
      <c r="B320" s="50"/>
      <c r="C320" s="50"/>
      <c r="E320" s="50"/>
      <c r="F320" s="50"/>
      <c r="G320" s="50"/>
      <c r="H320" s="50"/>
      <c r="I320" s="50"/>
      <c r="J320" s="50"/>
      <c r="K320" s="50"/>
      <c r="L320" s="50"/>
      <c r="M320" s="50"/>
      <c r="N320" s="90"/>
      <c r="O320" s="50"/>
      <c r="P320" s="50"/>
      <c r="Q320" s="50"/>
      <c r="R320" s="50"/>
      <c r="S320" s="50"/>
      <c r="T320" s="50"/>
      <c r="U320" s="50"/>
      <c r="V320" s="50"/>
      <c r="W320" s="50"/>
      <c r="X320" s="50"/>
      <c r="Y320" s="50"/>
      <c r="Z320" s="50"/>
    </row>
    <row r="321" spans="1:26" x14ac:dyDescent="0.3">
      <c r="A321" s="50"/>
      <c r="B321" s="50"/>
      <c r="C321" s="50"/>
      <c r="E321" s="50"/>
      <c r="F321" s="50"/>
      <c r="G321" s="50"/>
      <c r="H321" s="50"/>
      <c r="I321" s="50"/>
      <c r="J321" s="50"/>
      <c r="K321" s="50"/>
      <c r="L321" s="50"/>
      <c r="M321" s="50"/>
      <c r="N321" s="90"/>
      <c r="O321" s="50"/>
      <c r="P321" s="50"/>
      <c r="Q321" s="50"/>
      <c r="R321" s="50"/>
      <c r="S321" s="50"/>
      <c r="T321" s="50"/>
      <c r="U321" s="50"/>
      <c r="V321" s="50"/>
      <c r="W321" s="50"/>
      <c r="X321" s="50"/>
      <c r="Y321" s="50"/>
      <c r="Z321" s="50"/>
    </row>
    <row r="322" spans="1:26" x14ac:dyDescent="0.3">
      <c r="A322" s="50"/>
      <c r="B322" s="50"/>
      <c r="C322" s="50"/>
      <c r="E322" s="50"/>
      <c r="F322" s="50"/>
      <c r="G322" s="50"/>
      <c r="H322" s="50"/>
      <c r="I322" s="50"/>
      <c r="J322" s="50"/>
      <c r="K322" s="50"/>
      <c r="L322" s="50"/>
      <c r="M322" s="50"/>
      <c r="N322" s="90"/>
      <c r="O322" s="50"/>
      <c r="P322" s="50"/>
      <c r="Q322" s="50"/>
      <c r="R322" s="50"/>
      <c r="S322" s="50"/>
      <c r="T322" s="50"/>
      <c r="U322" s="50"/>
      <c r="V322" s="50"/>
      <c r="W322" s="50"/>
      <c r="X322" s="50"/>
      <c r="Y322" s="50"/>
      <c r="Z322" s="50"/>
    </row>
    <row r="323" spans="1:26" x14ac:dyDescent="0.3">
      <c r="A323" s="50"/>
      <c r="B323" s="50"/>
      <c r="C323" s="50"/>
      <c r="E323" s="50"/>
      <c r="F323" s="50"/>
      <c r="G323" s="50"/>
      <c r="H323" s="50"/>
      <c r="I323" s="50"/>
      <c r="J323" s="50"/>
      <c r="K323" s="50"/>
      <c r="L323" s="50"/>
      <c r="M323" s="50"/>
      <c r="N323" s="90"/>
      <c r="O323" s="50"/>
      <c r="P323" s="50"/>
      <c r="Q323" s="50"/>
      <c r="R323" s="50"/>
      <c r="S323" s="50"/>
      <c r="T323" s="50"/>
      <c r="U323" s="50"/>
      <c r="V323" s="50"/>
      <c r="W323" s="50"/>
      <c r="X323" s="50"/>
      <c r="Y323" s="50"/>
      <c r="Z323" s="50"/>
    </row>
    <row r="324" spans="1:26" x14ac:dyDescent="0.3">
      <c r="A324" s="50"/>
      <c r="B324" s="50"/>
      <c r="C324" s="50"/>
      <c r="E324" s="50"/>
      <c r="F324" s="50"/>
      <c r="G324" s="50"/>
      <c r="H324" s="50"/>
      <c r="I324" s="50"/>
      <c r="J324" s="50"/>
      <c r="K324" s="50"/>
      <c r="L324" s="50"/>
      <c r="M324" s="50"/>
      <c r="N324" s="90"/>
      <c r="O324" s="50"/>
      <c r="P324" s="50"/>
      <c r="Q324" s="50"/>
      <c r="R324" s="50"/>
      <c r="S324" s="50"/>
      <c r="T324" s="50"/>
      <c r="U324" s="50"/>
      <c r="V324" s="50"/>
      <c r="W324" s="50"/>
      <c r="X324" s="50"/>
      <c r="Y324" s="50"/>
      <c r="Z324" s="50"/>
    </row>
    <row r="325" spans="1:26" x14ac:dyDescent="0.3">
      <c r="A325" s="50"/>
      <c r="B325" s="50"/>
      <c r="C325" s="50"/>
      <c r="E325" s="50"/>
      <c r="F325" s="50"/>
      <c r="G325" s="50"/>
      <c r="H325" s="50"/>
      <c r="I325" s="50"/>
      <c r="J325" s="50"/>
      <c r="K325" s="50"/>
      <c r="L325" s="50"/>
      <c r="M325" s="50"/>
      <c r="N325" s="90"/>
      <c r="O325" s="50"/>
      <c r="P325" s="50"/>
      <c r="Q325" s="50"/>
      <c r="R325" s="50"/>
      <c r="S325" s="50"/>
      <c r="T325" s="50"/>
      <c r="U325" s="50"/>
      <c r="V325" s="50"/>
      <c r="W325" s="50"/>
      <c r="X325" s="50"/>
      <c r="Y325" s="50"/>
      <c r="Z325" s="50"/>
    </row>
    <row r="326" spans="1:26" x14ac:dyDescent="0.3">
      <c r="A326" s="50"/>
      <c r="B326" s="50"/>
      <c r="C326" s="50"/>
      <c r="E326" s="50"/>
      <c r="F326" s="50"/>
      <c r="G326" s="50"/>
      <c r="H326" s="50"/>
      <c r="I326" s="50"/>
      <c r="J326" s="50"/>
      <c r="K326" s="50"/>
      <c r="L326" s="50"/>
      <c r="M326" s="50"/>
      <c r="N326" s="90"/>
      <c r="O326" s="50"/>
      <c r="P326" s="50"/>
      <c r="Q326" s="50"/>
      <c r="R326" s="50"/>
      <c r="S326" s="50"/>
      <c r="T326" s="50"/>
      <c r="U326" s="50"/>
      <c r="V326" s="50"/>
      <c r="W326" s="50"/>
      <c r="X326" s="50"/>
      <c r="Y326" s="50"/>
      <c r="Z326" s="50"/>
    </row>
    <row r="327" spans="1:26" x14ac:dyDescent="0.3">
      <c r="A327" s="50"/>
      <c r="B327" s="50"/>
      <c r="C327" s="50"/>
      <c r="E327" s="50"/>
      <c r="F327" s="50"/>
      <c r="G327" s="50"/>
      <c r="H327" s="50"/>
      <c r="I327" s="50"/>
      <c r="J327" s="50"/>
      <c r="K327" s="50"/>
      <c r="L327" s="50"/>
      <c r="M327" s="50"/>
      <c r="N327" s="90"/>
      <c r="O327" s="50"/>
      <c r="P327" s="50"/>
      <c r="Q327" s="50"/>
      <c r="R327" s="50"/>
      <c r="S327" s="50"/>
      <c r="T327" s="50"/>
      <c r="U327" s="50"/>
      <c r="V327" s="50"/>
      <c r="W327" s="50"/>
      <c r="X327" s="50"/>
      <c r="Y327" s="50"/>
      <c r="Z327" s="50"/>
    </row>
    <row r="328" spans="1:26" x14ac:dyDescent="0.3">
      <c r="A328" s="50"/>
      <c r="B328" s="50"/>
      <c r="C328" s="50"/>
      <c r="E328" s="50"/>
      <c r="F328" s="50"/>
      <c r="G328" s="50"/>
      <c r="H328" s="50"/>
      <c r="I328" s="50"/>
      <c r="J328" s="50"/>
      <c r="K328" s="50"/>
      <c r="L328" s="50"/>
      <c r="M328" s="50"/>
      <c r="N328" s="90"/>
      <c r="O328" s="50"/>
      <c r="P328" s="50"/>
      <c r="Q328" s="50"/>
      <c r="R328" s="50"/>
      <c r="S328" s="50"/>
      <c r="T328" s="50"/>
      <c r="U328" s="50"/>
      <c r="V328" s="50"/>
      <c r="W328" s="50"/>
      <c r="X328" s="50"/>
      <c r="Y328" s="50"/>
      <c r="Z328" s="50"/>
    </row>
    <row r="329" spans="1:26" x14ac:dyDescent="0.3">
      <c r="A329" s="50"/>
      <c r="B329" s="50"/>
      <c r="C329" s="50"/>
      <c r="E329" s="50"/>
      <c r="F329" s="50"/>
      <c r="G329" s="50"/>
      <c r="H329" s="50"/>
      <c r="I329" s="50"/>
      <c r="J329" s="50"/>
      <c r="K329" s="50"/>
      <c r="L329" s="50"/>
      <c r="M329" s="50"/>
      <c r="N329" s="90"/>
      <c r="O329" s="50"/>
      <c r="P329" s="50"/>
      <c r="Q329" s="50"/>
      <c r="R329" s="50"/>
      <c r="S329" s="50"/>
      <c r="T329" s="50"/>
      <c r="U329" s="50"/>
      <c r="V329" s="50"/>
      <c r="W329" s="50"/>
      <c r="X329" s="50"/>
      <c r="Y329" s="50"/>
      <c r="Z329" s="50"/>
    </row>
    <row r="330" spans="1:26" x14ac:dyDescent="0.3">
      <c r="A330" s="50"/>
      <c r="B330" s="50"/>
      <c r="C330" s="50"/>
      <c r="E330" s="50"/>
      <c r="F330" s="50"/>
      <c r="G330" s="50"/>
      <c r="H330" s="50"/>
      <c r="I330" s="50"/>
      <c r="J330" s="50"/>
      <c r="K330" s="50"/>
      <c r="L330" s="50"/>
      <c r="M330" s="50"/>
      <c r="N330" s="90"/>
      <c r="O330" s="50"/>
      <c r="P330" s="50"/>
      <c r="Q330" s="50"/>
      <c r="R330" s="50"/>
      <c r="S330" s="50"/>
      <c r="T330" s="50"/>
      <c r="U330" s="50"/>
      <c r="V330" s="50"/>
      <c r="W330" s="50"/>
      <c r="X330" s="50"/>
      <c r="Y330" s="50"/>
      <c r="Z330" s="50"/>
    </row>
    <row r="331" spans="1:26" x14ac:dyDescent="0.3">
      <c r="A331" s="50"/>
      <c r="B331" s="50"/>
      <c r="C331" s="50"/>
      <c r="E331" s="50"/>
      <c r="F331" s="50"/>
      <c r="G331" s="50"/>
      <c r="H331" s="50"/>
      <c r="I331" s="50"/>
      <c r="J331" s="50"/>
      <c r="K331" s="50"/>
      <c r="L331" s="50"/>
      <c r="M331" s="50"/>
      <c r="N331" s="90"/>
      <c r="O331" s="50"/>
      <c r="P331" s="50"/>
      <c r="Q331" s="50"/>
      <c r="R331" s="50"/>
      <c r="S331" s="50"/>
      <c r="T331" s="50"/>
      <c r="U331" s="50"/>
      <c r="V331" s="50"/>
      <c r="W331" s="50"/>
      <c r="X331" s="50"/>
      <c r="Y331" s="50"/>
      <c r="Z331" s="50"/>
    </row>
    <row r="332" spans="1:26" x14ac:dyDescent="0.3">
      <c r="A332" s="50"/>
      <c r="B332" s="50"/>
      <c r="C332" s="50"/>
      <c r="E332" s="50"/>
      <c r="F332" s="50"/>
      <c r="G332" s="50"/>
      <c r="H332" s="50"/>
      <c r="I332" s="50"/>
      <c r="J332" s="50"/>
      <c r="K332" s="50"/>
      <c r="L332" s="50"/>
      <c r="M332" s="50"/>
      <c r="N332" s="90"/>
      <c r="O332" s="50"/>
      <c r="P332" s="50"/>
      <c r="Q332" s="50"/>
      <c r="R332" s="50"/>
      <c r="S332" s="50"/>
      <c r="T332" s="50"/>
      <c r="U332" s="50"/>
      <c r="V332" s="50"/>
      <c r="W332" s="50"/>
      <c r="X332" s="50"/>
      <c r="Y332" s="50"/>
      <c r="Z332" s="50"/>
    </row>
    <row r="333" spans="1:26" x14ac:dyDescent="0.3">
      <c r="A333" s="50"/>
      <c r="B333" s="50"/>
      <c r="C333" s="50"/>
      <c r="E333" s="50"/>
      <c r="F333" s="50"/>
      <c r="G333" s="50"/>
      <c r="H333" s="50"/>
      <c r="I333" s="50"/>
      <c r="J333" s="50"/>
      <c r="K333" s="50"/>
      <c r="L333" s="50"/>
      <c r="M333" s="50"/>
      <c r="N333" s="90"/>
      <c r="O333" s="50"/>
      <c r="P333" s="50"/>
      <c r="Q333" s="50"/>
      <c r="R333" s="50"/>
      <c r="S333" s="50"/>
      <c r="T333" s="50"/>
      <c r="U333" s="50"/>
      <c r="V333" s="50"/>
      <c r="W333" s="50"/>
      <c r="X333" s="50"/>
      <c r="Y333" s="50"/>
      <c r="Z333" s="50"/>
    </row>
    <row r="334" spans="1:26" x14ac:dyDescent="0.3">
      <c r="A334" s="50"/>
      <c r="B334" s="50"/>
      <c r="C334" s="50"/>
      <c r="E334" s="50"/>
      <c r="F334" s="50"/>
      <c r="G334" s="50"/>
      <c r="H334" s="50"/>
      <c r="I334" s="50"/>
      <c r="J334" s="50"/>
      <c r="K334" s="50"/>
      <c r="L334" s="50"/>
      <c r="M334" s="50"/>
      <c r="N334" s="90"/>
      <c r="O334" s="50"/>
      <c r="P334" s="50"/>
      <c r="Q334" s="50"/>
      <c r="R334" s="50"/>
      <c r="S334" s="50"/>
      <c r="T334" s="50"/>
      <c r="U334" s="50"/>
      <c r="V334" s="50"/>
      <c r="W334" s="50"/>
      <c r="X334" s="50"/>
      <c r="Y334" s="50"/>
      <c r="Z334" s="50"/>
    </row>
    <row r="335" spans="1:26" x14ac:dyDescent="0.3">
      <c r="A335" s="50"/>
      <c r="B335" s="50"/>
      <c r="C335" s="50"/>
      <c r="E335" s="50"/>
      <c r="F335" s="50"/>
      <c r="G335" s="50"/>
      <c r="H335" s="50"/>
      <c r="I335" s="50"/>
      <c r="J335" s="50"/>
      <c r="K335" s="50"/>
      <c r="L335" s="50"/>
      <c r="M335" s="50"/>
      <c r="N335" s="90"/>
      <c r="O335" s="50"/>
      <c r="P335" s="50"/>
      <c r="Q335" s="50"/>
      <c r="R335" s="50"/>
      <c r="S335" s="50"/>
      <c r="T335" s="50"/>
      <c r="U335" s="50"/>
      <c r="V335" s="50"/>
      <c r="W335" s="50"/>
      <c r="X335" s="50"/>
      <c r="Y335" s="50"/>
      <c r="Z335" s="50"/>
    </row>
    <row r="336" spans="1:26" x14ac:dyDescent="0.3">
      <c r="A336" s="50"/>
      <c r="B336" s="50"/>
      <c r="C336" s="50"/>
      <c r="E336" s="50"/>
      <c r="F336" s="50"/>
      <c r="G336" s="50"/>
      <c r="H336" s="50"/>
      <c r="I336" s="50"/>
      <c r="J336" s="50"/>
      <c r="K336" s="50"/>
      <c r="L336" s="50"/>
      <c r="M336" s="50"/>
      <c r="N336" s="90"/>
      <c r="O336" s="50"/>
      <c r="P336" s="50"/>
      <c r="Q336" s="50"/>
      <c r="R336" s="50"/>
      <c r="S336" s="50"/>
      <c r="T336" s="50"/>
      <c r="U336" s="50"/>
      <c r="V336" s="50"/>
      <c r="W336" s="50"/>
      <c r="X336" s="50"/>
      <c r="Y336" s="50"/>
      <c r="Z336" s="50"/>
    </row>
    <row r="337" spans="1:26" x14ac:dyDescent="0.3">
      <c r="A337" s="50"/>
      <c r="B337" s="50"/>
      <c r="C337" s="50"/>
      <c r="E337" s="50"/>
      <c r="F337" s="50"/>
      <c r="G337" s="50"/>
      <c r="H337" s="50"/>
      <c r="I337" s="50"/>
      <c r="J337" s="50"/>
      <c r="K337" s="50"/>
      <c r="L337" s="50"/>
      <c r="M337" s="50"/>
      <c r="N337" s="90"/>
      <c r="O337" s="50"/>
      <c r="P337" s="50"/>
      <c r="Q337" s="50"/>
      <c r="R337" s="50"/>
      <c r="S337" s="50"/>
      <c r="T337" s="50"/>
      <c r="U337" s="50"/>
      <c r="V337" s="50"/>
      <c r="W337" s="50"/>
      <c r="X337" s="50"/>
      <c r="Y337" s="50"/>
      <c r="Z337" s="50"/>
    </row>
    <row r="338" spans="1:26" x14ac:dyDescent="0.3">
      <c r="A338" s="50"/>
      <c r="B338" s="50"/>
      <c r="C338" s="50"/>
      <c r="E338" s="50"/>
      <c r="F338" s="50"/>
      <c r="G338" s="50"/>
      <c r="H338" s="50"/>
      <c r="I338" s="50"/>
      <c r="J338" s="50"/>
      <c r="K338" s="50"/>
      <c r="L338" s="50"/>
      <c r="M338" s="50"/>
      <c r="N338" s="90"/>
      <c r="O338" s="50"/>
      <c r="P338" s="50"/>
      <c r="Q338" s="50"/>
      <c r="R338" s="50"/>
      <c r="S338" s="50"/>
      <c r="T338" s="50"/>
      <c r="U338" s="50"/>
      <c r="V338" s="50"/>
      <c r="W338" s="50"/>
      <c r="X338" s="50"/>
      <c r="Y338" s="50"/>
      <c r="Z338" s="50"/>
    </row>
    <row r="339" spans="1:26" x14ac:dyDescent="0.3">
      <c r="A339" s="50"/>
      <c r="B339" s="50"/>
      <c r="C339" s="50"/>
      <c r="E339" s="50"/>
      <c r="F339" s="50"/>
      <c r="G339" s="50"/>
      <c r="H339" s="50"/>
      <c r="I339" s="50"/>
      <c r="J339" s="50"/>
      <c r="K339" s="50"/>
      <c r="L339" s="50"/>
      <c r="M339" s="50"/>
      <c r="N339" s="90"/>
      <c r="O339" s="50"/>
      <c r="P339" s="50"/>
      <c r="Q339" s="50"/>
      <c r="R339" s="50"/>
      <c r="S339" s="50"/>
      <c r="T339" s="50"/>
      <c r="U339" s="50"/>
      <c r="V339" s="50"/>
      <c r="W339" s="50"/>
      <c r="X339" s="50"/>
      <c r="Y339" s="50"/>
      <c r="Z339" s="50"/>
    </row>
    <row r="340" spans="1:26" x14ac:dyDescent="0.3">
      <c r="A340" s="50"/>
      <c r="B340" s="50"/>
      <c r="C340" s="50"/>
      <c r="E340" s="50"/>
      <c r="F340" s="50"/>
      <c r="G340" s="50"/>
      <c r="H340" s="50"/>
      <c r="I340" s="50"/>
      <c r="J340" s="50"/>
      <c r="K340" s="50"/>
      <c r="L340" s="50"/>
      <c r="M340" s="50"/>
      <c r="N340" s="90"/>
      <c r="O340" s="50"/>
      <c r="P340" s="50"/>
      <c r="Q340" s="50"/>
      <c r="R340" s="50"/>
      <c r="S340" s="50"/>
      <c r="T340" s="50"/>
      <c r="U340" s="50"/>
      <c r="V340" s="50"/>
      <c r="W340" s="50"/>
      <c r="X340" s="50"/>
      <c r="Y340" s="50"/>
      <c r="Z340" s="50"/>
    </row>
    <row r="341" spans="1:26" x14ac:dyDescent="0.3">
      <c r="A341" s="50"/>
      <c r="B341" s="50"/>
      <c r="C341" s="50"/>
      <c r="E341" s="50"/>
      <c r="F341" s="50"/>
      <c r="G341" s="50"/>
      <c r="H341" s="50"/>
      <c r="I341" s="50"/>
      <c r="J341" s="50"/>
      <c r="K341" s="50"/>
      <c r="L341" s="50"/>
      <c r="M341" s="50"/>
      <c r="N341" s="90"/>
      <c r="O341" s="50"/>
      <c r="P341" s="50"/>
      <c r="Q341" s="50"/>
      <c r="R341" s="50"/>
      <c r="S341" s="50"/>
      <c r="T341" s="50"/>
      <c r="U341" s="50"/>
      <c r="V341" s="50"/>
      <c r="W341" s="50"/>
      <c r="X341" s="50"/>
      <c r="Y341" s="50"/>
      <c r="Z341" s="50"/>
    </row>
    <row r="342" spans="1:26" x14ac:dyDescent="0.3">
      <c r="A342" s="50"/>
      <c r="B342" s="50"/>
      <c r="C342" s="50"/>
      <c r="E342" s="50"/>
      <c r="F342" s="50"/>
      <c r="G342" s="50"/>
      <c r="H342" s="50"/>
      <c r="I342" s="50"/>
      <c r="J342" s="50"/>
      <c r="K342" s="50"/>
      <c r="L342" s="50"/>
      <c r="M342" s="50"/>
      <c r="N342" s="90"/>
      <c r="O342" s="50"/>
      <c r="P342" s="50"/>
      <c r="Q342" s="50"/>
      <c r="R342" s="50"/>
      <c r="S342" s="50"/>
      <c r="T342" s="50"/>
      <c r="U342" s="50"/>
      <c r="V342" s="50"/>
      <c r="W342" s="50"/>
      <c r="X342" s="50"/>
      <c r="Y342" s="50"/>
      <c r="Z342" s="50"/>
    </row>
    <row r="343" spans="1:26" x14ac:dyDescent="0.3">
      <c r="A343" s="50"/>
      <c r="B343" s="50"/>
      <c r="C343" s="50"/>
      <c r="E343" s="50"/>
      <c r="F343" s="50"/>
      <c r="G343" s="50"/>
      <c r="H343" s="50"/>
      <c r="I343" s="50"/>
      <c r="J343" s="50"/>
      <c r="K343" s="50"/>
      <c r="L343" s="50"/>
      <c r="M343" s="50"/>
      <c r="N343" s="90"/>
      <c r="O343" s="50"/>
      <c r="P343" s="50"/>
      <c r="Q343" s="50"/>
      <c r="R343" s="50"/>
      <c r="S343" s="50"/>
      <c r="T343" s="50"/>
      <c r="U343" s="50"/>
      <c r="V343" s="50"/>
      <c r="W343" s="50"/>
      <c r="X343" s="50"/>
      <c r="Y343" s="50"/>
      <c r="Z343" s="50"/>
    </row>
    <row r="344" spans="1:26" x14ac:dyDescent="0.3">
      <c r="A344" s="50"/>
      <c r="B344" s="50"/>
      <c r="C344" s="50"/>
      <c r="E344" s="50"/>
      <c r="F344" s="50"/>
      <c r="G344" s="50"/>
      <c r="H344" s="50"/>
      <c r="I344" s="50"/>
      <c r="J344" s="50"/>
      <c r="K344" s="50"/>
      <c r="L344" s="50"/>
      <c r="M344" s="50"/>
      <c r="N344" s="90"/>
      <c r="O344" s="50"/>
      <c r="P344" s="50"/>
      <c r="Q344" s="50"/>
      <c r="R344" s="50"/>
      <c r="S344" s="50"/>
      <c r="T344" s="50"/>
      <c r="U344" s="50"/>
      <c r="V344" s="50"/>
      <c r="W344" s="50"/>
      <c r="X344" s="50"/>
      <c r="Y344" s="50"/>
      <c r="Z344" s="50"/>
    </row>
    <row r="345" spans="1:26" x14ac:dyDescent="0.3">
      <c r="A345" s="50"/>
      <c r="B345" s="50"/>
      <c r="C345" s="50"/>
      <c r="E345" s="50"/>
      <c r="F345" s="50"/>
      <c r="G345" s="50"/>
      <c r="H345" s="50"/>
      <c r="I345" s="50"/>
      <c r="J345" s="50"/>
      <c r="K345" s="50"/>
      <c r="L345" s="50"/>
      <c r="M345" s="50"/>
      <c r="N345" s="90"/>
      <c r="O345" s="50"/>
      <c r="P345" s="50"/>
      <c r="Q345" s="50"/>
      <c r="R345" s="50"/>
      <c r="S345" s="50"/>
      <c r="T345" s="50"/>
      <c r="U345" s="50"/>
      <c r="V345" s="50"/>
      <c r="W345" s="50"/>
      <c r="X345" s="50"/>
      <c r="Y345" s="50"/>
      <c r="Z345" s="50"/>
    </row>
    <row r="346" spans="1:26" x14ac:dyDescent="0.3">
      <c r="A346" s="50"/>
      <c r="B346" s="50"/>
      <c r="C346" s="50"/>
      <c r="E346" s="50"/>
      <c r="F346" s="50"/>
      <c r="G346" s="50"/>
      <c r="H346" s="50"/>
      <c r="I346" s="50"/>
      <c r="J346" s="50"/>
      <c r="K346" s="50"/>
      <c r="L346" s="50"/>
      <c r="M346" s="50"/>
      <c r="N346" s="90"/>
      <c r="O346" s="50"/>
      <c r="P346" s="50"/>
      <c r="Q346" s="50"/>
      <c r="R346" s="50"/>
      <c r="S346" s="50"/>
      <c r="T346" s="50"/>
      <c r="U346" s="50"/>
      <c r="V346" s="50"/>
      <c r="W346" s="50"/>
      <c r="X346" s="50"/>
      <c r="Y346" s="50"/>
      <c r="Z346" s="50"/>
    </row>
    <row r="347" spans="1:26" x14ac:dyDescent="0.3">
      <c r="A347" s="50"/>
      <c r="B347" s="50"/>
      <c r="C347" s="50"/>
      <c r="E347" s="50"/>
      <c r="F347" s="50"/>
      <c r="G347" s="50"/>
      <c r="H347" s="50"/>
      <c r="I347" s="50"/>
      <c r="J347" s="50"/>
      <c r="K347" s="50"/>
      <c r="L347" s="50"/>
      <c r="M347" s="50"/>
      <c r="N347" s="90"/>
      <c r="O347" s="50"/>
      <c r="P347" s="50"/>
      <c r="Q347" s="50"/>
      <c r="R347" s="50"/>
      <c r="S347" s="50"/>
      <c r="T347" s="50"/>
      <c r="U347" s="50"/>
      <c r="V347" s="50"/>
      <c r="W347" s="50"/>
      <c r="X347" s="50"/>
      <c r="Y347" s="50"/>
      <c r="Z347" s="50"/>
    </row>
    <row r="348" spans="1:26" x14ac:dyDescent="0.3">
      <c r="A348" s="50"/>
      <c r="B348" s="50"/>
      <c r="C348" s="50"/>
      <c r="E348" s="50"/>
      <c r="F348" s="50"/>
      <c r="G348" s="50"/>
      <c r="H348" s="50"/>
      <c r="I348" s="50"/>
      <c r="J348" s="50"/>
      <c r="K348" s="50"/>
      <c r="L348" s="50"/>
      <c r="M348" s="50"/>
      <c r="N348" s="90"/>
      <c r="O348" s="50"/>
      <c r="P348" s="50"/>
      <c r="Q348" s="50"/>
      <c r="R348" s="50"/>
      <c r="S348" s="50"/>
      <c r="T348" s="50"/>
      <c r="U348" s="50"/>
      <c r="V348" s="50"/>
      <c r="W348" s="50"/>
      <c r="X348" s="50"/>
      <c r="Y348" s="50"/>
      <c r="Z348" s="50"/>
    </row>
    <row r="349" spans="1:26" x14ac:dyDescent="0.3">
      <c r="A349" s="50"/>
      <c r="B349" s="50"/>
      <c r="C349" s="50"/>
      <c r="E349" s="50"/>
      <c r="F349" s="50"/>
      <c r="G349" s="50"/>
      <c r="H349" s="50"/>
      <c r="I349" s="50"/>
      <c r="J349" s="50"/>
      <c r="K349" s="50"/>
      <c r="L349" s="50"/>
      <c r="M349" s="50"/>
      <c r="N349" s="90"/>
      <c r="O349" s="50"/>
      <c r="P349" s="50"/>
      <c r="Q349" s="50"/>
      <c r="R349" s="50"/>
      <c r="S349" s="50"/>
      <c r="T349" s="50"/>
      <c r="U349" s="50"/>
      <c r="V349" s="50"/>
      <c r="W349" s="50"/>
      <c r="X349" s="50"/>
      <c r="Y349" s="50"/>
      <c r="Z349" s="50"/>
    </row>
    <row r="350" spans="1:26" x14ac:dyDescent="0.3">
      <c r="A350" s="50"/>
      <c r="B350" s="50"/>
      <c r="C350" s="50"/>
      <c r="E350" s="50"/>
      <c r="F350" s="50"/>
      <c r="G350" s="50"/>
      <c r="H350" s="50"/>
      <c r="I350" s="50"/>
      <c r="J350" s="50"/>
      <c r="K350" s="50"/>
      <c r="L350" s="50"/>
      <c r="M350" s="50"/>
      <c r="N350" s="90"/>
      <c r="O350" s="50"/>
      <c r="P350" s="50"/>
      <c r="Q350" s="50"/>
      <c r="R350" s="50"/>
      <c r="S350" s="50"/>
      <c r="T350" s="50"/>
      <c r="U350" s="50"/>
      <c r="V350" s="50"/>
      <c r="W350" s="50"/>
      <c r="X350" s="50"/>
      <c r="Y350" s="50"/>
      <c r="Z350" s="50"/>
    </row>
    <row r="351" spans="1:26" x14ac:dyDescent="0.3">
      <c r="A351" s="50"/>
      <c r="B351" s="50"/>
      <c r="C351" s="50"/>
      <c r="E351" s="50"/>
      <c r="F351" s="50"/>
      <c r="G351" s="50"/>
      <c r="H351" s="50"/>
      <c r="I351" s="50"/>
      <c r="J351" s="50"/>
      <c r="K351" s="50"/>
      <c r="L351" s="50"/>
      <c r="M351" s="50"/>
      <c r="N351" s="90"/>
      <c r="O351" s="50"/>
      <c r="P351" s="50"/>
      <c r="Q351" s="50"/>
      <c r="R351" s="50"/>
      <c r="S351" s="50"/>
      <c r="T351" s="50"/>
      <c r="U351" s="50"/>
      <c r="V351" s="50"/>
      <c r="W351" s="50"/>
      <c r="X351" s="50"/>
      <c r="Y351" s="50"/>
      <c r="Z351" s="50"/>
    </row>
    <row r="352" spans="1:26" x14ac:dyDescent="0.3">
      <c r="A352" s="50"/>
      <c r="B352" s="50"/>
      <c r="C352" s="50"/>
      <c r="E352" s="50"/>
      <c r="F352" s="50"/>
      <c r="G352" s="50"/>
      <c r="H352" s="50"/>
      <c r="I352" s="50"/>
      <c r="J352" s="50"/>
      <c r="K352" s="50"/>
      <c r="L352" s="50"/>
      <c r="M352" s="50"/>
      <c r="N352" s="90"/>
      <c r="O352" s="50"/>
      <c r="P352" s="50"/>
      <c r="Q352" s="50"/>
      <c r="R352" s="50"/>
      <c r="S352" s="50"/>
      <c r="T352" s="50"/>
      <c r="U352" s="50"/>
      <c r="V352" s="50"/>
      <c r="W352" s="50"/>
      <c r="X352" s="50"/>
      <c r="Y352" s="50"/>
      <c r="Z352" s="50"/>
    </row>
    <row r="353" spans="1:26" x14ac:dyDescent="0.3">
      <c r="A353" s="50"/>
      <c r="B353" s="50"/>
      <c r="C353" s="50"/>
      <c r="E353" s="50"/>
      <c r="F353" s="50"/>
      <c r="G353" s="50"/>
      <c r="H353" s="50"/>
      <c r="I353" s="50"/>
      <c r="J353" s="50"/>
      <c r="K353" s="50"/>
      <c r="L353" s="50"/>
      <c r="M353" s="50"/>
      <c r="N353" s="90"/>
      <c r="O353" s="50"/>
      <c r="P353" s="50"/>
      <c r="Q353" s="50"/>
      <c r="R353" s="50"/>
      <c r="S353" s="50"/>
      <c r="T353" s="50"/>
      <c r="U353" s="50"/>
      <c r="V353" s="50"/>
      <c r="W353" s="50"/>
      <c r="X353" s="50"/>
      <c r="Y353" s="50"/>
      <c r="Z353" s="50"/>
    </row>
    <row r="354" spans="1:26" x14ac:dyDescent="0.3">
      <c r="A354" s="50"/>
      <c r="B354" s="50"/>
      <c r="C354" s="50"/>
      <c r="E354" s="50"/>
      <c r="F354" s="50"/>
      <c r="G354" s="50"/>
      <c r="H354" s="50"/>
      <c r="I354" s="50"/>
      <c r="J354" s="50"/>
      <c r="K354" s="50"/>
      <c r="L354" s="50"/>
      <c r="M354" s="50"/>
      <c r="N354" s="90"/>
      <c r="O354" s="50"/>
      <c r="P354" s="50"/>
      <c r="Q354" s="50"/>
      <c r="R354" s="50"/>
      <c r="S354" s="50"/>
      <c r="T354" s="50"/>
      <c r="U354" s="50"/>
      <c r="V354" s="50"/>
      <c r="W354" s="50"/>
      <c r="X354" s="50"/>
      <c r="Y354" s="50"/>
      <c r="Z354" s="50"/>
    </row>
    <row r="355" spans="1:26" x14ac:dyDescent="0.3">
      <c r="A355" s="50"/>
      <c r="B355" s="50"/>
      <c r="C355" s="50"/>
      <c r="E355" s="50"/>
      <c r="F355" s="50"/>
      <c r="G355" s="50"/>
      <c r="H355" s="50"/>
      <c r="I355" s="50"/>
      <c r="J355" s="50"/>
      <c r="K355" s="50"/>
      <c r="L355" s="50"/>
      <c r="M355" s="50"/>
      <c r="N355" s="90"/>
      <c r="O355" s="50"/>
      <c r="P355" s="50"/>
      <c r="Q355" s="50"/>
      <c r="R355" s="50"/>
      <c r="S355" s="50"/>
      <c r="T355" s="50"/>
      <c r="U355" s="50"/>
      <c r="V355" s="50"/>
      <c r="W355" s="50"/>
      <c r="X355" s="50"/>
      <c r="Y355" s="50"/>
      <c r="Z355" s="50"/>
    </row>
    <row r="356" spans="1:26" x14ac:dyDescent="0.3">
      <c r="A356" s="50"/>
      <c r="B356" s="50"/>
      <c r="C356" s="50"/>
      <c r="E356" s="50"/>
      <c r="F356" s="50"/>
      <c r="G356" s="50"/>
      <c r="H356" s="50"/>
      <c r="I356" s="50"/>
      <c r="J356" s="50"/>
      <c r="K356" s="50"/>
      <c r="L356" s="50"/>
      <c r="M356" s="50"/>
      <c r="N356" s="90"/>
      <c r="O356" s="50"/>
      <c r="P356" s="50"/>
      <c r="Q356" s="50"/>
      <c r="R356" s="50"/>
      <c r="S356" s="50"/>
      <c r="T356" s="50"/>
      <c r="U356" s="50"/>
      <c r="V356" s="50"/>
      <c r="W356" s="50"/>
      <c r="X356" s="50"/>
      <c r="Y356" s="50"/>
      <c r="Z356" s="50"/>
    </row>
    <row r="357" spans="1:26" x14ac:dyDescent="0.3">
      <c r="A357" s="50"/>
      <c r="B357" s="50"/>
      <c r="C357" s="50"/>
      <c r="E357" s="50"/>
      <c r="F357" s="50"/>
      <c r="G357" s="50"/>
      <c r="H357" s="50"/>
      <c r="I357" s="50"/>
      <c r="J357" s="50"/>
      <c r="K357" s="50"/>
      <c r="L357" s="50"/>
      <c r="M357" s="50"/>
      <c r="N357" s="90"/>
      <c r="O357" s="50"/>
      <c r="P357" s="50"/>
      <c r="Q357" s="50"/>
      <c r="R357" s="50"/>
      <c r="S357" s="50"/>
      <c r="T357" s="50"/>
      <c r="U357" s="50"/>
      <c r="V357" s="50"/>
      <c r="W357" s="50"/>
      <c r="X357" s="50"/>
      <c r="Y357" s="50"/>
      <c r="Z357" s="50"/>
    </row>
    <row r="358" spans="1:26" x14ac:dyDescent="0.3">
      <c r="A358" s="50"/>
      <c r="B358" s="50"/>
      <c r="C358" s="50"/>
      <c r="E358" s="50"/>
      <c r="F358" s="50"/>
      <c r="G358" s="50"/>
      <c r="H358" s="50"/>
      <c r="I358" s="50"/>
      <c r="J358" s="50"/>
      <c r="K358" s="50"/>
      <c r="L358" s="50"/>
      <c r="M358" s="50"/>
      <c r="N358" s="90"/>
      <c r="O358" s="50"/>
      <c r="P358" s="50"/>
      <c r="Q358" s="50"/>
      <c r="R358" s="50"/>
      <c r="S358" s="50"/>
      <c r="T358" s="50"/>
      <c r="U358" s="50"/>
      <c r="V358" s="50"/>
      <c r="W358" s="50"/>
      <c r="X358" s="50"/>
      <c r="Y358" s="50"/>
      <c r="Z358" s="50"/>
    </row>
    <row r="359" spans="1:26" x14ac:dyDescent="0.3">
      <c r="A359" s="50"/>
      <c r="B359" s="50"/>
      <c r="C359" s="50"/>
      <c r="E359" s="50"/>
      <c r="F359" s="50"/>
      <c r="G359" s="50"/>
      <c r="H359" s="50"/>
      <c r="I359" s="50"/>
      <c r="J359" s="50"/>
      <c r="K359" s="50"/>
      <c r="L359" s="50"/>
      <c r="M359" s="50"/>
      <c r="N359" s="90"/>
      <c r="O359" s="50"/>
      <c r="P359" s="50"/>
      <c r="Q359" s="50"/>
      <c r="R359" s="50"/>
      <c r="S359" s="50"/>
      <c r="T359" s="50"/>
      <c r="U359" s="50"/>
      <c r="V359" s="50"/>
      <c r="W359" s="50"/>
      <c r="X359" s="50"/>
      <c r="Y359" s="50"/>
      <c r="Z359" s="50"/>
    </row>
    <row r="360" spans="1:26" x14ac:dyDescent="0.3">
      <c r="A360" s="50"/>
      <c r="B360" s="50"/>
      <c r="C360" s="50"/>
      <c r="E360" s="50"/>
      <c r="F360" s="50"/>
      <c r="G360" s="50"/>
      <c r="H360" s="50"/>
      <c r="I360" s="50"/>
      <c r="J360" s="50"/>
      <c r="K360" s="50"/>
      <c r="L360" s="50"/>
      <c r="M360" s="50"/>
      <c r="N360" s="90"/>
      <c r="O360" s="50"/>
      <c r="P360" s="50"/>
      <c r="Q360" s="50"/>
      <c r="R360" s="50"/>
      <c r="S360" s="50"/>
      <c r="T360" s="50"/>
      <c r="U360" s="50"/>
      <c r="V360" s="50"/>
      <c r="W360" s="50"/>
      <c r="X360" s="50"/>
      <c r="Y360" s="50"/>
      <c r="Z360" s="50"/>
    </row>
    <row r="361" spans="1:26" x14ac:dyDescent="0.3">
      <c r="A361" s="50"/>
      <c r="B361" s="50"/>
      <c r="C361" s="50"/>
      <c r="E361" s="50"/>
      <c r="F361" s="50"/>
      <c r="G361" s="50"/>
      <c r="H361" s="50"/>
      <c r="I361" s="50"/>
      <c r="J361" s="50"/>
      <c r="K361" s="50"/>
      <c r="L361" s="50"/>
      <c r="M361" s="50"/>
      <c r="N361" s="90"/>
      <c r="O361" s="50"/>
      <c r="P361" s="50"/>
      <c r="Q361" s="50"/>
      <c r="R361" s="50"/>
      <c r="S361" s="50"/>
      <c r="T361" s="50"/>
      <c r="U361" s="50"/>
      <c r="V361" s="50"/>
      <c r="W361" s="50"/>
      <c r="X361" s="50"/>
      <c r="Y361" s="50"/>
      <c r="Z361" s="50"/>
    </row>
    <row r="362" spans="1:26" x14ac:dyDescent="0.3">
      <c r="A362" s="50"/>
      <c r="B362" s="50"/>
      <c r="C362" s="50"/>
      <c r="E362" s="50"/>
      <c r="F362" s="50"/>
      <c r="G362" s="50"/>
      <c r="H362" s="50"/>
      <c r="I362" s="50"/>
      <c r="J362" s="50"/>
      <c r="K362" s="50"/>
      <c r="L362" s="50"/>
      <c r="M362" s="50"/>
      <c r="N362" s="90"/>
      <c r="O362" s="50"/>
      <c r="P362" s="50"/>
      <c r="Q362" s="50"/>
      <c r="R362" s="50"/>
      <c r="S362" s="50"/>
      <c r="T362" s="50"/>
      <c r="U362" s="50"/>
      <c r="V362" s="50"/>
      <c r="W362" s="50"/>
      <c r="X362" s="50"/>
      <c r="Y362" s="50"/>
      <c r="Z362" s="50"/>
    </row>
    <row r="363" spans="1:26" x14ac:dyDescent="0.3">
      <c r="A363" s="50"/>
      <c r="B363" s="50"/>
      <c r="C363" s="50"/>
      <c r="E363" s="50"/>
      <c r="F363" s="50"/>
      <c r="G363" s="50"/>
      <c r="H363" s="50"/>
      <c r="I363" s="50"/>
      <c r="J363" s="50"/>
      <c r="K363" s="50"/>
      <c r="L363" s="50"/>
      <c r="M363" s="50"/>
      <c r="N363" s="90"/>
      <c r="O363" s="50"/>
      <c r="P363" s="50"/>
      <c r="Q363" s="50"/>
      <c r="R363" s="50"/>
      <c r="S363" s="50"/>
      <c r="T363" s="50"/>
      <c r="U363" s="50"/>
      <c r="V363" s="50"/>
      <c r="W363" s="50"/>
      <c r="X363" s="50"/>
      <c r="Y363" s="50"/>
      <c r="Z363" s="50"/>
    </row>
    <row r="364" spans="1:26" x14ac:dyDescent="0.3">
      <c r="A364" s="50"/>
      <c r="B364" s="50"/>
      <c r="C364" s="50"/>
      <c r="E364" s="50"/>
      <c r="F364" s="50"/>
      <c r="G364" s="50"/>
      <c r="H364" s="50"/>
      <c r="I364" s="50"/>
      <c r="J364" s="50"/>
      <c r="K364" s="50"/>
      <c r="L364" s="50"/>
      <c r="M364" s="50"/>
      <c r="N364" s="90"/>
      <c r="O364" s="50"/>
      <c r="P364" s="50"/>
      <c r="Q364" s="50"/>
      <c r="R364" s="50"/>
      <c r="S364" s="50"/>
      <c r="T364" s="50"/>
      <c r="U364" s="50"/>
      <c r="V364" s="50"/>
      <c r="W364" s="50"/>
      <c r="X364" s="50"/>
      <c r="Y364" s="50"/>
      <c r="Z364" s="50"/>
    </row>
    <row r="365" spans="1:26" x14ac:dyDescent="0.3">
      <c r="A365" s="50"/>
      <c r="B365" s="50"/>
      <c r="C365" s="50"/>
      <c r="E365" s="50"/>
      <c r="F365" s="50"/>
      <c r="G365" s="50"/>
      <c r="H365" s="50"/>
      <c r="I365" s="50"/>
      <c r="J365" s="50"/>
      <c r="K365" s="50"/>
      <c r="L365" s="50"/>
      <c r="M365" s="50"/>
      <c r="N365" s="90"/>
      <c r="O365" s="50"/>
      <c r="P365" s="50"/>
      <c r="Q365" s="50"/>
      <c r="R365" s="50"/>
      <c r="S365" s="50"/>
      <c r="T365" s="50"/>
      <c r="U365" s="50"/>
      <c r="V365" s="50"/>
      <c r="W365" s="50"/>
      <c r="X365" s="50"/>
      <c r="Y365" s="50"/>
      <c r="Z365" s="50"/>
    </row>
    <row r="366" spans="1:26" x14ac:dyDescent="0.3">
      <c r="A366" s="50"/>
      <c r="B366" s="50"/>
      <c r="C366" s="50"/>
      <c r="E366" s="50"/>
      <c r="F366" s="50"/>
      <c r="G366" s="50"/>
      <c r="H366" s="50"/>
      <c r="I366" s="50"/>
      <c r="J366" s="50"/>
      <c r="K366" s="50"/>
      <c r="L366" s="50"/>
      <c r="M366" s="50"/>
      <c r="N366" s="90"/>
      <c r="O366" s="50"/>
      <c r="P366" s="50"/>
      <c r="Q366" s="50"/>
      <c r="R366" s="50"/>
      <c r="S366" s="50"/>
      <c r="T366" s="50"/>
      <c r="U366" s="50"/>
      <c r="V366" s="50"/>
      <c r="W366" s="50"/>
      <c r="X366" s="50"/>
      <c r="Y366" s="50"/>
      <c r="Z366" s="50"/>
    </row>
    <row r="367" spans="1:26" x14ac:dyDescent="0.3">
      <c r="A367" s="50"/>
      <c r="B367" s="50"/>
      <c r="C367" s="50"/>
      <c r="E367" s="50"/>
      <c r="F367" s="50"/>
      <c r="G367" s="50"/>
      <c r="H367" s="50"/>
      <c r="I367" s="50"/>
      <c r="J367" s="50"/>
      <c r="K367" s="50"/>
      <c r="L367" s="50"/>
      <c r="M367" s="50"/>
      <c r="N367" s="90"/>
      <c r="O367" s="50"/>
      <c r="P367" s="50"/>
      <c r="Q367" s="50"/>
      <c r="R367" s="50"/>
      <c r="S367" s="50"/>
      <c r="T367" s="50"/>
      <c r="U367" s="50"/>
      <c r="V367" s="50"/>
      <c r="W367" s="50"/>
      <c r="X367" s="50"/>
      <c r="Y367" s="50"/>
      <c r="Z367" s="50"/>
    </row>
    <row r="368" spans="1:26" x14ac:dyDescent="0.3">
      <c r="A368" s="50"/>
      <c r="B368" s="50"/>
      <c r="C368" s="50"/>
      <c r="E368" s="50"/>
      <c r="F368" s="50"/>
      <c r="G368" s="50"/>
      <c r="H368" s="50"/>
      <c r="I368" s="50"/>
      <c r="J368" s="50"/>
      <c r="K368" s="50"/>
      <c r="L368" s="50"/>
      <c r="M368" s="50"/>
      <c r="N368" s="90"/>
      <c r="O368" s="50"/>
      <c r="P368" s="50"/>
      <c r="Q368" s="50"/>
      <c r="R368" s="50"/>
      <c r="S368" s="50"/>
      <c r="T368" s="50"/>
      <c r="U368" s="50"/>
      <c r="V368" s="50"/>
      <c r="W368" s="50"/>
      <c r="X368" s="50"/>
      <c r="Y368" s="50"/>
      <c r="Z368" s="50"/>
    </row>
    <row r="369" spans="1:26" x14ac:dyDescent="0.3">
      <c r="A369" s="50"/>
      <c r="B369" s="50"/>
      <c r="C369" s="50"/>
      <c r="E369" s="50"/>
      <c r="F369" s="50"/>
      <c r="G369" s="50"/>
      <c r="H369" s="50"/>
      <c r="I369" s="50"/>
      <c r="J369" s="50"/>
      <c r="K369" s="50"/>
      <c r="L369" s="50"/>
      <c r="M369" s="50"/>
      <c r="N369" s="90"/>
      <c r="O369" s="50"/>
      <c r="P369" s="50"/>
      <c r="Q369" s="50"/>
      <c r="R369" s="50"/>
      <c r="S369" s="50"/>
      <c r="T369" s="50"/>
      <c r="U369" s="50"/>
      <c r="V369" s="50"/>
      <c r="W369" s="50"/>
      <c r="X369" s="50"/>
      <c r="Y369" s="50"/>
      <c r="Z369" s="50"/>
    </row>
    <row r="370" spans="1:26" x14ac:dyDescent="0.3">
      <c r="A370" s="50"/>
      <c r="B370" s="50"/>
      <c r="C370" s="50"/>
      <c r="E370" s="50"/>
      <c r="F370" s="50"/>
      <c r="G370" s="50"/>
      <c r="H370" s="50"/>
      <c r="I370" s="50"/>
      <c r="J370" s="50"/>
      <c r="K370" s="50"/>
      <c r="L370" s="50"/>
      <c r="M370" s="50"/>
      <c r="N370" s="90"/>
      <c r="O370" s="50"/>
      <c r="P370" s="50"/>
      <c r="Q370" s="50"/>
      <c r="R370" s="50"/>
      <c r="S370" s="50"/>
      <c r="T370" s="50"/>
      <c r="U370" s="50"/>
      <c r="V370" s="50"/>
      <c r="W370" s="50"/>
      <c r="X370" s="50"/>
      <c r="Y370" s="50"/>
      <c r="Z370" s="50"/>
    </row>
    <row r="371" spans="1:26" x14ac:dyDescent="0.3">
      <c r="A371" s="50"/>
      <c r="B371" s="50"/>
      <c r="C371" s="50"/>
      <c r="E371" s="50"/>
      <c r="F371" s="50"/>
      <c r="G371" s="50"/>
      <c r="H371" s="50"/>
      <c r="I371" s="50"/>
      <c r="J371" s="50"/>
      <c r="K371" s="50"/>
      <c r="L371" s="50"/>
      <c r="M371" s="50"/>
      <c r="N371" s="90"/>
      <c r="O371" s="50"/>
      <c r="P371" s="50"/>
      <c r="Q371" s="50"/>
      <c r="R371" s="50"/>
      <c r="S371" s="50"/>
      <c r="T371" s="50"/>
      <c r="U371" s="50"/>
      <c r="V371" s="50"/>
      <c r="W371" s="50"/>
      <c r="X371" s="50"/>
      <c r="Y371" s="50"/>
      <c r="Z371" s="50"/>
    </row>
    <row r="372" spans="1:26" x14ac:dyDescent="0.3">
      <c r="A372" s="50"/>
      <c r="B372" s="50"/>
      <c r="C372" s="50"/>
      <c r="E372" s="50"/>
      <c r="F372" s="50"/>
      <c r="G372" s="50"/>
      <c r="H372" s="50"/>
      <c r="I372" s="50"/>
      <c r="J372" s="50"/>
      <c r="K372" s="50"/>
      <c r="L372" s="50"/>
      <c r="M372" s="50"/>
      <c r="N372" s="90"/>
      <c r="O372" s="50"/>
      <c r="P372" s="50"/>
      <c r="Q372" s="50"/>
      <c r="R372" s="50"/>
      <c r="S372" s="50"/>
      <c r="T372" s="50"/>
      <c r="U372" s="50"/>
      <c r="V372" s="50"/>
      <c r="W372" s="50"/>
      <c r="X372" s="50"/>
      <c r="Y372" s="50"/>
      <c r="Z372" s="50"/>
    </row>
    <row r="373" spans="1:26" x14ac:dyDescent="0.3">
      <c r="A373" s="50"/>
      <c r="B373" s="50"/>
      <c r="C373" s="50"/>
      <c r="E373" s="50"/>
      <c r="F373" s="50"/>
      <c r="G373" s="50"/>
      <c r="H373" s="50"/>
      <c r="I373" s="50"/>
      <c r="J373" s="50"/>
      <c r="K373" s="50"/>
      <c r="L373" s="50"/>
      <c r="M373" s="50"/>
      <c r="N373" s="90"/>
      <c r="O373" s="50"/>
      <c r="P373" s="50"/>
      <c r="Q373" s="50"/>
      <c r="R373" s="50"/>
      <c r="S373" s="50"/>
      <c r="T373" s="50"/>
      <c r="U373" s="50"/>
      <c r="V373" s="50"/>
      <c r="W373" s="50"/>
      <c r="X373" s="50"/>
      <c r="Y373" s="50"/>
      <c r="Z373" s="50"/>
    </row>
    <row r="374" spans="1:26" x14ac:dyDescent="0.3">
      <c r="A374" s="50"/>
      <c r="B374" s="50"/>
      <c r="C374" s="50"/>
      <c r="E374" s="50"/>
      <c r="F374" s="50"/>
      <c r="G374" s="50"/>
      <c r="H374" s="50"/>
      <c r="I374" s="50"/>
      <c r="J374" s="50"/>
      <c r="K374" s="50"/>
      <c r="L374" s="50"/>
      <c r="M374" s="50"/>
      <c r="N374" s="90"/>
      <c r="O374" s="50"/>
      <c r="P374" s="50"/>
      <c r="Q374" s="50"/>
      <c r="R374" s="50"/>
      <c r="S374" s="50"/>
      <c r="T374" s="50"/>
      <c r="U374" s="50"/>
      <c r="V374" s="50"/>
      <c r="W374" s="50"/>
      <c r="X374" s="50"/>
      <c r="Y374" s="50"/>
      <c r="Z374" s="50"/>
    </row>
    <row r="375" spans="1:26" x14ac:dyDescent="0.3">
      <c r="A375" s="50"/>
      <c r="B375" s="50"/>
      <c r="C375" s="50"/>
      <c r="E375" s="50"/>
      <c r="F375" s="50"/>
      <c r="G375" s="50"/>
      <c r="H375" s="50"/>
      <c r="I375" s="50"/>
      <c r="J375" s="50"/>
      <c r="K375" s="50"/>
      <c r="L375" s="50"/>
      <c r="M375" s="50"/>
      <c r="N375" s="90"/>
      <c r="O375" s="50"/>
      <c r="P375" s="50"/>
      <c r="Q375" s="50"/>
      <c r="R375" s="50"/>
      <c r="S375" s="50"/>
      <c r="T375" s="50"/>
      <c r="U375" s="50"/>
      <c r="V375" s="50"/>
      <c r="W375" s="50"/>
      <c r="X375" s="50"/>
      <c r="Y375" s="50"/>
      <c r="Z375" s="50"/>
    </row>
    <row r="376" spans="1:26" x14ac:dyDescent="0.3">
      <c r="A376" s="50"/>
      <c r="B376" s="50"/>
      <c r="C376" s="50"/>
      <c r="E376" s="50"/>
      <c r="F376" s="50"/>
      <c r="G376" s="50"/>
      <c r="H376" s="50"/>
      <c r="I376" s="50"/>
      <c r="J376" s="50"/>
      <c r="K376" s="50"/>
      <c r="L376" s="50"/>
      <c r="M376" s="50"/>
      <c r="N376" s="90"/>
      <c r="O376" s="50"/>
      <c r="P376" s="50"/>
      <c r="Q376" s="50"/>
      <c r="R376" s="50"/>
      <c r="S376" s="50"/>
      <c r="T376" s="50"/>
      <c r="U376" s="50"/>
      <c r="V376" s="50"/>
      <c r="W376" s="50"/>
      <c r="X376" s="50"/>
      <c r="Y376" s="50"/>
      <c r="Z376" s="50"/>
    </row>
    <row r="377" spans="1:26" x14ac:dyDescent="0.3">
      <c r="A377" s="50"/>
      <c r="B377" s="50"/>
      <c r="C377" s="50"/>
      <c r="E377" s="50"/>
      <c r="F377" s="50"/>
      <c r="G377" s="50"/>
      <c r="H377" s="50"/>
      <c r="I377" s="50"/>
      <c r="J377" s="50"/>
      <c r="K377" s="50"/>
      <c r="L377" s="50"/>
      <c r="M377" s="50"/>
      <c r="N377" s="90"/>
      <c r="O377" s="50"/>
      <c r="P377" s="50"/>
      <c r="Q377" s="50"/>
      <c r="R377" s="50"/>
      <c r="S377" s="50"/>
      <c r="T377" s="50"/>
      <c r="U377" s="50"/>
      <c r="V377" s="50"/>
      <c r="W377" s="50"/>
      <c r="X377" s="50"/>
      <c r="Y377" s="50"/>
      <c r="Z377" s="50"/>
    </row>
    <row r="378" spans="1:26" x14ac:dyDescent="0.3">
      <c r="A378" s="50"/>
      <c r="B378" s="50"/>
      <c r="C378" s="50"/>
      <c r="E378" s="50"/>
      <c r="F378" s="50"/>
      <c r="G378" s="50"/>
      <c r="H378" s="50"/>
      <c r="I378" s="50"/>
      <c r="J378" s="50"/>
      <c r="K378" s="50"/>
      <c r="L378" s="50"/>
      <c r="M378" s="50"/>
      <c r="N378" s="90"/>
      <c r="O378" s="50"/>
      <c r="P378" s="50"/>
      <c r="Q378" s="50"/>
      <c r="R378" s="50"/>
      <c r="S378" s="50"/>
      <c r="T378" s="50"/>
      <c r="U378" s="50"/>
      <c r="V378" s="50"/>
      <c r="W378" s="50"/>
      <c r="X378" s="50"/>
      <c r="Y378" s="50"/>
      <c r="Z378" s="50"/>
    </row>
    <row r="379" spans="1:26" x14ac:dyDescent="0.3">
      <c r="A379" s="50"/>
      <c r="B379" s="50"/>
      <c r="C379" s="50"/>
      <c r="E379" s="50"/>
      <c r="F379" s="50"/>
      <c r="G379" s="50"/>
      <c r="H379" s="50"/>
      <c r="I379" s="50"/>
      <c r="J379" s="50"/>
      <c r="K379" s="50"/>
      <c r="L379" s="50"/>
      <c r="M379" s="50"/>
      <c r="N379" s="90"/>
      <c r="O379" s="50"/>
      <c r="P379" s="50"/>
      <c r="Q379" s="50"/>
      <c r="R379" s="50"/>
      <c r="S379" s="50"/>
      <c r="T379" s="50"/>
      <c r="U379" s="50"/>
      <c r="V379" s="50"/>
      <c r="W379" s="50"/>
      <c r="X379" s="50"/>
      <c r="Y379" s="50"/>
      <c r="Z379" s="50"/>
    </row>
    <row r="380" spans="1:26" x14ac:dyDescent="0.3">
      <c r="A380" s="50"/>
      <c r="B380" s="50"/>
      <c r="C380" s="50"/>
      <c r="E380" s="50"/>
      <c r="F380" s="50"/>
      <c r="G380" s="50"/>
      <c r="H380" s="50"/>
      <c r="I380" s="50"/>
      <c r="J380" s="50"/>
      <c r="K380" s="50"/>
      <c r="L380" s="50"/>
      <c r="M380" s="50"/>
      <c r="N380" s="90"/>
      <c r="O380" s="50"/>
      <c r="P380" s="50"/>
      <c r="Q380" s="50"/>
      <c r="R380" s="50"/>
      <c r="S380" s="50"/>
      <c r="T380" s="50"/>
      <c r="U380" s="50"/>
      <c r="V380" s="50"/>
      <c r="W380" s="50"/>
      <c r="X380" s="50"/>
      <c r="Y380" s="50"/>
      <c r="Z380" s="50"/>
    </row>
    <row r="381" spans="1:26" x14ac:dyDescent="0.3">
      <c r="A381" s="50"/>
      <c r="B381" s="50"/>
      <c r="C381" s="50"/>
      <c r="E381" s="50"/>
      <c r="F381" s="50"/>
      <c r="G381" s="50"/>
      <c r="H381" s="50"/>
      <c r="I381" s="50"/>
      <c r="J381" s="50"/>
      <c r="K381" s="50"/>
      <c r="L381" s="50"/>
      <c r="M381" s="50"/>
      <c r="N381" s="90"/>
      <c r="O381" s="50"/>
      <c r="P381" s="50"/>
      <c r="Q381" s="50"/>
      <c r="R381" s="50"/>
      <c r="S381" s="50"/>
      <c r="T381" s="50"/>
      <c r="U381" s="50"/>
      <c r="V381" s="50"/>
      <c r="W381" s="50"/>
      <c r="X381" s="50"/>
      <c r="Y381" s="50"/>
      <c r="Z381" s="50"/>
    </row>
    <row r="382" spans="1:26" x14ac:dyDescent="0.3">
      <c r="A382" s="50"/>
      <c r="B382" s="50"/>
      <c r="C382" s="50"/>
      <c r="E382" s="50"/>
      <c r="F382" s="50"/>
      <c r="G382" s="50"/>
      <c r="H382" s="50"/>
      <c r="I382" s="50"/>
      <c r="J382" s="50"/>
      <c r="K382" s="50"/>
      <c r="L382" s="50"/>
      <c r="M382" s="50"/>
      <c r="N382" s="90"/>
      <c r="O382" s="50"/>
      <c r="P382" s="50"/>
      <c r="Q382" s="50"/>
      <c r="R382" s="50"/>
      <c r="S382" s="50"/>
      <c r="T382" s="50"/>
      <c r="U382" s="50"/>
      <c r="V382" s="50"/>
      <c r="W382" s="50"/>
      <c r="X382" s="50"/>
      <c r="Y382" s="50"/>
      <c r="Z382" s="50"/>
    </row>
    <row r="383" spans="1:26" x14ac:dyDescent="0.3">
      <c r="A383" s="50"/>
      <c r="B383" s="50"/>
      <c r="C383" s="50"/>
      <c r="E383" s="50"/>
      <c r="F383" s="50"/>
      <c r="G383" s="50"/>
      <c r="H383" s="50"/>
      <c r="I383" s="50"/>
      <c r="J383" s="50"/>
      <c r="K383" s="50"/>
      <c r="L383" s="50"/>
      <c r="M383" s="50"/>
      <c r="N383" s="90"/>
      <c r="O383" s="50"/>
      <c r="P383" s="50"/>
      <c r="Q383" s="50"/>
      <c r="R383" s="50"/>
      <c r="S383" s="50"/>
      <c r="T383" s="50"/>
      <c r="U383" s="50"/>
      <c r="V383" s="50"/>
      <c r="W383" s="50"/>
      <c r="X383" s="50"/>
      <c r="Y383" s="50"/>
      <c r="Z383" s="50"/>
    </row>
    <row r="384" spans="1:26" x14ac:dyDescent="0.3">
      <c r="A384" s="50"/>
      <c r="B384" s="50"/>
      <c r="C384" s="50"/>
      <c r="E384" s="50"/>
      <c r="F384" s="50"/>
      <c r="G384" s="50"/>
      <c r="H384" s="50"/>
      <c r="I384" s="50"/>
      <c r="J384" s="50"/>
      <c r="K384" s="50"/>
      <c r="L384" s="50"/>
      <c r="M384" s="50"/>
      <c r="N384" s="90"/>
      <c r="O384" s="50"/>
      <c r="P384" s="50"/>
      <c r="Q384" s="50"/>
      <c r="R384" s="50"/>
      <c r="S384" s="50"/>
      <c r="T384" s="50"/>
      <c r="U384" s="50"/>
      <c r="V384" s="50"/>
      <c r="W384" s="50"/>
      <c r="X384" s="50"/>
      <c r="Y384" s="50"/>
      <c r="Z384" s="50"/>
    </row>
    <row r="385" spans="1:26" x14ac:dyDescent="0.3">
      <c r="A385" s="50"/>
      <c r="B385" s="50"/>
      <c r="C385" s="50"/>
      <c r="E385" s="50"/>
      <c r="F385" s="50"/>
      <c r="G385" s="50"/>
      <c r="H385" s="50"/>
      <c r="I385" s="50"/>
      <c r="J385" s="50"/>
      <c r="K385" s="50"/>
      <c r="L385" s="50"/>
      <c r="M385" s="50"/>
      <c r="N385" s="90"/>
      <c r="O385" s="50"/>
      <c r="P385" s="50"/>
      <c r="Q385" s="50"/>
      <c r="R385" s="50"/>
      <c r="S385" s="50"/>
      <c r="T385" s="50"/>
      <c r="U385" s="50"/>
      <c r="V385" s="50"/>
      <c r="W385" s="50"/>
      <c r="X385" s="50"/>
      <c r="Y385" s="50"/>
      <c r="Z385" s="50"/>
    </row>
    <row r="386" spans="1:26" x14ac:dyDescent="0.3">
      <c r="A386" s="50"/>
      <c r="B386" s="50"/>
      <c r="C386" s="50"/>
      <c r="E386" s="50"/>
      <c r="F386" s="50"/>
      <c r="G386" s="50"/>
      <c r="H386" s="50"/>
      <c r="I386" s="50"/>
      <c r="J386" s="50"/>
      <c r="K386" s="50"/>
      <c r="L386" s="50"/>
      <c r="M386" s="50"/>
      <c r="N386" s="90"/>
      <c r="O386" s="50"/>
      <c r="P386" s="50"/>
      <c r="Q386" s="50"/>
      <c r="R386" s="50"/>
      <c r="S386" s="50"/>
      <c r="T386" s="50"/>
      <c r="U386" s="50"/>
      <c r="V386" s="50"/>
      <c r="W386" s="50"/>
      <c r="X386" s="50"/>
      <c r="Y386" s="50"/>
      <c r="Z386" s="50"/>
    </row>
    <row r="387" spans="1:26" x14ac:dyDescent="0.3">
      <c r="A387" s="50"/>
      <c r="B387" s="50"/>
      <c r="C387" s="50"/>
      <c r="E387" s="50"/>
      <c r="F387" s="50"/>
      <c r="G387" s="50"/>
      <c r="H387" s="50"/>
      <c r="I387" s="50"/>
      <c r="J387" s="50"/>
      <c r="K387" s="50"/>
      <c r="L387" s="50"/>
      <c r="M387" s="50"/>
      <c r="N387" s="90"/>
      <c r="O387" s="50"/>
      <c r="P387" s="50"/>
      <c r="Q387" s="50"/>
      <c r="R387" s="50"/>
      <c r="S387" s="50"/>
      <c r="T387" s="50"/>
      <c r="U387" s="50"/>
      <c r="V387" s="50"/>
      <c r="W387" s="50"/>
      <c r="X387" s="50"/>
      <c r="Y387" s="50"/>
      <c r="Z387" s="50"/>
    </row>
    <row r="388" spans="1:26" x14ac:dyDescent="0.3">
      <c r="A388" s="50"/>
      <c r="B388" s="50"/>
      <c r="C388" s="50"/>
      <c r="E388" s="50"/>
      <c r="F388" s="50"/>
      <c r="G388" s="50"/>
      <c r="H388" s="50"/>
      <c r="I388" s="50"/>
      <c r="J388" s="50"/>
      <c r="K388" s="50"/>
      <c r="L388" s="50"/>
      <c r="M388" s="50"/>
      <c r="N388" s="90"/>
      <c r="O388" s="50"/>
      <c r="P388" s="50"/>
      <c r="Q388" s="50"/>
      <c r="R388" s="50"/>
      <c r="S388" s="50"/>
      <c r="T388" s="50"/>
      <c r="U388" s="50"/>
      <c r="V388" s="50"/>
      <c r="W388" s="50"/>
      <c r="X388" s="50"/>
      <c r="Y388" s="50"/>
      <c r="Z388" s="50"/>
    </row>
    <row r="389" spans="1:26" x14ac:dyDescent="0.3">
      <c r="A389" s="50"/>
      <c r="B389" s="50"/>
      <c r="C389" s="50"/>
      <c r="E389" s="50"/>
      <c r="F389" s="50"/>
      <c r="G389" s="50"/>
      <c r="H389" s="50"/>
      <c r="I389" s="50"/>
      <c r="J389" s="50"/>
      <c r="K389" s="50"/>
      <c r="L389" s="50"/>
      <c r="M389" s="50"/>
      <c r="N389" s="90"/>
      <c r="O389" s="50"/>
      <c r="P389" s="50"/>
      <c r="Q389" s="50"/>
      <c r="R389" s="50"/>
      <c r="S389" s="50"/>
      <c r="T389" s="50"/>
      <c r="U389" s="50"/>
      <c r="V389" s="50"/>
      <c r="W389" s="50"/>
      <c r="X389" s="50"/>
      <c r="Y389" s="50"/>
      <c r="Z389" s="50"/>
    </row>
    <row r="390" spans="1:26" x14ac:dyDescent="0.3">
      <c r="A390" s="50"/>
      <c r="B390" s="50"/>
      <c r="C390" s="50"/>
      <c r="E390" s="50"/>
      <c r="F390" s="50"/>
      <c r="G390" s="50"/>
      <c r="H390" s="50"/>
      <c r="I390" s="50"/>
      <c r="J390" s="50"/>
      <c r="K390" s="50"/>
      <c r="L390" s="50"/>
      <c r="M390" s="50"/>
      <c r="N390" s="90"/>
      <c r="O390" s="50"/>
      <c r="P390" s="50"/>
      <c r="Q390" s="50"/>
      <c r="R390" s="50"/>
      <c r="S390" s="50"/>
      <c r="T390" s="50"/>
      <c r="U390" s="50"/>
      <c r="V390" s="50"/>
      <c r="W390" s="50"/>
      <c r="X390" s="50"/>
      <c r="Y390" s="50"/>
      <c r="Z390" s="50"/>
    </row>
    <row r="391" spans="1:26" x14ac:dyDescent="0.3">
      <c r="A391" s="50"/>
      <c r="B391" s="50"/>
      <c r="C391" s="50"/>
      <c r="E391" s="50"/>
      <c r="F391" s="50"/>
      <c r="G391" s="50"/>
      <c r="H391" s="50"/>
      <c r="I391" s="50"/>
      <c r="J391" s="50"/>
      <c r="K391" s="50"/>
      <c r="L391" s="50"/>
      <c r="M391" s="50"/>
      <c r="N391" s="90"/>
      <c r="O391" s="50"/>
      <c r="P391" s="50"/>
      <c r="Q391" s="50"/>
      <c r="R391" s="50"/>
      <c r="S391" s="50"/>
      <c r="T391" s="50"/>
      <c r="U391" s="50"/>
      <c r="V391" s="50"/>
      <c r="W391" s="50"/>
      <c r="X391" s="50"/>
      <c r="Y391" s="50"/>
      <c r="Z391" s="50"/>
    </row>
    <row r="392" spans="1:26" x14ac:dyDescent="0.3">
      <c r="A392" s="50"/>
      <c r="B392" s="50"/>
      <c r="C392" s="50"/>
      <c r="E392" s="50"/>
      <c r="F392" s="50"/>
      <c r="G392" s="50"/>
      <c r="H392" s="50"/>
      <c r="I392" s="50"/>
      <c r="J392" s="50"/>
      <c r="K392" s="50"/>
      <c r="L392" s="50"/>
      <c r="M392" s="50"/>
      <c r="N392" s="90"/>
      <c r="O392" s="50"/>
      <c r="P392" s="50"/>
      <c r="Q392" s="50"/>
      <c r="R392" s="50"/>
      <c r="S392" s="50"/>
      <c r="T392" s="50"/>
      <c r="U392" s="50"/>
      <c r="V392" s="50"/>
      <c r="W392" s="50"/>
      <c r="X392" s="50"/>
      <c r="Y392" s="50"/>
      <c r="Z392" s="50"/>
    </row>
    <row r="393" spans="1:26" x14ac:dyDescent="0.3">
      <c r="A393" s="50"/>
      <c r="B393" s="50"/>
      <c r="C393" s="50"/>
      <c r="E393" s="50"/>
      <c r="F393" s="50"/>
      <c r="G393" s="50"/>
      <c r="H393" s="50"/>
      <c r="I393" s="50"/>
      <c r="J393" s="50"/>
      <c r="K393" s="50"/>
      <c r="L393" s="50"/>
      <c r="M393" s="50"/>
      <c r="N393" s="90"/>
      <c r="O393" s="50"/>
      <c r="P393" s="50"/>
      <c r="Q393" s="50"/>
      <c r="R393" s="50"/>
      <c r="S393" s="50"/>
      <c r="T393" s="50"/>
      <c r="U393" s="50"/>
      <c r="V393" s="50"/>
      <c r="W393" s="50"/>
      <c r="X393" s="50"/>
      <c r="Y393" s="50"/>
      <c r="Z393" s="50"/>
    </row>
    <row r="394" spans="1:26" x14ac:dyDescent="0.3">
      <c r="A394" s="50"/>
      <c r="B394" s="50"/>
      <c r="C394" s="50"/>
      <c r="E394" s="50"/>
      <c r="F394" s="50"/>
      <c r="G394" s="50"/>
      <c r="H394" s="50"/>
      <c r="I394" s="50"/>
      <c r="J394" s="50"/>
      <c r="K394" s="50"/>
      <c r="L394" s="50"/>
      <c r="M394" s="50"/>
      <c r="N394" s="90"/>
      <c r="O394" s="50"/>
      <c r="P394" s="50"/>
      <c r="Q394" s="50"/>
      <c r="R394" s="50"/>
      <c r="S394" s="50"/>
      <c r="T394" s="50"/>
      <c r="U394" s="50"/>
      <c r="V394" s="50"/>
      <c r="W394" s="50"/>
      <c r="X394" s="50"/>
      <c r="Y394" s="50"/>
      <c r="Z394" s="50"/>
    </row>
    <row r="395" spans="1:26" x14ac:dyDescent="0.3">
      <c r="A395" s="50"/>
      <c r="B395" s="50"/>
      <c r="C395" s="50"/>
      <c r="E395" s="50"/>
      <c r="F395" s="50"/>
      <c r="G395" s="50"/>
      <c r="H395" s="50"/>
      <c r="I395" s="50"/>
      <c r="J395" s="50"/>
      <c r="K395" s="50"/>
      <c r="L395" s="50"/>
      <c r="M395" s="50"/>
      <c r="N395" s="90"/>
      <c r="O395" s="50"/>
      <c r="P395" s="50"/>
      <c r="Q395" s="50"/>
      <c r="R395" s="50"/>
      <c r="S395" s="50"/>
      <c r="T395" s="50"/>
      <c r="U395" s="50"/>
      <c r="V395" s="50"/>
      <c r="W395" s="50"/>
      <c r="X395" s="50"/>
      <c r="Y395" s="50"/>
      <c r="Z395" s="50"/>
    </row>
    <row r="396" spans="1:26" x14ac:dyDescent="0.3">
      <c r="A396" s="50"/>
      <c r="B396" s="50"/>
      <c r="C396" s="50"/>
      <c r="E396" s="50"/>
      <c r="F396" s="50"/>
      <c r="G396" s="50"/>
      <c r="H396" s="50"/>
      <c r="I396" s="50"/>
      <c r="J396" s="50"/>
      <c r="K396" s="50"/>
      <c r="L396" s="50"/>
      <c r="M396" s="50"/>
      <c r="N396" s="90"/>
      <c r="O396" s="50"/>
      <c r="P396" s="50"/>
      <c r="Q396" s="50"/>
      <c r="R396" s="50"/>
      <c r="S396" s="50"/>
      <c r="T396" s="50"/>
      <c r="U396" s="50"/>
      <c r="V396" s="50"/>
      <c r="W396" s="50"/>
      <c r="X396" s="50"/>
      <c r="Y396" s="50"/>
      <c r="Z396" s="50"/>
    </row>
    <row r="397" spans="1:26" x14ac:dyDescent="0.3">
      <c r="A397" s="50"/>
      <c r="B397" s="50"/>
      <c r="C397" s="50"/>
      <c r="E397" s="50"/>
      <c r="F397" s="50"/>
      <c r="G397" s="50"/>
      <c r="H397" s="50"/>
      <c r="I397" s="50"/>
      <c r="J397" s="50"/>
      <c r="K397" s="50"/>
      <c r="L397" s="50"/>
      <c r="M397" s="50"/>
      <c r="N397" s="90"/>
      <c r="O397" s="50"/>
      <c r="P397" s="50"/>
      <c r="Q397" s="50"/>
      <c r="R397" s="50"/>
      <c r="S397" s="50"/>
      <c r="T397" s="50"/>
      <c r="U397" s="50"/>
      <c r="V397" s="50"/>
      <c r="W397" s="50"/>
      <c r="X397" s="50"/>
      <c r="Y397" s="50"/>
      <c r="Z397" s="50"/>
    </row>
    <row r="398" spans="1:26" x14ac:dyDescent="0.3">
      <c r="A398" s="50"/>
      <c r="B398" s="50"/>
      <c r="C398" s="50"/>
      <c r="E398" s="50"/>
      <c r="F398" s="50"/>
      <c r="G398" s="50"/>
      <c r="H398" s="50"/>
      <c r="I398" s="50"/>
      <c r="J398" s="50"/>
      <c r="K398" s="50"/>
      <c r="L398" s="50"/>
      <c r="M398" s="50"/>
      <c r="N398" s="90"/>
      <c r="O398" s="50"/>
      <c r="P398" s="50"/>
      <c r="Q398" s="50"/>
      <c r="R398" s="50"/>
      <c r="S398" s="50"/>
      <c r="T398" s="50"/>
      <c r="U398" s="50"/>
      <c r="V398" s="50"/>
      <c r="W398" s="50"/>
      <c r="X398" s="50"/>
      <c r="Y398" s="50"/>
      <c r="Z398" s="50"/>
    </row>
    <row r="399" spans="1:26" x14ac:dyDescent="0.3">
      <c r="A399" s="50"/>
      <c r="B399" s="50"/>
      <c r="C399" s="50"/>
      <c r="E399" s="50"/>
      <c r="F399" s="50"/>
      <c r="G399" s="50"/>
      <c r="H399" s="50"/>
      <c r="I399" s="50"/>
      <c r="J399" s="50"/>
      <c r="K399" s="50"/>
      <c r="L399" s="50"/>
      <c r="M399" s="50"/>
      <c r="N399" s="90"/>
      <c r="O399" s="50"/>
      <c r="P399" s="50"/>
      <c r="Q399" s="50"/>
      <c r="R399" s="50"/>
      <c r="S399" s="50"/>
      <c r="T399" s="50"/>
      <c r="U399" s="50"/>
      <c r="V399" s="50"/>
      <c r="W399" s="50"/>
      <c r="X399" s="50"/>
      <c r="Y399" s="50"/>
      <c r="Z399" s="50"/>
    </row>
    <row r="400" spans="1:26" x14ac:dyDescent="0.3">
      <c r="A400" s="50"/>
      <c r="B400" s="50"/>
      <c r="C400" s="50"/>
      <c r="E400" s="50"/>
      <c r="F400" s="50"/>
      <c r="G400" s="50"/>
      <c r="H400" s="50"/>
      <c r="I400" s="50"/>
      <c r="J400" s="50"/>
      <c r="K400" s="50"/>
      <c r="L400" s="50"/>
      <c r="M400" s="50"/>
      <c r="N400" s="90"/>
      <c r="O400" s="50"/>
      <c r="P400" s="50"/>
      <c r="Q400" s="50"/>
      <c r="R400" s="50"/>
      <c r="S400" s="50"/>
      <c r="T400" s="50"/>
      <c r="U400" s="50"/>
      <c r="V400" s="50"/>
      <c r="W400" s="50"/>
      <c r="X400" s="50"/>
      <c r="Y400" s="50"/>
      <c r="Z400" s="50"/>
    </row>
    <row r="401" spans="1:26" x14ac:dyDescent="0.3">
      <c r="A401" s="50"/>
      <c r="B401" s="50"/>
      <c r="C401" s="50"/>
      <c r="E401" s="50"/>
      <c r="F401" s="50"/>
      <c r="G401" s="50"/>
      <c r="H401" s="50"/>
      <c r="I401" s="50"/>
      <c r="J401" s="50"/>
      <c r="K401" s="50"/>
      <c r="L401" s="50"/>
      <c r="M401" s="50"/>
      <c r="N401" s="90"/>
      <c r="O401" s="50"/>
      <c r="P401" s="50"/>
      <c r="Q401" s="50"/>
      <c r="R401" s="50"/>
      <c r="S401" s="50"/>
      <c r="T401" s="50"/>
      <c r="U401" s="50"/>
      <c r="V401" s="50"/>
      <c r="W401" s="50"/>
      <c r="X401" s="50"/>
      <c r="Y401" s="50"/>
      <c r="Z401" s="50"/>
    </row>
    <row r="402" spans="1:26" x14ac:dyDescent="0.3">
      <c r="A402" s="50"/>
      <c r="B402" s="50"/>
      <c r="C402" s="50"/>
      <c r="E402" s="50"/>
      <c r="F402" s="50"/>
      <c r="G402" s="50"/>
      <c r="H402" s="50"/>
      <c r="I402" s="50"/>
      <c r="J402" s="50"/>
      <c r="K402" s="50"/>
      <c r="L402" s="50"/>
      <c r="M402" s="50"/>
      <c r="N402" s="90"/>
      <c r="O402" s="50"/>
      <c r="P402" s="50"/>
      <c r="Q402" s="50"/>
      <c r="R402" s="50"/>
      <c r="S402" s="50"/>
      <c r="T402" s="50"/>
      <c r="U402" s="50"/>
      <c r="V402" s="50"/>
      <c r="W402" s="50"/>
      <c r="X402" s="50"/>
      <c r="Y402" s="50"/>
      <c r="Z402" s="50"/>
    </row>
    <row r="403" spans="1:26" x14ac:dyDescent="0.3">
      <c r="A403" s="50"/>
      <c r="B403" s="50"/>
      <c r="C403" s="50"/>
      <c r="E403" s="50"/>
      <c r="F403" s="50"/>
      <c r="G403" s="50"/>
      <c r="H403" s="50"/>
      <c r="I403" s="50"/>
      <c r="J403" s="50"/>
      <c r="K403" s="50"/>
      <c r="L403" s="50"/>
      <c r="M403" s="50"/>
      <c r="N403" s="90"/>
      <c r="O403" s="50"/>
      <c r="P403" s="50"/>
      <c r="Q403" s="50"/>
      <c r="R403" s="50"/>
      <c r="S403" s="50"/>
      <c r="T403" s="50"/>
      <c r="U403" s="50"/>
      <c r="V403" s="50"/>
      <c r="W403" s="50"/>
      <c r="X403" s="50"/>
      <c r="Y403" s="50"/>
      <c r="Z403" s="50"/>
    </row>
    <row r="404" spans="1:26" x14ac:dyDescent="0.3">
      <c r="A404" s="50"/>
      <c r="B404" s="50"/>
      <c r="C404" s="50"/>
      <c r="E404" s="50"/>
      <c r="F404" s="50"/>
      <c r="G404" s="50"/>
      <c r="H404" s="50"/>
      <c r="I404" s="50"/>
      <c r="J404" s="50"/>
      <c r="K404" s="50"/>
      <c r="L404" s="50"/>
      <c r="M404" s="50"/>
      <c r="N404" s="90"/>
      <c r="O404" s="50"/>
      <c r="P404" s="50"/>
      <c r="Q404" s="50"/>
      <c r="R404" s="50"/>
      <c r="S404" s="50"/>
      <c r="T404" s="50"/>
      <c r="U404" s="50"/>
      <c r="V404" s="50"/>
      <c r="W404" s="50"/>
      <c r="X404" s="50"/>
      <c r="Y404" s="50"/>
      <c r="Z404" s="50"/>
    </row>
    <row r="405" spans="1:26" x14ac:dyDescent="0.3">
      <c r="A405" s="50"/>
      <c r="B405" s="50"/>
      <c r="C405" s="50"/>
      <c r="E405" s="50"/>
      <c r="F405" s="50"/>
      <c r="G405" s="50"/>
      <c r="H405" s="50"/>
      <c r="I405" s="50"/>
      <c r="J405" s="50"/>
      <c r="K405" s="50"/>
      <c r="L405" s="50"/>
      <c r="M405" s="50"/>
      <c r="N405" s="90"/>
      <c r="O405" s="50"/>
      <c r="P405" s="50"/>
      <c r="Q405" s="50"/>
      <c r="R405" s="50"/>
      <c r="S405" s="50"/>
      <c r="T405" s="50"/>
      <c r="U405" s="50"/>
      <c r="V405" s="50"/>
      <c r="W405" s="50"/>
      <c r="X405" s="50"/>
      <c r="Y405" s="50"/>
      <c r="Z405" s="50"/>
    </row>
    <row r="406" spans="1:26" x14ac:dyDescent="0.3">
      <c r="A406" s="50"/>
      <c r="B406" s="50"/>
      <c r="C406" s="50"/>
      <c r="E406" s="50"/>
      <c r="F406" s="50"/>
      <c r="G406" s="50"/>
      <c r="H406" s="50"/>
      <c r="I406" s="50"/>
      <c r="J406" s="50"/>
      <c r="K406" s="50"/>
      <c r="L406" s="50"/>
      <c r="M406" s="50"/>
      <c r="N406" s="90"/>
      <c r="O406" s="50"/>
      <c r="P406" s="50"/>
      <c r="Q406" s="50"/>
      <c r="R406" s="50"/>
      <c r="S406" s="50"/>
      <c r="T406" s="50"/>
      <c r="U406" s="50"/>
      <c r="V406" s="50"/>
      <c r="W406" s="50"/>
      <c r="X406" s="50"/>
      <c r="Y406" s="50"/>
      <c r="Z406" s="50"/>
    </row>
    <row r="407" spans="1:26" x14ac:dyDescent="0.3">
      <c r="A407" s="50"/>
      <c r="B407" s="50"/>
      <c r="C407" s="50"/>
      <c r="E407" s="50"/>
      <c r="F407" s="50"/>
      <c r="G407" s="50"/>
      <c r="H407" s="50"/>
      <c r="I407" s="50"/>
      <c r="J407" s="50"/>
      <c r="K407" s="50"/>
      <c r="L407" s="50"/>
      <c r="M407" s="50"/>
      <c r="N407" s="90"/>
      <c r="O407" s="50"/>
      <c r="P407" s="50"/>
      <c r="Q407" s="50"/>
      <c r="R407" s="50"/>
      <c r="S407" s="50"/>
      <c r="T407" s="50"/>
      <c r="U407" s="50"/>
      <c r="V407" s="50"/>
      <c r="W407" s="50"/>
      <c r="X407" s="50"/>
      <c r="Y407" s="50"/>
      <c r="Z407" s="50"/>
    </row>
    <row r="408" spans="1:26" x14ac:dyDescent="0.3">
      <c r="A408" s="50"/>
      <c r="B408" s="50"/>
      <c r="C408" s="50"/>
      <c r="E408" s="50"/>
      <c r="F408" s="50"/>
      <c r="G408" s="50"/>
      <c r="H408" s="50"/>
      <c r="I408" s="50"/>
      <c r="J408" s="50"/>
      <c r="K408" s="50"/>
      <c r="L408" s="50"/>
      <c r="M408" s="50"/>
      <c r="N408" s="90"/>
      <c r="O408" s="50"/>
      <c r="P408" s="50"/>
      <c r="Q408" s="50"/>
      <c r="R408" s="50"/>
      <c r="S408" s="50"/>
      <c r="T408" s="50"/>
      <c r="U408" s="50"/>
      <c r="V408" s="50"/>
      <c r="W408" s="50"/>
      <c r="X408" s="50"/>
      <c r="Y408" s="50"/>
      <c r="Z408" s="50"/>
    </row>
    <row r="409" spans="1:26" x14ac:dyDescent="0.3">
      <c r="A409" s="50"/>
      <c r="B409" s="50"/>
      <c r="C409" s="50"/>
      <c r="E409" s="50"/>
      <c r="F409" s="50"/>
      <c r="G409" s="50"/>
      <c r="H409" s="50"/>
      <c r="I409" s="50"/>
      <c r="J409" s="50"/>
      <c r="K409" s="50"/>
      <c r="L409" s="50"/>
      <c r="M409" s="50"/>
      <c r="N409" s="90"/>
      <c r="O409" s="50"/>
      <c r="P409" s="50"/>
      <c r="Q409" s="50"/>
      <c r="R409" s="50"/>
      <c r="S409" s="50"/>
      <c r="T409" s="50"/>
      <c r="U409" s="50"/>
      <c r="V409" s="50"/>
      <c r="W409" s="50"/>
      <c r="X409" s="50"/>
      <c r="Y409" s="50"/>
      <c r="Z409" s="50"/>
    </row>
    <row r="410" spans="1:26" x14ac:dyDescent="0.3">
      <c r="A410" s="50"/>
      <c r="B410" s="50"/>
      <c r="C410" s="50"/>
      <c r="E410" s="50"/>
      <c r="F410" s="50"/>
      <c r="G410" s="50"/>
      <c r="H410" s="50"/>
      <c r="I410" s="50"/>
      <c r="J410" s="50"/>
      <c r="K410" s="50"/>
      <c r="L410" s="50"/>
      <c r="M410" s="50"/>
      <c r="N410" s="90"/>
      <c r="O410" s="50"/>
      <c r="P410" s="50"/>
      <c r="Q410" s="50"/>
      <c r="R410" s="50"/>
      <c r="S410" s="50"/>
      <c r="T410" s="50"/>
      <c r="U410" s="50"/>
      <c r="V410" s="50"/>
      <c r="W410" s="50"/>
      <c r="X410" s="50"/>
      <c r="Y410" s="50"/>
      <c r="Z410" s="50"/>
    </row>
    <row r="411" spans="1:26" x14ac:dyDescent="0.3">
      <c r="A411" s="50"/>
      <c r="B411" s="50"/>
      <c r="C411" s="50"/>
      <c r="E411" s="50"/>
      <c r="F411" s="50"/>
      <c r="G411" s="50"/>
      <c r="H411" s="50"/>
      <c r="I411" s="50"/>
      <c r="J411" s="50"/>
      <c r="K411" s="50"/>
      <c r="L411" s="50"/>
      <c r="M411" s="50"/>
      <c r="N411" s="90"/>
      <c r="O411" s="50"/>
      <c r="P411" s="50"/>
      <c r="Q411" s="50"/>
      <c r="R411" s="50"/>
      <c r="S411" s="50"/>
      <c r="T411" s="50"/>
      <c r="U411" s="50"/>
      <c r="V411" s="50"/>
      <c r="W411" s="50"/>
      <c r="X411" s="50"/>
      <c r="Y411" s="50"/>
      <c r="Z411" s="50"/>
    </row>
    <row r="412" spans="1:26" x14ac:dyDescent="0.3">
      <c r="A412" s="50"/>
      <c r="B412" s="50"/>
      <c r="C412" s="50"/>
      <c r="E412" s="50"/>
      <c r="F412" s="50"/>
      <c r="G412" s="50"/>
      <c r="H412" s="50"/>
      <c r="I412" s="50"/>
      <c r="J412" s="50"/>
      <c r="K412" s="50"/>
      <c r="L412" s="50"/>
      <c r="M412" s="50"/>
      <c r="N412" s="90"/>
      <c r="O412" s="50"/>
      <c r="P412" s="50"/>
      <c r="Q412" s="50"/>
      <c r="R412" s="50"/>
      <c r="S412" s="50"/>
      <c r="T412" s="50"/>
      <c r="U412" s="50"/>
      <c r="V412" s="50"/>
      <c r="W412" s="50"/>
      <c r="X412" s="50"/>
      <c r="Y412" s="50"/>
      <c r="Z412" s="50"/>
    </row>
    <row r="413" spans="1:26" x14ac:dyDescent="0.3">
      <c r="A413" s="50"/>
      <c r="B413" s="50"/>
      <c r="C413" s="50"/>
      <c r="E413" s="50"/>
      <c r="F413" s="50"/>
      <c r="G413" s="50"/>
      <c r="H413" s="50"/>
      <c r="I413" s="50"/>
      <c r="J413" s="50"/>
      <c r="K413" s="50"/>
      <c r="L413" s="50"/>
      <c r="M413" s="50"/>
      <c r="N413" s="90"/>
      <c r="O413" s="50"/>
      <c r="P413" s="50"/>
      <c r="Q413" s="50"/>
      <c r="R413" s="50"/>
      <c r="S413" s="50"/>
      <c r="T413" s="50"/>
      <c r="U413" s="50"/>
      <c r="V413" s="50"/>
      <c r="W413" s="50"/>
      <c r="X413" s="50"/>
      <c r="Y413" s="50"/>
      <c r="Z413" s="50"/>
    </row>
    <row r="414" spans="1:26" x14ac:dyDescent="0.3">
      <c r="A414" s="50"/>
      <c r="B414" s="50"/>
      <c r="C414" s="50"/>
      <c r="E414" s="50"/>
      <c r="F414" s="50"/>
      <c r="G414" s="50"/>
      <c r="H414" s="50"/>
      <c r="I414" s="50"/>
      <c r="J414" s="50"/>
      <c r="K414" s="50"/>
      <c r="L414" s="50"/>
      <c r="M414" s="50"/>
      <c r="N414" s="90"/>
      <c r="O414" s="50"/>
      <c r="P414" s="50"/>
      <c r="Q414" s="50"/>
      <c r="R414" s="50"/>
      <c r="S414" s="50"/>
      <c r="T414" s="50"/>
      <c r="U414" s="50"/>
      <c r="V414" s="50"/>
      <c r="W414" s="50"/>
      <c r="X414" s="50"/>
      <c r="Y414" s="50"/>
      <c r="Z414" s="50"/>
    </row>
    <row r="415" spans="1:26" x14ac:dyDescent="0.3">
      <c r="A415" s="50"/>
      <c r="B415" s="50"/>
      <c r="C415" s="50"/>
      <c r="E415" s="50"/>
      <c r="F415" s="50"/>
      <c r="G415" s="50"/>
      <c r="H415" s="50"/>
      <c r="I415" s="50"/>
      <c r="J415" s="50"/>
      <c r="K415" s="50"/>
      <c r="L415" s="50"/>
      <c r="M415" s="50"/>
      <c r="N415" s="90"/>
      <c r="O415" s="50"/>
      <c r="P415" s="50"/>
      <c r="Q415" s="50"/>
      <c r="R415" s="50"/>
      <c r="S415" s="50"/>
      <c r="T415" s="50"/>
      <c r="U415" s="50"/>
      <c r="V415" s="50"/>
      <c r="W415" s="50"/>
      <c r="X415" s="50"/>
      <c r="Y415" s="50"/>
      <c r="Z415" s="50"/>
    </row>
    <row r="416" spans="1:26" x14ac:dyDescent="0.3">
      <c r="A416" s="50"/>
      <c r="B416" s="50"/>
      <c r="C416" s="50"/>
      <c r="E416" s="50"/>
      <c r="F416" s="50"/>
      <c r="G416" s="50"/>
      <c r="H416" s="50"/>
      <c r="I416" s="50"/>
      <c r="J416" s="50"/>
      <c r="K416" s="50"/>
      <c r="L416" s="50"/>
      <c r="M416" s="50"/>
      <c r="N416" s="90"/>
      <c r="O416" s="50"/>
      <c r="P416" s="50"/>
      <c r="Q416" s="50"/>
      <c r="R416" s="50"/>
      <c r="S416" s="50"/>
      <c r="T416" s="50"/>
      <c r="U416" s="50"/>
      <c r="V416" s="50"/>
      <c r="W416" s="50"/>
      <c r="X416" s="50"/>
      <c r="Y416" s="50"/>
      <c r="Z416" s="50"/>
    </row>
    <row r="417" spans="1:26" x14ac:dyDescent="0.3">
      <c r="A417" s="50"/>
      <c r="B417" s="50"/>
      <c r="C417" s="50"/>
      <c r="E417" s="50"/>
      <c r="F417" s="50"/>
      <c r="G417" s="50"/>
      <c r="H417" s="50"/>
      <c r="I417" s="50"/>
      <c r="J417" s="50"/>
      <c r="K417" s="50"/>
      <c r="L417" s="50"/>
      <c r="M417" s="50"/>
      <c r="N417" s="90"/>
      <c r="O417" s="50"/>
      <c r="P417" s="50"/>
      <c r="Q417" s="50"/>
      <c r="R417" s="50"/>
      <c r="S417" s="50"/>
      <c r="T417" s="50"/>
      <c r="U417" s="50"/>
      <c r="V417" s="50"/>
      <c r="W417" s="50"/>
      <c r="X417" s="50"/>
      <c r="Y417" s="50"/>
      <c r="Z417" s="50"/>
    </row>
    <row r="418" spans="1:26" x14ac:dyDescent="0.3">
      <c r="A418" s="50"/>
      <c r="B418" s="50"/>
      <c r="C418" s="50"/>
      <c r="E418" s="50"/>
      <c r="F418" s="50"/>
      <c r="G418" s="50"/>
      <c r="H418" s="50"/>
      <c r="I418" s="50"/>
      <c r="J418" s="50"/>
      <c r="K418" s="50"/>
      <c r="L418" s="50"/>
      <c r="M418" s="50"/>
      <c r="N418" s="90"/>
      <c r="O418" s="50"/>
      <c r="P418" s="50"/>
      <c r="Q418" s="50"/>
      <c r="R418" s="50"/>
      <c r="S418" s="50"/>
      <c r="T418" s="50"/>
      <c r="U418" s="50"/>
      <c r="V418" s="50"/>
      <c r="W418" s="50"/>
      <c r="X418" s="50"/>
      <c r="Y418" s="50"/>
      <c r="Z418" s="50"/>
    </row>
    <row r="419" spans="1:26" x14ac:dyDescent="0.3">
      <c r="A419" s="50"/>
      <c r="B419" s="50"/>
      <c r="C419" s="50"/>
      <c r="E419" s="50"/>
      <c r="F419" s="50"/>
      <c r="G419" s="50"/>
      <c r="H419" s="50"/>
      <c r="I419" s="50"/>
      <c r="J419" s="50"/>
      <c r="K419" s="50"/>
      <c r="L419" s="50"/>
      <c r="M419" s="50"/>
      <c r="N419" s="90"/>
      <c r="O419" s="50"/>
      <c r="P419" s="50"/>
      <c r="Q419" s="50"/>
      <c r="R419" s="50"/>
      <c r="S419" s="50"/>
      <c r="T419" s="50"/>
      <c r="U419" s="50"/>
      <c r="V419" s="50"/>
      <c r="W419" s="50"/>
      <c r="X419" s="50"/>
      <c r="Y419" s="50"/>
      <c r="Z419" s="50"/>
    </row>
    <row r="420" spans="1:26" x14ac:dyDescent="0.3">
      <c r="A420" s="50"/>
      <c r="B420" s="50"/>
      <c r="C420" s="50"/>
      <c r="E420" s="50"/>
      <c r="F420" s="50"/>
      <c r="G420" s="50"/>
      <c r="H420" s="50"/>
      <c r="I420" s="50"/>
      <c r="J420" s="50"/>
      <c r="K420" s="50"/>
      <c r="L420" s="50"/>
      <c r="M420" s="50"/>
      <c r="N420" s="90"/>
      <c r="O420" s="50"/>
      <c r="P420" s="50"/>
      <c r="Q420" s="50"/>
      <c r="R420" s="50"/>
      <c r="S420" s="50"/>
      <c r="T420" s="50"/>
      <c r="U420" s="50"/>
      <c r="V420" s="50"/>
      <c r="W420" s="50"/>
      <c r="X420" s="50"/>
      <c r="Y420" s="50"/>
      <c r="Z420" s="50"/>
    </row>
    <row r="421" spans="1:26" x14ac:dyDescent="0.3">
      <c r="A421" s="50"/>
      <c r="B421" s="50"/>
      <c r="C421" s="50"/>
      <c r="E421" s="50"/>
      <c r="F421" s="50"/>
      <c r="G421" s="50"/>
      <c r="H421" s="50"/>
      <c r="I421" s="50"/>
      <c r="J421" s="50"/>
      <c r="K421" s="50"/>
      <c r="L421" s="50"/>
      <c r="M421" s="50"/>
      <c r="N421" s="90"/>
      <c r="O421" s="50"/>
      <c r="P421" s="50"/>
      <c r="Q421" s="50"/>
      <c r="R421" s="50"/>
      <c r="S421" s="50"/>
      <c r="T421" s="50"/>
      <c r="U421" s="50"/>
      <c r="V421" s="50"/>
      <c r="W421" s="50"/>
      <c r="X421" s="50"/>
      <c r="Y421" s="50"/>
      <c r="Z421" s="50"/>
    </row>
    <row r="422" spans="1:26" x14ac:dyDescent="0.3">
      <c r="A422" s="50"/>
      <c r="B422" s="50"/>
      <c r="C422" s="50"/>
      <c r="E422" s="50"/>
      <c r="F422" s="50"/>
      <c r="G422" s="50"/>
      <c r="H422" s="50"/>
      <c r="I422" s="50"/>
      <c r="J422" s="50"/>
      <c r="K422" s="50"/>
      <c r="L422" s="50"/>
      <c r="M422" s="50"/>
      <c r="N422" s="90"/>
      <c r="O422" s="50"/>
      <c r="P422" s="50"/>
      <c r="Q422" s="50"/>
      <c r="R422" s="50"/>
      <c r="S422" s="50"/>
      <c r="T422" s="50"/>
      <c r="U422" s="50"/>
      <c r="V422" s="50"/>
      <c r="W422" s="50"/>
      <c r="X422" s="50"/>
      <c r="Y422" s="50"/>
      <c r="Z422" s="50"/>
    </row>
    <row r="423" spans="1:26" x14ac:dyDescent="0.3">
      <c r="A423" s="50"/>
      <c r="B423" s="50"/>
      <c r="C423" s="50"/>
      <c r="E423" s="50"/>
      <c r="F423" s="50"/>
      <c r="G423" s="50"/>
      <c r="H423" s="50"/>
      <c r="I423" s="50"/>
      <c r="J423" s="50"/>
      <c r="K423" s="50"/>
      <c r="L423" s="50"/>
      <c r="M423" s="50"/>
      <c r="N423" s="90"/>
      <c r="O423" s="50"/>
      <c r="P423" s="50"/>
      <c r="Q423" s="50"/>
      <c r="R423" s="50"/>
      <c r="S423" s="50"/>
      <c r="T423" s="50"/>
      <c r="U423" s="50"/>
      <c r="V423" s="50"/>
      <c r="W423" s="50"/>
      <c r="X423" s="50"/>
      <c r="Y423" s="50"/>
      <c r="Z423" s="50"/>
    </row>
    <row r="424" spans="1:26" x14ac:dyDescent="0.3">
      <c r="A424" s="50"/>
      <c r="B424" s="50"/>
      <c r="C424" s="50"/>
      <c r="E424" s="50"/>
      <c r="F424" s="50"/>
      <c r="G424" s="50"/>
      <c r="H424" s="50"/>
      <c r="I424" s="50"/>
      <c r="J424" s="50"/>
      <c r="K424" s="50"/>
      <c r="L424" s="50"/>
      <c r="M424" s="50"/>
      <c r="N424" s="90"/>
      <c r="O424" s="50"/>
      <c r="P424" s="50"/>
      <c r="Q424" s="50"/>
      <c r="R424" s="50"/>
      <c r="S424" s="50"/>
      <c r="T424" s="50"/>
      <c r="U424" s="50"/>
      <c r="V424" s="50"/>
      <c r="W424" s="50"/>
      <c r="X424" s="50"/>
      <c r="Y424" s="50"/>
      <c r="Z424" s="50"/>
    </row>
    <row r="425" spans="1:26" x14ac:dyDescent="0.3">
      <c r="A425" s="50"/>
      <c r="B425" s="50"/>
      <c r="C425" s="50"/>
      <c r="E425" s="50"/>
      <c r="F425" s="50"/>
      <c r="G425" s="50"/>
      <c r="H425" s="50"/>
      <c r="I425" s="50"/>
      <c r="J425" s="50"/>
      <c r="K425" s="50"/>
      <c r="L425" s="50"/>
      <c r="M425" s="50"/>
      <c r="N425" s="90"/>
      <c r="O425" s="50"/>
      <c r="P425" s="50"/>
      <c r="Q425" s="50"/>
      <c r="R425" s="50"/>
      <c r="S425" s="50"/>
      <c r="T425" s="50"/>
      <c r="U425" s="50"/>
      <c r="V425" s="50"/>
      <c r="W425" s="50"/>
      <c r="X425" s="50"/>
      <c r="Y425" s="50"/>
      <c r="Z425" s="50"/>
    </row>
    <row r="426" spans="1:26" x14ac:dyDescent="0.3">
      <c r="A426" s="50"/>
      <c r="B426" s="50"/>
      <c r="C426" s="50"/>
      <c r="E426" s="50"/>
      <c r="F426" s="50"/>
      <c r="G426" s="50"/>
      <c r="H426" s="50"/>
      <c r="I426" s="50"/>
      <c r="J426" s="50"/>
      <c r="K426" s="50"/>
      <c r="L426" s="50"/>
      <c r="M426" s="50"/>
      <c r="N426" s="90"/>
      <c r="O426" s="50"/>
      <c r="P426" s="50"/>
      <c r="Q426" s="50"/>
      <c r="R426" s="50"/>
      <c r="S426" s="50"/>
      <c r="T426" s="50"/>
      <c r="U426" s="50"/>
      <c r="V426" s="50"/>
      <c r="W426" s="50"/>
      <c r="X426" s="50"/>
      <c r="Y426" s="50"/>
      <c r="Z426" s="50"/>
    </row>
    <row r="427" spans="1:26" x14ac:dyDescent="0.3">
      <c r="A427" s="50"/>
      <c r="B427" s="50"/>
      <c r="C427" s="50"/>
      <c r="E427" s="50"/>
      <c r="F427" s="50"/>
      <c r="G427" s="50"/>
      <c r="H427" s="50"/>
      <c r="I427" s="50"/>
      <c r="J427" s="50"/>
      <c r="K427" s="50"/>
      <c r="L427" s="50"/>
      <c r="M427" s="50"/>
      <c r="N427" s="90"/>
      <c r="O427" s="50"/>
      <c r="P427" s="50"/>
      <c r="Q427" s="50"/>
      <c r="R427" s="50"/>
      <c r="S427" s="50"/>
      <c r="T427" s="50"/>
      <c r="U427" s="50"/>
      <c r="V427" s="50"/>
      <c r="W427" s="50"/>
      <c r="X427" s="50"/>
      <c r="Y427" s="50"/>
      <c r="Z427" s="50"/>
    </row>
    <row r="428" spans="1:26" x14ac:dyDescent="0.3">
      <c r="A428" s="50"/>
      <c r="B428" s="50"/>
      <c r="C428" s="50"/>
      <c r="E428" s="50"/>
      <c r="F428" s="50"/>
      <c r="G428" s="50"/>
      <c r="H428" s="50"/>
      <c r="I428" s="50"/>
      <c r="J428" s="50"/>
      <c r="K428" s="50"/>
      <c r="L428" s="50"/>
      <c r="M428" s="50"/>
      <c r="N428" s="90"/>
      <c r="O428" s="50"/>
      <c r="P428" s="50"/>
      <c r="Q428" s="50"/>
      <c r="R428" s="50"/>
      <c r="S428" s="50"/>
      <c r="T428" s="50"/>
      <c r="U428" s="50"/>
      <c r="V428" s="50"/>
      <c r="W428" s="50"/>
      <c r="X428" s="50"/>
      <c r="Y428" s="50"/>
      <c r="Z428" s="50"/>
    </row>
    <row r="429" spans="1:26" x14ac:dyDescent="0.3">
      <c r="A429" s="50"/>
      <c r="B429" s="50"/>
      <c r="C429" s="50"/>
      <c r="E429" s="50"/>
      <c r="F429" s="50"/>
      <c r="G429" s="50"/>
      <c r="H429" s="50"/>
      <c r="I429" s="50"/>
      <c r="J429" s="50"/>
      <c r="K429" s="50"/>
      <c r="L429" s="50"/>
      <c r="M429" s="50"/>
      <c r="N429" s="90"/>
      <c r="O429" s="50"/>
      <c r="P429" s="50"/>
      <c r="Q429" s="50"/>
      <c r="R429" s="50"/>
      <c r="S429" s="50"/>
      <c r="T429" s="50"/>
      <c r="U429" s="50"/>
      <c r="V429" s="50"/>
      <c r="W429" s="50"/>
      <c r="X429" s="50"/>
      <c r="Y429" s="50"/>
      <c r="Z429" s="50"/>
    </row>
    <row r="430" spans="1:26" x14ac:dyDescent="0.3">
      <c r="A430" s="50"/>
      <c r="B430" s="50"/>
      <c r="C430" s="50"/>
      <c r="E430" s="50"/>
      <c r="F430" s="50"/>
      <c r="G430" s="50"/>
      <c r="H430" s="50"/>
      <c r="I430" s="50"/>
      <c r="J430" s="50"/>
      <c r="K430" s="50"/>
      <c r="L430" s="50"/>
      <c r="M430" s="50"/>
      <c r="N430" s="90"/>
      <c r="O430" s="50"/>
      <c r="P430" s="50"/>
      <c r="Q430" s="50"/>
      <c r="R430" s="50"/>
      <c r="S430" s="50"/>
      <c r="T430" s="50"/>
      <c r="U430" s="50"/>
      <c r="V430" s="50"/>
      <c r="W430" s="50"/>
      <c r="X430" s="50"/>
      <c r="Y430" s="50"/>
      <c r="Z430" s="50"/>
    </row>
    <row r="431" spans="1:26" x14ac:dyDescent="0.3">
      <c r="A431" s="50"/>
      <c r="B431" s="50"/>
      <c r="C431" s="50"/>
      <c r="E431" s="50"/>
      <c r="F431" s="50"/>
      <c r="G431" s="50"/>
      <c r="H431" s="50"/>
      <c r="I431" s="50"/>
      <c r="J431" s="50"/>
      <c r="K431" s="50"/>
      <c r="L431" s="50"/>
      <c r="M431" s="50"/>
      <c r="N431" s="90"/>
      <c r="O431" s="50"/>
      <c r="P431" s="50"/>
      <c r="Q431" s="50"/>
      <c r="R431" s="50"/>
      <c r="S431" s="50"/>
      <c r="T431" s="50"/>
      <c r="U431" s="50"/>
      <c r="V431" s="50"/>
      <c r="W431" s="50"/>
      <c r="X431" s="50"/>
      <c r="Y431" s="50"/>
      <c r="Z431" s="50"/>
    </row>
    <row r="432" spans="1:26" x14ac:dyDescent="0.3">
      <c r="A432" s="50"/>
      <c r="B432" s="50"/>
      <c r="C432" s="50"/>
      <c r="E432" s="50"/>
      <c r="F432" s="50"/>
      <c r="G432" s="50"/>
      <c r="H432" s="50"/>
      <c r="I432" s="50"/>
      <c r="J432" s="50"/>
      <c r="K432" s="50"/>
      <c r="L432" s="50"/>
      <c r="M432" s="50"/>
      <c r="N432" s="90"/>
      <c r="O432" s="50"/>
      <c r="P432" s="50"/>
      <c r="Q432" s="50"/>
      <c r="R432" s="50"/>
      <c r="S432" s="50"/>
      <c r="T432" s="50"/>
      <c r="U432" s="50"/>
      <c r="V432" s="50"/>
      <c r="W432" s="50"/>
      <c r="X432" s="50"/>
      <c r="Y432" s="50"/>
      <c r="Z432" s="50"/>
    </row>
    <row r="433" spans="1:26" x14ac:dyDescent="0.3">
      <c r="A433" s="50"/>
      <c r="B433" s="50"/>
      <c r="C433" s="50"/>
      <c r="E433" s="50"/>
      <c r="F433" s="50"/>
      <c r="G433" s="50"/>
      <c r="H433" s="50"/>
      <c r="I433" s="50"/>
      <c r="J433" s="50"/>
      <c r="K433" s="50"/>
      <c r="L433" s="50"/>
      <c r="M433" s="50"/>
      <c r="N433" s="90"/>
      <c r="O433" s="50"/>
      <c r="P433" s="50"/>
      <c r="Q433" s="50"/>
      <c r="R433" s="50"/>
      <c r="S433" s="50"/>
      <c r="T433" s="50"/>
      <c r="U433" s="50"/>
      <c r="V433" s="50"/>
      <c r="W433" s="50"/>
      <c r="X433" s="50"/>
      <c r="Y433" s="50"/>
      <c r="Z433" s="50"/>
    </row>
    <row r="434" spans="1:26" x14ac:dyDescent="0.3">
      <c r="A434" s="50"/>
      <c r="B434" s="50"/>
      <c r="C434" s="50"/>
      <c r="E434" s="50"/>
      <c r="F434" s="50"/>
      <c r="G434" s="50"/>
      <c r="H434" s="50"/>
      <c r="I434" s="50"/>
      <c r="J434" s="50"/>
      <c r="K434" s="50"/>
      <c r="L434" s="50"/>
      <c r="M434" s="50"/>
      <c r="N434" s="90"/>
      <c r="O434" s="50"/>
      <c r="P434" s="50"/>
      <c r="Q434" s="50"/>
      <c r="R434" s="50"/>
      <c r="S434" s="50"/>
      <c r="T434" s="50"/>
      <c r="U434" s="50"/>
      <c r="V434" s="50"/>
      <c r="W434" s="50"/>
      <c r="X434" s="50"/>
      <c r="Y434" s="50"/>
      <c r="Z434" s="50"/>
    </row>
    <row r="435" spans="1:26" x14ac:dyDescent="0.3">
      <c r="A435" s="50"/>
      <c r="B435" s="50"/>
      <c r="C435" s="50"/>
      <c r="E435" s="50"/>
      <c r="F435" s="50"/>
      <c r="G435" s="50"/>
      <c r="H435" s="50"/>
      <c r="I435" s="50"/>
      <c r="J435" s="50"/>
      <c r="K435" s="50"/>
      <c r="L435" s="50"/>
      <c r="M435" s="50"/>
      <c r="N435" s="90"/>
      <c r="O435" s="50"/>
      <c r="P435" s="50"/>
      <c r="Q435" s="50"/>
      <c r="R435" s="50"/>
      <c r="S435" s="50"/>
      <c r="T435" s="50"/>
      <c r="U435" s="50"/>
      <c r="V435" s="50"/>
      <c r="W435" s="50"/>
      <c r="X435" s="50"/>
      <c r="Y435" s="50"/>
      <c r="Z435" s="50"/>
    </row>
    <row r="436" spans="1:26" x14ac:dyDescent="0.3">
      <c r="A436" s="50"/>
      <c r="B436" s="50"/>
      <c r="C436" s="50"/>
      <c r="E436" s="50"/>
      <c r="F436" s="50"/>
      <c r="G436" s="50"/>
      <c r="H436" s="50"/>
      <c r="I436" s="50"/>
      <c r="J436" s="50"/>
      <c r="K436" s="50"/>
      <c r="L436" s="50"/>
      <c r="M436" s="50"/>
      <c r="N436" s="90"/>
      <c r="O436" s="50"/>
      <c r="P436" s="50"/>
      <c r="Q436" s="50"/>
      <c r="R436" s="50"/>
      <c r="S436" s="50"/>
      <c r="T436" s="50"/>
      <c r="U436" s="50"/>
      <c r="V436" s="50"/>
      <c r="W436" s="50"/>
      <c r="X436" s="50"/>
      <c r="Y436" s="50"/>
      <c r="Z436" s="50"/>
    </row>
    <row r="437" spans="1:26" x14ac:dyDescent="0.3">
      <c r="A437" s="50"/>
      <c r="B437" s="50"/>
      <c r="C437" s="50"/>
      <c r="E437" s="50"/>
      <c r="F437" s="50"/>
      <c r="G437" s="50"/>
      <c r="H437" s="50"/>
      <c r="I437" s="50"/>
      <c r="J437" s="50"/>
      <c r="K437" s="50"/>
      <c r="L437" s="50"/>
      <c r="M437" s="50"/>
      <c r="N437" s="90"/>
      <c r="O437" s="50"/>
      <c r="P437" s="50"/>
      <c r="Q437" s="50"/>
      <c r="R437" s="50"/>
      <c r="S437" s="50"/>
      <c r="T437" s="50"/>
      <c r="U437" s="50"/>
      <c r="V437" s="50"/>
      <c r="W437" s="50"/>
      <c r="X437" s="50"/>
      <c r="Y437" s="50"/>
      <c r="Z437" s="50"/>
    </row>
    <row r="438" spans="1:26" x14ac:dyDescent="0.3">
      <c r="A438" s="50"/>
      <c r="B438" s="50"/>
      <c r="C438" s="50"/>
      <c r="E438" s="50"/>
      <c r="F438" s="50"/>
      <c r="G438" s="50"/>
      <c r="H438" s="50"/>
      <c r="I438" s="50"/>
      <c r="J438" s="50"/>
      <c r="K438" s="50"/>
      <c r="L438" s="50"/>
      <c r="M438" s="50"/>
      <c r="N438" s="90"/>
      <c r="O438" s="50"/>
      <c r="P438" s="50"/>
      <c r="Q438" s="50"/>
      <c r="R438" s="50"/>
      <c r="S438" s="50"/>
      <c r="T438" s="50"/>
      <c r="U438" s="50"/>
      <c r="V438" s="50"/>
      <c r="W438" s="50"/>
      <c r="X438" s="50"/>
      <c r="Y438" s="50"/>
      <c r="Z438" s="50"/>
    </row>
    <row r="439" spans="1:26" x14ac:dyDescent="0.3">
      <c r="A439" s="50"/>
      <c r="B439" s="50"/>
      <c r="C439" s="50"/>
      <c r="E439" s="50"/>
      <c r="F439" s="50"/>
      <c r="G439" s="50"/>
      <c r="H439" s="50"/>
      <c r="I439" s="50"/>
      <c r="J439" s="50"/>
      <c r="K439" s="50"/>
      <c r="L439" s="50"/>
      <c r="M439" s="50"/>
      <c r="N439" s="90"/>
      <c r="O439" s="50"/>
      <c r="P439" s="50"/>
      <c r="Q439" s="50"/>
      <c r="R439" s="50"/>
      <c r="S439" s="50"/>
      <c r="T439" s="50"/>
      <c r="U439" s="50"/>
      <c r="V439" s="50"/>
      <c r="W439" s="50"/>
      <c r="X439" s="50"/>
      <c r="Y439" s="50"/>
      <c r="Z439" s="50"/>
    </row>
    <row r="440" spans="1:26" x14ac:dyDescent="0.3">
      <c r="A440" s="50"/>
      <c r="B440" s="50"/>
      <c r="C440" s="50"/>
      <c r="E440" s="50"/>
      <c r="F440" s="50"/>
      <c r="G440" s="50"/>
      <c r="H440" s="50"/>
      <c r="I440" s="50"/>
      <c r="J440" s="50"/>
      <c r="K440" s="50"/>
      <c r="L440" s="50"/>
      <c r="M440" s="50"/>
      <c r="N440" s="90"/>
      <c r="O440" s="50"/>
      <c r="P440" s="50"/>
      <c r="Q440" s="50"/>
      <c r="R440" s="50"/>
      <c r="S440" s="50"/>
      <c r="T440" s="50"/>
      <c r="U440" s="50"/>
      <c r="V440" s="50"/>
      <c r="W440" s="50"/>
      <c r="X440" s="50"/>
      <c r="Y440" s="50"/>
      <c r="Z440" s="50"/>
    </row>
    <row r="441" spans="1:26" x14ac:dyDescent="0.3">
      <c r="A441" s="50"/>
      <c r="B441" s="50"/>
      <c r="C441" s="50"/>
      <c r="E441" s="50"/>
      <c r="F441" s="50"/>
      <c r="G441" s="50"/>
      <c r="H441" s="50"/>
      <c r="I441" s="50"/>
      <c r="J441" s="50"/>
      <c r="K441" s="50"/>
      <c r="L441" s="50"/>
      <c r="M441" s="50"/>
      <c r="N441" s="90"/>
      <c r="O441" s="50"/>
      <c r="P441" s="50"/>
      <c r="Q441" s="50"/>
      <c r="R441" s="50"/>
      <c r="S441" s="50"/>
      <c r="T441" s="50"/>
      <c r="U441" s="50"/>
      <c r="V441" s="50"/>
      <c r="W441" s="50"/>
      <c r="X441" s="50"/>
      <c r="Y441" s="50"/>
      <c r="Z441" s="50"/>
    </row>
    <row r="442" spans="1:26" x14ac:dyDescent="0.3">
      <c r="A442" s="50"/>
      <c r="B442" s="50"/>
      <c r="C442" s="50"/>
      <c r="E442" s="50"/>
      <c r="F442" s="50"/>
      <c r="G442" s="50"/>
      <c r="H442" s="50"/>
      <c r="I442" s="50"/>
      <c r="J442" s="50"/>
      <c r="K442" s="50"/>
      <c r="L442" s="50"/>
      <c r="M442" s="50"/>
      <c r="N442" s="90"/>
      <c r="O442" s="50"/>
      <c r="P442" s="50"/>
      <c r="Q442" s="50"/>
      <c r="R442" s="50"/>
      <c r="S442" s="50"/>
      <c r="T442" s="50"/>
      <c r="U442" s="50"/>
      <c r="V442" s="50"/>
      <c r="W442" s="50"/>
      <c r="X442" s="50"/>
      <c r="Y442" s="50"/>
      <c r="Z442" s="50"/>
    </row>
    <row r="443" spans="1:26" x14ac:dyDescent="0.3">
      <c r="A443" s="50"/>
      <c r="B443" s="50"/>
      <c r="C443" s="50"/>
      <c r="E443" s="50"/>
      <c r="F443" s="50"/>
      <c r="G443" s="50"/>
      <c r="H443" s="50"/>
      <c r="I443" s="50"/>
      <c r="J443" s="50"/>
      <c r="K443" s="50"/>
      <c r="L443" s="50"/>
      <c r="M443" s="50"/>
      <c r="N443" s="90"/>
      <c r="O443" s="50"/>
      <c r="P443" s="50"/>
      <c r="Q443" s="50"/>
      <c r="R443" s="50"/>
      <c r="S443" s="50"/>
      <c r="T443" s="50"/>
      <c r="U443" s="50"/>
      <c r="V443" s="50"/>
      <c r="W443" s="50"/>
      <c r="X443" s="50"/>
      <c r="Y443" s="50"/>
      <c r="Z443" s="50"/>
    </row>
    <row r="444" spans="1:26" x14ac:dyDescent="0.3">
      <c r="A444" s="50"/>
      <c r="B444" s="50"/>
      <c r="C444" s="50"/>
      <c r="E444" s="50"/>
      <c r="F444" s="50"/>
      <c r="G444" s="50"/>
      <c r="H444" s="50"/>
      <c r="I444" s="50"/>
      <c r="J444" s="50"/>
      <c r="K444" s="50"/>
      <c r="L444" s="50"/>
      <c r="M444" s="50"/>
      <c r="N444" s="90"/>
      <c r="O444" s="50"/>
      <c r="P444" s="50"/>
      <c r="Q444" s="50"/>
      <c r="R444" s="50"/>
      <c r="S444" s="50"/>
      <c r="T444" s="50"/>
      <c r="U444" s="50"/>
      <c r="V444" s="50"/>
      <c r="W444" s="50"/>
      <c r="X444" s="50"/>
      <c r="Y444" s="50"/>
      <c r="Z444" s="50"/>
    </row>
    <row r="445" spans="1:26" x14ac:dyDescent="0.3">
      <c r="A445" s="50"/>
      <c r="B445" s="50"/>
      <c r="C445" s="50"/>
      <c r="E445" s="50"/>
      <c r="F445" s="50"/>
      <c r="G445" s="50"/>
      <c r="H445" s="50"/>
      <c r="I445" s="50"/>
      <c r="J445" s="50"/>
      <c r="K445" s="50"/>
      <c r="L445" s="50"/>
      <c r="M445" s="50"/>
      <c r="N445" s="90"/>
      <c r="O445" s="50"/>
      <c r="P445" s="50"/>
      <c r="Q445" s="50"/>
      <c r="R445" s="50"/>
      <c r="S445" s="50"/>
      <c r="T445" s="50"/>
      <c r="U445" s="50"/>
      <c r="V445" s="50"/>
      <c r="W445" s="50"/>
      <c r="X445" s="50"/>
      <c r="Y445" s="50"/>
      <c r="Z445" s="50"/>
    </row>
    <row r="446" spans="1:26" x14ac:dyDescent="0.3">
      <c r="A446" s="50"/>
      <c r="B446" s="50"/>
      <c r="C446" s="50"/>
      <c r="E446" s="50"/>
      <c r="F446" s="50"/>
      <c r="G446" s="50"/>
      <c r="H446" s="50"/>
      <c r="I446" s="50"/>
      <c r="J446" s="50"/>
      <c r="K446" s="50"/>
      <c r="L446" s="50"/>
      <c r="M446" s="50"/>
      <c r="N446" s="90"/>
      <c r="O446" s="50"/>
      <c r="P446" s="50"/>
      <c r="Q446" s="50"/>
      <c r="R446" s="50"/>
      <c r="S446" s="50"/>
      <c r="T446" s="50"/>
      <c r="U446" s="50"/>
      <c r="V446" s="50"/>
      <c r="W446" s="50"/>
      <c r="X446" s="50"/>
      <c r="Y446" s="50"/>
      <c r="Z446" s="50"/>
    </row>
    <row r="447" spans="1:26" x14ac:dyDescent="0.3">
      <c r="A447" s="50"/>
      <c r="B447" s="50"/>
      <c r="C447" s="50"/>
      <c r="E447" s="50"/>
      <c r="F447" s="50"/>
      <c r="G447" s="50"/>
      <c r="H447" s="50"/>
      <c r="I447" s="50"/>
      <c r="J447" s="50"/>
      <c r="K447" s="50"/>
      <c r="L447" s="50"/>
      <c r="M447" s="50"/>
      <c r="N447" s="90"/>
      <c r="O447" s="50"/>
      <c r="P447" s="50"/>
      <c r="Q447" s="50"/>
      <c r="R447" s="50"/>
      <c r="S447" s="50"/>
      <c r="T447" s="50"/>
      <c r="U447" s="50"/>
      <c r="V447" s="50"/>
      <c r="W447" s="50"/>
      <c r="X447" s="50"/>
      <c r="Y447" s="50"/>
      <c r="Z447" s="50"/>
    </row>
    <row r="448" spans="1:26" x14ac:dyDescent="0.3">
      <c r="A448" s="50"/>
      <c r="B448" s="50"/>
      <c r="C448" s="50"/>
      <c r="E448" s="50"/>
      <c r="F448" s="50"/>
      <c r="G448" s="50"/>
      <c r="H448" s="50"/>
      <c r="I448" s="50"/>
      <c r="J448" s="50"/>
      <c r="K448" s="50"/>
      <c r="L448" s="50"/>
      <c r="M448" s="50"/>
      <c r="N448" s="90"/>
      <c r="O448" s="50"/>
      <c r="P448" s="50"/>
      <c r="Q448" s="50"/>
      <c r="R448" s="50"/>
      <c r="S448" s="50"/>
      <c r="T448" s="50"/>
      <c r="U448" s="50"/>
      <c r="V448" s="50"/>
      <c r="W448" s="50"/>
      <c r="X448" s="50"/>
      <c r="Y448" s="50"/>
      <c r="Z448" s="50"/>
    </row>
    <row r="449" spans="1:26" x14ac:dyDescent="0.3">
      <c r="A449" s="50"/>
      <c r="B449" s="50"/>
      <c r="C449" s="50"/>
      <c r="E449" s="50"/>
      <c r="F449" s="50"/>
      <c r="G449" s="50"/>
      <c r="H449" s="50"/>
      <c r="I449" s="50"/>
      <c r="J449" s="50"/>
      <c r="K449" s="50"/>
      <c r="L449" s="50"/>
      <c r="M449" s="50"/>
      <c r="N449" s="90"/>
      <c r="O449" s="50"/>
      <c r="P449" s="50"/>
      <c r="Q449" s="50"/>
      <c r="R449" s="50"/>
      <c r="S449" s="50"/>
      <c r="T449" s="50"/>
      <c r="U449" s="50"/>
      <c r="V449" s="50"/>
      <c r="W449" s="50"/>
      <c r="X449" s="50"/>
      <c r="Y449" s="50"/>
      <c r="Z449" s="50"/>
    </row>
    <row r="450" spans="1:26" x14ac:dyDescent="0.3">
      <c r="A450" s="50"/>
      <c r="B450" s="50"/>
      <c r="C450" s="50"/>
      <c r="E450" s="50"/>
      <c r="F450" s="50"/>
      <c r="G450" s="50"/>
      <c r="H450" s="50"/>
      <c r="I450" s="50"/>
      <c r="J450" s="50"/>
      <c r="K450" s="50"/>
      <c r="L450" s="50"/>
      <c r="M450" s="50"/>
      <c r="N450" s="90"/>
      <c r="O450" s="50"/>
      <c r="P450" s="50"/>
      <c r="Q450" s="50"/>
      <c r="R450" s="50"/>
      <c r="S450" s="50"/>
      <c r="T450" s="50"/>
      <c r="U450" s="50"/>
      <c r="V450" s="50"/>
      <c r="W450" s="50"/>
      <c r="X450" s="50"/>
      <c r="Y450" s="50"/>
      <c r="Z450" s="50"/>
    </row>
    <row r="451" spans="1:26" x14ac:dyDescent="0.3">
      <c r="A451" s="50"/>
      <c r="B451" s="50"/>
      <c r="C451" s="50"/>
      <c r="E451" s="50"/>
      <c r="F451" s="50"/>
      <c r="G451" s="50"/>
      <c r="H451" s="50"/>
      <c r="I451" s="50"/>
      <c r="J451" s="50"/>
      <c r="K451" s="50"/>
      <c r="L451" s="50"/>
      <c r="M451" s="50"/>
      <c r="N451" s="90"/>
      <c r="O451" s="50"/>
      <c r="P451" s="50"/>
      <c r="Q451" s="50"/>
      <c r="R451" s="50"/>
      <c r="S451" s="50"/>
      <c r="T451" s="50"/>
      <c r="U451" s="50"/>
      <c r="V451" s="50"/>
      <c r="W451" s="50"/>
      <c r="X451" s="50"/>
      <c r="Y451" s="50"/>
      <c r="Z451" s="50"/>
    </row>
    <row r="452" spans="1:26" x14ac:dyDescent="0.3">
      <c r="A452" s="50"/>
      <c r="B452" s="50"/>
      <c r="C452" s="50"/>
      <c r="E452" s="50"/>
      <c r="F452" s="50"/>
      <c r="G452" s="50"/>
      <c r="H452" s="50"/>
      <c r="I452" s="50"/>
      <c r="J452" s="50"/>
      <c r="K452" s="50"/>
      <c r="L452" s="50"/>
      <c r="M452" s="50"/>
      <c r="N452" s="90"/>
      <c r="O452" s="50"/>
      <c r="P452" s="50"/>
      <c r="Q452" s="50"/>
      <c r="R452" s="50"/>
      <c r="S452" s="50"/>
      <c r="T452" s="50"/>
      <c r="U452" s="50"/>
      <c r="V452" s="50"/>
      <c r="W452" s="50"/>
      <c r="X452" s="50"/>
      <c r="Y452" s="50"/>
      <c r="Z452" s="50"/>
    </row>
    <row r="453" spans="1:26" x14ac:dyDescent="0.3">
      <c r="A453" s="50"/>
      <c r="B453" s="50"/>
      <c r="C453" s="50"/>
      <c r="E453" s="50"/>
      <c r="F453" s="50"/>
      <c r="G453" s="50"/>
      <c r="H453" s="50"/>
      <c r="I453" s="50"/>
      <c r="J453" s="50"/>
      <c r="K453" s="50"/>
      <c r="L453" s="50"/>
      <c r="M453" s="50"/>
      <c r="N453" s="90"/>
      <c r="O453" s="50"/>
      <c r="P453" s="50"/>
      <c r="Q453" s="50"/>
      <c r="R453" s="50"/>
      <c r="S453" s="50"/>
      <c r="T453" s="50"/>
      <c r="U453" s="50"/>
      <c r="V453" s="50"/>
      <c r="W453" s="50"/>
      <c r="X453" s="50"/>
      <c r="Y453" s="50"/>
      <c r="Z453" s="50"/>
    </row>
    <row r="454" spans="1:26" x14ac:dyDescent="0.3">
      <c r="A454" s="50"/>
      <c r="B454" s="50"/>
      <c r="C454" s="50"/>
      <c r="E454" s="50"/>
      <c r="F454" s="50"/>
      <c r="G454" s="50"/>
      <c r="H454" s="50"/>
      <c r="I454" s="50"/>
      <c r="J454" s="50"/>
      <c r="K454" s="50"/>
      <c r="L454" s="50"/>
      <c r="M454" s="50"/>
      <c r="N454" s="90"/>
      <c r="O454" s="50"/>
      <c r="P454" s="50"/>
      <c r="Q454" s="50"/>
      <c r="R454" s="50"/>
      <c r="S454" s="50"/>
      <c r="T454" s="50"/>
      <c r="U454" s="50"/>
      <c r="V454" s="50"/>
      <c r="W454" s="50"/>
      <c r="X454" s="50"/>
      <c r="Y454" s="50"/>
      <c r="Z454" s="50"/>
    </row>
    <row r="455" spans="1:26" x14ac:dyDescent="0.3">
      <c r="A455" s="50"/>
      <c r="B455" s="50"/>
      <c r="C455" s="50"/>
      <c r="E455" s="50"/>
      <c r="F455" s="50"/>
      <c r="G455" s="50"/>
      <c r="H455" s="50"/>
      <c r="I455" s="50"/>
      <c r="J455" s="50"/>
      <c r="K455" s="50"/>
      <c r="L455" s="50"/>
      <c r="M455" s="50"/>
      <c r="N455" s="90"/>
      <c r="O455" s="50"/>
      <c r="P455" s="50"/>
      <c r="Q455" s="50"/>
      <c r="R455" s="50"/>
      <c r="S455" s="50"/>
      <c r="T455" s="50"/>
      <c r="U455" s="50"/>
      <c r="V455" s="50"/>
      <c r="W455" s="50"/>
      <c r="X455" s="50"/>
      <c r="Y455" s="50"/>
      <c r="Z455" s="50"/>
    </row>
    <row r="456" spans="1:26" x14ac:dyDescent="0.3">
      <c r="A456" s="50"/>
      <c r="B456" s="50"/>
      <c r="C456" s="50"/>
      <c r="E456" s="50"/>
      <c r="F456" s="50"/>
      <c r="G456" s="50"/>
      <c r="H456" s="50"/>
      <c r="I456" s="50"/>
      <c r="J456" s="50"/>
      <c r="K456" s="50"/>
      <c r="L456" s="50"/>
      <c r="M456" s="50"/>
      <c r="N456" s="90"/>
      <c r="O456" s="50"/>
      <c r="P456" s="50"/>
      <c r="Q456" s="50"/>
      <c r="R456" s="50"/>
      <c r="S456" s="50"/>
      <c r="T456" s="50"/>
      <c r="U456" s="50"/>
      <c r="V456" s="50"/>
      <c r="W456" s="50"/>
      <c r="X456" s="50"/>
      <c r="Y456" s="50"/>
      <c r="Z456" s="50"/>
    </row>
    <row r="457" spans="1:26" x14ac:dyDescent="0.3">
      <c r="A457" s="50"/>
      <c r="B457" s="50"/>
      <c r="C457" s="50"/>
      <c r="E457" s="50"/>
      <c r="F457" s="50"/>
      <c r="G457" s="50"/>
      <c r="H457" s="50"/>
      <c r="I457" s="50"/>
      <c r="J457" s="50"/>
      <c r="K457" s="50"/>
      <c r="L457" s="50"/>
      <c r="M457" s="50"/>
      <c r="N457" s="90"/>
      <c r="O457" s="50"/>
      <c r="P457" s="50"/>
      <c r="Q457" s="50"/>
      <c r="R457" s="50"/>
      <c r="S457" s="50"/>
      <c r="T457" s="50"/>
      <c r="U457" s="50"/>
      <c r="V457" s="50"/>
      <c r="W457" s="50"/>
      <c r="X457" s="50"/>
      <c r="Y457" s="50"/>
      <c r="Z457" s="50"/>
    </row>
    <row r="458" spans="1:26" x14ac:dyDescent="0.3">
      <c r="A458" s="50"/>
      <c r="B458" s="50"/>
      <c r="C458" s="50"/>
      <c r="E458" s="50"/>
      <c r="F458" s="50"/>
      <c r="G458" s="50"/>
      <c r="H458" s="50"/>
      <c r="I458" s="50"/>
      <c r="J458" s="50"/>
      <c r="K458" s="50"/>
      <c r="L458" s="50"/>
      <c r="M458" s="50"/>
      <c r="N458" s="90"/>
      <c r="O458" s="50"/>
      <c r="P458" s="50"/>
      <c r="Q458" s="50"/>
      <c r="R458" s="50"/>
      <c r="S458" s="50"/>
      <c r="T458" s="50"/>
      <c r="U458" s="50"/>
      <c r="V458" s="50"/>
      <c r="W458" s="50"/>
      <c r="X458" s="50"/>
      <c r="Y458" s="50"/>
      <c r="Z458" s="50"/>
    </row>
    <row r="459" spans="1:26" x14ac:dyDescent="0.3">
      <c r="A459" s="50"/>
      <c r="B459" s="50"/>
      <c r="C459" s="50"/>
      <c r="E459" s="50"/>
      <c r="F459" s="50"/>
      <c r="G459" s="50"/>
      <c r="H459" s="50"/>
      <c r="I459" s="50"/>
      <c r="J459" s="50"/>
      <c r="K459" s="50"/>
      <c r="L459" s="50"/>
      <c r="M459" s="50"/>
      <c r="N459" s="90"/>
      <c r="O459" s="50"/>
      <c r="P459" s="50"/>
      <c r="Q459" s="50"/>
      <c r="R459" s="50"/>
      <c r="S459" s="50"/>
      <c r="T459" s="50"/>
      <c r="U459" s="50"/>
      <c r="V459" s="50"/>
      <c r="W459" s="50"/>
      <c r="X459" s="50"/>
      <c r="Y459" s="50"/>
      <c r="Z459" s="50"/>
    </row>
    <row r="460" spans="1:26" x14ac:dyDescent="0.3">
      <c r="A460" s="50"/>
      <c r="B460" s="50"/>
      <c r="C460" s="50"/>
      <c r="E460" s="50"/>
      <c r="F460" s="50"/>
      <c r="G460" s="50"/>
      <c r="H460" s="50"/>
      <c r="I460" s="50"/>
      <c r="J460" s="50"/>
      <c r="K460" s="50"/>
      <c r="L460" s="50"/>
      <c r="M460" s="50"/>
      <c r="N460" s="90"/>
      <c r="O460" s="50"/>
      <c r="P460" s="50"/>
      <c r="Q460" s="50"/>
      <c r="R460" s="50"/>
      <c r="S460" s="50"/>
      <c r="T460" s="50"/>
      <c r="U460" s="50"/>
      <c r="V460" s="50"/>
      <c r="W460" s="50"/>
      <c r="X460" s="50"/>
      <c r="Y460" s="50"/>
      <c r="Z460" s="50"/>
    </row>
    <row r="461" spans="1:26" x14ac:dyDescent="0.3">
      <c r="A461" s="50"/>
      <c r="B461" s="50"/>
      <c r="C461" s="50"/>
      <c r="E461" s="50"/>
      <c r="F461" s="50"/>
      <c r="G461" s="50"/>
      <c r="H461" s="50"/>
      <c r="I461" s="50"/>
      <c r="J461" s="50"/>
      <c r="K461" s="50"/>
      <c r="L461" s="50"/>
      <c r="M461" s="50"/>
      <c r="N461" s="90"/>
      <c r="O461" s="50"/>
      <c r="P461" s="50"/>
      <c r="Q461" s="50"/>
      <c r="R461" s="50"/>
      <c r="S461" s="50"/>
      <c r="T461" s="50"/>
      <c r="U461" s="50"/>
      <c r="V461" s="50"/>
      <c r="W461" s="50"/>
      <c r="X461" s="50"/>
      <c r="Y461" s="50"/>
      <c r="Z461" s="50"/>
    </row>
    <row r="462" spans="1:26" x14ac:dyDescent="0.3">
      <c r="A462" s="50"/>
      <c r="B462" s="50"/>
      <c r="C462" s="50"/>
      <c r="E462" s="50"/>
      <c r="F462" s="50"/>
      <c r="G462" s="50"/>
      <c r="H462" s="50"/>
      <c r="I462" s="50"/>
      <c r="J462" s="50"/>
      <c r="K462" s="50"/>
      <c r="L462" s="50"/>
      <c r="M462" s="50"/>
      <c r="N462" s="90"/>
      <c r="O462" s="50"/>
      <c r="P462" s="50"/>
      <c r="Q462" s="50"/>
      <c r="R462" s="50"/>
      <c r="S462" s="50"/>
      <c r="T462" s="50"/>
      <c r="U462" s="50"/>
      <c r="V462" s="50"/>
      <c r="W462" s="50"/>
      <c r="X462" s="50"/>
      <c r="Y462" s="50"/>
      <c r="Z462" s="50"/>
    </row>
    <row r="463" spans="1:26" x14ac:dyDescent="0.3">
      <c r="A463" s="50"/>
      <c r="B463" s="50"/>
      <c r="C463" s="50"/>
      <c r="E463" s="50"/>
      <c r="F463" s="50"/>
      <c r="G463" s="50"/>
      <c r="H463" s="50"/>
      <c r="I463" s="50"/>
      <c r="J463" s="50"/>
      <c r="K463" s="50"/>
      <c r="L463" s="50"/>
      <c r="M463" s="50"/>
      <c r="N463" s="90"/>
      <c r="O463" s="50"/>
      <c r="P463" s="50"/>
      <c r="Q463" s="50"/>
      <c r="R463" s="50"/>
      <c r="S463" s="50"/>
      <c r="T463" s="50"/>
      <c r="U463" s="50"/>
      <c r="V463" s="50"/>
      <c r="W463" s="50"/>
      <c r="X463" s="50"/>
      <c r="Y463" s="50"/>
      <c r="Z463" s="50"/>
    </row>
    <row r="464" spans="1:26" x14ac:dyDescent="0.3">
      <c r="A464" s="50"/>
      <c r="B464" s="50"/>
      <c r="C464" s="50"/>
      <c r="E464" s="50"/>
      <c r="F464" s="50"/>
      <c r="G464" s="50"/>
      <c r="H464" s="50"/>
      <c r="I464" s="50"/>
      <c r="J464" s="50"/>
      <c r="K464" s="50"/>
      <c r="L464" s="50"/>
      <c r="M464" s="50"/>
      <c r="N464" s="90"/>
      <c r="O464" s="50"/>
      <c r="P464" s="50"/>
      <c r="Q464" s="50"/>
      <c r="R464" s="50"/>
      <c r="S464" s="50"/>
      <c r="T464" s="50"/>
      <c r="U464" s="50"/>
      <c r="V464" s="50"/>
      <c r="W464" s="50"/>
      <c r="X464" s="50"/>
      <c r="Y464" s="50"/>
      <c r="Z464" s="50"/>
    </row>
    <row r="465" spans="1:26" x14ac:dyDescent="0.3">
      <c r="A465" s="50"/>
      <c r="B465" s="50"/>
      <c r="C465" s="50"/>
      <c r="E465" s="50"/>
      <c r="F465" s="50"/>
      <c r="G465" s="50"/>
      <c r="H465" s="50"/>
      <c r="I465" s="50"/>
      <c r="J465" s="50"/>
      <c r="K465" s="50"/>
      <c r="L465" s="50"/>
      <c r="M465" s="50"/>
      <c r="N465" s="90"/>
      <c r="O465" s="50"/>
      <c r="P465" s="50"/>
      <c r="Q465" s="50"/>
      <c r="R465" s="50"/>
      <c r="S465" s="50"/>
      <c r="T465" s="50"/>
      <c r="U465" s="50"/>
      <c r="V465" s="50"/>
      <c r="W465" s="50"/>
      <c r="X465" s="50"/>
      <c r="Y465" s="50"/>
      <c r="Z465" s="50"/>
    </row>
    <row r="466" spans="1:26" x14ac:dyDescent="0.3">
      <c r="A466" s="50"/>
      <c r="B466" s="50"/>
      <c r="C466" s="50"/>
      <c r="E466" s="50"/>
      <c r="F466" s="50"/>
      <c r="G466" s="50"/>
      <c r="H466" s="50"/>
      <c r="I466" s="50"/>
      <c r="J466" s="50"/>
      <c r="K466" s="50"/>
      <c r="L466" s="50"/>
      <c r="M466" s="50"/>
      <c r="N466" s="90"/>
      <c r="O466" s="50"/>
      <c r="P466" s="50"/>
      <c r="Q466" s="50"/>
      <c r="R466" s="50"/>
      <c r="S466" s="50"/>
      <c r="T466" s="50"/>
      <c r="U466" s="50"/>
      <c r="V466" s="50"/>
      <c r="W466" s="50"/>
      <c r="X466" s="50"/>
      <c r="Y466" s="50"/>
      <c r="Z466" s="50"/>
    </row>
    <row r="467" spans="1:26" x14ac:dyDescent="0.3">
      <c r="A467" s="50"/>
      <c r="B467" s="50"/>
      <c r="C467" s="50"/>
      <c r="E467" s="50"/>
      <c r="F467" s="50"/>
      <c r="G467" s="50"/>
      <c r="H467" s="50"/>
      <c r="I467" s="50"/>
      <c r="J467" s="50"/>
      <c r="K467" s="50"/>
      <c r="L467" s="50"/>
      <c r="M467" s="50"/>
      <c r="N467" s="90"/>
      <c r="O467" s="50"/>
      <c r="P467" s="50"/>
      <c r="Q467" s="50"/>
      <c r="R467" s="50"/>
      <c r="S467" s="50"/>
      <c r="T467" s="50"/>
      <c r="U467" s="50"/>
      <c r="V467" s="50"/>
      <c r="W467" s="50"/>
      <c r="X467" s="50"/>
      <c r="Y467" s="50"/>
      <c r="Z467" s="50"/>
    </row>
    <row r="468" spans="1:26" x14ac:dyDescent="0.3">
      <c r="A468" s="50"/>
      <c r="B468" s="50"/>
      <c r="C468" s="50"/>
      <c r="E468" s="50"/>
      <c r="F468" s="50"/>
      <c r="G468" s="50"/>
      <c r="H468" s="50"/>
      <c r="I468" s="50"/>
      <c r="J468" s="50"/>
      <c r="K468" s="50"/>
      <c r="L468" s="50"/>
      <c r="M468" s="50"/>
      <c r="N468" s="90"/>
      <c r="O468" s="50"/>
      <c r="P468" s="50"/>
      <c r="Q468" s="50"/>
      <c r="R468" s="50"/>
      <c r="S468" s="50"/>
      <c r="T468" s="50"/>
      <c r="U468" s="50"/>
      <c r="V468" s="50"/>
      <c r="W468" s="50"/>
      <c r="X468" s="50"/>
      <c r="Y468" s="50"/>
      <c r="Z468" s="50"/>
    </row>
    <row r="469" spans="1:26" x14ac:dyDescent="0.3">
      <c r="A469" s="50"/>
      <c r="B469" s="50"/>
      <c r="C469" s="50"/>
      <c r="E469" s="50"/>
      <c r="F469" s="50"/>
      <c r="G469" s="50"/>
      <c r="H469" s="50"/>
      <c r="I469" s="50"/>
      <c r="J469" s="50"/>
      <c r="K469" s="50"/>
      <c r="L469" s="50"/>
      <c r="M469" s="50"/>
      <c r="N469" s="90"/>
      <c r="O469" s="50"/>
      <c r="P469" s="50"/>
      <c r="Q469" s="50"/>
      <c r="R469" s="50"/>
      <c r="S469" s="50"/>
      <c r="T469" s="50"/>
      <c r="U469" s="50"/>
      <c r="V469" s="50"/>
      <c r="W469" s="50"/>
      <c r="X469" s="50"/>
      <c r="Y469" s="50"/>
      <c r="Z469" s="50"/>
    </row>
    <row r="470" spans="1:26" x14ac:dyDescent="0.3">
      <c r="A470" s="50"/>
      <c r="B470" s="50"/>
      <c r="C470" s="50"/>
      <c r="E470" s="50"/>
      <c r="F470" s="50"/>
      <c r="G470" s="50"/>
      <c r="H470" s="50"/>
      <c r="I470" s="50"/>
      <c r="J470" s="50"/>
      <c r="K470" s="50"/>
      <c r="L470" s="50"/>
      <c r="M470" s="50"/>
      <c r="N470" s="90"/>
      <c r="O470" s="50"/>
      <c r="P470" s="50"/>
      <c r="Q470" s="50"/>
      <c r="R470" s="50"/>
      <c r="S470" s="50"/>
      <c r="T470" s="50"/>
      <c r="U470" s="50"/>
      <c r="V470" s="50"/>
      <c r="W470" s="50"/>
      <c r="X470" s="50"/>
      <c r="Y470" s="50"/>
      <c r="Z470" s="50"/>
    </row>
    <row r="471" spans="1:26" x14ac:dyDescent="0.3">
      <c r="A471" s="50"/>
      <c r="B471" s="50"/>
      <c r="C471" s="50"/>
      <c r="E471" s="50"/>
      <c r="F471" s="50"/>
      <c r="G471" s="50"/>
      <c r="H471" s="50"/>
      <c r="I471" s="50"/>
      <c r="J471" s="50"/>
      <c r="K471" s="50"/>
      <c r="L471" s="50"/>
      <c r="M471" s="50"/>
      <c r="N471" s="90"/>
      <c r="O471" s="50"/>
      <c r="P471" s="50"/>
      <c r="Q471" s="50"/>
      <c r="R471" s="50"/>
      <c r="S471" s="50"/>
      <c r="T471" s="50"/>
      <c r="U471" s="50"/>
      <c r="V471" s="50"/>
      <c r="W471" s="50"/>
      <c r="X471" s="50"/>
      <c r="Y471" s="50"/>
      <c r="Z471" s="50"/>
    </row>
    <row r="472" spans="1:26" x14ac:dyDescent="0.3">
      <c r="A472" s="50"/>
      <c r="B472" s="50"/>
      <c r="C472" s="50"/>
      <c r="E472" s="50"/>
      <c r="F472" s="50"/>
      <c r="G472" s="50"/>
      <c r="H472" s="50"/>
      <c r="I472" s="50"/>
      <c r="J472" s="50"/>
      <c r="K472" s="50"/>
      <c r="L472" s="50"/>
      <c r="M472" s="50"/>
      <c r="N472" s="90"/>
      <c r="O472" s="50"/>
      <c r="P472" s="50"/>
      <c r="Q472" s="50"/>
      <c r="R472" s="50"/>
      <c r="S472" s="50"/>
      <c r="T472" s="50"/>
      <c r="U472" s="50"/>
      <c r="V472" s="50"/>
      <c r="W472" s="50"/>
      <c r="X472" s="50"/>
      <c r="Y472" s="50"/>
      <c r="Z472" s="50"/>
    </row>
    <row r="473" spans="1:26" x14ac:dyDescent="0.3">
      <c r="A473" s="50"/>
      <c r="B473" s="50"/>
      <c r="C473" s="50"/>
      <c r="E473" s="50"/>
      <c r="F473" s="50"/>
      <c r="G473" s="50"/>
      <c r="H473" s="50"/>
      <c r="I473" s="50"/>
      <c r="J473" s="50"/>
      <c r="K473" s="50"/>
      <c r="L473" s="50"/>
      <c r="M473" s="50"/>
      <c r="N473" s="90"/>
      <c r="O473" s="50"/>
      <c r="P473" s="50"/>
      <c r="Q473" s="50"/>
      <c r="R473" s="50"/>
      <c r="S473" s="50"/>
      <c r="T473" s="50"/>
      <c r="U473" s="50"/>
      <c r="V473" s="50"/>
      <c r="W473" s="50"/>
      <c r="X473" s="50"/>
      <c r="Y473" s="50"/>
      <c r="Z473" s="50"/>
    </row>
    <row r="474" spans="1:26" x14ac:dyDescent="0.3">
      <c r="A474" s="50"/>
      <c r="B474" s="50"/>
      <c r="C474" s="50"/>
      <c r="E474" s="50"/>
      <c r="F474" s="50"/>
      <c r="G474" s="50"/>
      <c r="H474" s="50"/>
      <c r="I474" s="50"/>
      <c r="J474" s="50"/>
      <c r="K474" s="50"/>
      <c r="L474" s="50"/>
      <c r="M474" s="50"/>
      <c r="N474" s="90"/>
      <c r="O474" s="50"/>
      <c r="P474" s="50"/>
      <c r="Q474" s="50"/>
      <c r="R474" s="50"/>
      <c r="S474" s="50"/>
      <c r="T474" s="50"/>
      <c r="U474" s="50"/>
      <c r="V474" s="50"/>
      <c r="W474" s="50"/>
      <c r="X474" s="50"/>
      <c r="Y474" s="50"/>
      <c r="Z474" s="50"/>
    </row>
    <row r="475" spans="1:26" x14ac:dyDescent="0.3">
      <c r="A475" s="50"/>
      <c r="B475" s="50"/>
      <c r="C475" s="50"/>
      <c r="E475" s="50"/>
      <c r="F475" s="50"/>
      <c r="G475" s="50"/>
      <c r="H475" s="50"/>
      <c r="I475" s="50"/>
      <c r="J475" s="50"/>
      <c r="K475" s="50"/>
      <c r="L475" s="50"/>
      <c r="M475" s="50"/>
      <c r="N475" s="90"/>
      <c r="O475" s="50"/>
      <c r="P475" s="50"/>
      <c r="Q475" s="50"/>
      <c r="R475" s="50"/>
      <c r="S475" s="50"/>
      <c r="T475" s="50"/>
      <c r="U475" s="50"/>
      <c r="V475" s="50"/>
      <c r="W475" s="50"/>
      <c r="X475" s="50"/>
      <c r="Y475" s="50"/>
      <c r="Z475" s="50"/>
    </row>
    <row r="476" spans="1:26" x14ac:dyDescent="0.3">
      <c r="A476" s="50"/>
      <c r="B476" s="50"/>
      <c r="C476" s="50"/>
      <c r="E476" s="50"/>
      <c r="F476" s="50"/>
      <c r="G476" s="50"/>
      <c r="H476" s="50"/>
      <c r="I476" s="50"/>
      <c r="J476" s="50"/>
      <c r="K476" s="50"/>
      <c r="L476" s="50"/>
      <c r="M476" s="50"/>
      <c r="N476" s="90"/>
      <c r="O476" s="50"/>
      <c r="P476" s="50"/>
      <c r="Q476" s="50"/>
      <c r="R476" s="50"/>
      <c r="S476" s="50"/>
      <c r="T476" s="50"/>
      <c r="U476" s="50"/>
      <c r="V476" s="50"/>
      <c r="W476" s="50"/>
      <c r="X476" s="50"/>
      <c r="Y476" s="50"/>
      <c r="Z476" s="50"/>
    </row>
    <row r="477" spans="1:26" x14ac:dyDescent="0.3">
      <c r="A477" s="50"/>
      <c r="B477" s="50"/>
      <c r="C477" s="50"/>
      <c r="E477" s="50"/>
      <c r="F477" s="50"/>
      <c r="G477" s="50"/>
      <c r="H477" s="50"/>
      <c r="I477" s="50"/>
      <c r="J477" s="50"/>
      <c r="K477" s="50"/>
      <c r="L477" s="50"/>
      <c r="M477" s="50"/>
      <c r="N477" s="90"/>
      <c r="O477" s="50"/>
      <c r="P477" s="50"/>
      <c r="Q477" s="50"/>
      <c r="R477" s="50"/>
      <c r="S477" s="50"/>
      <c r="T477" s="50"/>
      <c r="U477" s="50"/>
      <c r="V477" s="50"/>
      <c r="W477" s="50"/>
      <c r="X477" s="50"/>
      <c r="Y477" s="50"/>
      <c r="Z477" s="50"/>
    </row>
    <row r="478" spans="1:26" x14ac:dyDescent="0.3">
      <c r="A478" s="50"/>
      <c r="B478" s="50"/>
      <c r="C478" s="50"/>
      <c r="E478" s="50"/>
      <c r="F478" s="50"/>
      <c r="G478" s="50"/>
      <c r="H478" s="50"/>
      <c r="I478" s="50"/>
      <c r="J478" s="50"/>
      <c r="K478" s="50"/>
      <c r="L478" s="50"/>
      <c r="M478" s="50"/>
      <c r="N478" s="90"/>
      <c r="O478" s="50"/>
      <c r="P478" s="50"/>
      <c r="Q478" s="50"/>
      <c r="R478" s="50"/>
      <c r="S478" s="50"/>
      <c r="T478" s="50"/>
      <c r="U478" s="50"/>
      <c r="V478" s="50"/>
      <c r="W478" s="50"/>
      <c r="X478" s="50"/>
      <c r="Y478" s="50"/>
      <c r="Z478" s="50"/>
    </row>
    <row r="479" spans="1:26" x14ac:dyDescent="0.3">
      <c r="A479" s="50"/>
      <c r="B479" s="50"/>
      <c r="C479" s="50"/>
      <c r="E479" s="50"/>
      <c r="F479" s="50"/>
      <c r="G479" s="50"/>
      <c r="H479" s="50"/>
      <c r="I479" s="50"/>
      <c r="J479" s="50"/>
      <c r="K479" s="50"/>
      <c r="L479" s="50"/>
      <c r="M479" s="50"/>
      <c r="N479" s="90"/>
      <c r="O479" s="50"/>
      <c r="P479" s="50"/>
      <c r="Q479" s="50"/>
      <c r="R479" s="50"/>
      <c r="S479" s="50"/>
      <c r="T479" s="50"/>
      <c r="U479" s="50"/>
      <c r="V479" s="50"/>
      <c r="W479" s="50"/>
      <c r="X479" s="50"/>
      <c r="Y479" s="50"/>
      <c r="Z479" s="50"/>
    </row>
    <row r="480" spans="1:26" x14ac:dyDescent="0.3">
      <c r="A480" s="50"/>
      <c r="B480" s="50"/>
      <c r="C480" s="50"/>
      <c r="E480" s="50"/>
      <c r="F480" s="50"/>
      <c r="G480" s="50"/>
      <c r="H480" s="50"/>
      <c r="I480" s="50"/>
      <c r="J480" s="50"/>
      <c r="K480" s="50"/>
      <c r="L480" s="50"/>
      <c r="M480" s="50"/>
      <c r="N480" s="90"/>
      <c r="O480" s="50"/>
      <c r="P480" s="50"/>
      <c r="Q480" s="50"/>
      <c r="R480" s="50"/>
      <c r="S480" s="50"/>
      <c r="T480" s="50"/>
      <c r="U480" s="50"/>
      <c r="V480" s="50"/>
      <c r="W480" s="50"/>
      <c r="X480" s="50"/>
      <c r="Y480" s="50"/>
      <c r="Z480" s="50"/>
    </row>
    <row r="481" spans="1:26" x14ac:dyDescent="0.3">
      <c r="A481" s="50"/>
      <c r="B481" s="50"/>
      <c r="C481" s="50"/>
      <c r="E481" s="50"/>
      <c r="F481" s="50"/>
      <c r="G481" s="50"/>
      <c r="H481" s="50"/>
      <c r="I481" s="50"/>
      <c r="J481" s="50"/>
      <c r="K481" s="50"/>
      <c r="L481" s="50"/>
      <c r="M481" s="50"/>
      <c r="N481" s="90"/>
      <c r="O481" s="50"/>
      <c r="P481" s="50"/>
      <c r="Q481" s="50"/>
      <c r="R481" s="50"/>
      <c r="S481" s="50"/>
      <c r="T481" s="50"/>
      <c r="U481" s="50"/>
      <c r="V481" s="50"/>
      <c r="W481" s="50"/>
      <c r="X481" s="50"/>
      <c r="Y481" s="50"/>
      <c r="Z481" s="50"/>
    </row>
    <row r="482" spans="1:26" x14ac:dyDescent="0.3">
      <c r="A482" s="50"/>
      <c r="B482" s="50"/>
      <c r="C482" s="50"/>
      <c r="E482" s="50"/>
      <c r="F482" s="50"/>
      <c r="G482" s="50"/>
      <c r="H482" s="50"/>
      <c r="I482" s="50"/>
      <c r="J482" s="50"/>
      <c r="K482" s="50"/>
      <c r="L482" s="50"/>
      <c r="M482" s="50"/>
      <c r="N482" s="90"/>
      <c r="O482" s="50"/>
      <c r="P482" s="50"/>
      <c r="Q482" s="50"/>
      <c r="R482" s="50"/>
      <c r="S482" s="50"/>
      <c r="T482" s="50"/>
      <c r="U482" s="50"/>
      <c r="V482" s="50"/>
      <c r="W482" s="50"/>
      <c r="X482" s="50"/>
      <c r="Y482" s="50"/>
      <c r="Z482" s="50"/>
    </row>
    <row r="483" spans="1:26" x14ac:dyDescent="0.3">
      <c r="A483" s="50"/>
      <c r="B483" s="50"/>
      <c r="C483" s="50"/>
      <c r="E483" s="50"/>
      <c r="F483" s="50"/>
      <c r="G483" s="50"/>
      <c r="H483" s="50"/>
      <c r="I483" s="50"/>
      <c r="J483" s="50"/>
      <c r="K483" s="50"/>
      <c r="L483" s="50"/>
      <c r="M483" s="50"/>
      <c r="N483" s="90"/>
      <c r="O483" s="50"/>
      <c r="P483" s="50"/>
      <c r="Q483" s="50"/>
      <c r="R483" s="50"/>
      <c r="S483" s="50"/>
      <c r="T483" s="50"/>
      <c r="U483" s="50"/>
      <c r="V483" s="50"/>
      <c r="W483" s="50"/>
      <c r="X483" s="50"/>
      <c r="Y483" s="50"/>
      <c r="Z483" s="50"/>
    </row>
    <row r="484" spans="1:26" x14ac:dyDescent="0.3">
      <c r="A484" s="50"/>
      <c r="B484" s="50"/>
      <c r="C484" s="50"/>
      <c r="E484" s="50"/>
      <c r="F484" s="50"/>
      <c r="G484" s="50"/>
      <c r="H484" s="50"/>
      <c r="I484" s="50"/>
      <c r="J484" s="50"/>
      <c r="K484" s="50"/>
      <c r="L484" s="50"/>
      <c r="M484" s="50"/>
      <c r="N484" s="90"/>
      <c r="O484" s="50"/>
      <c r="P484" s="50"/>
      <c r="Q484" s="50"/>
      <c r="R484" s="50"/>
      <c r="S484" s="50"/>
      <c r="T484" s="50"/>
      <c r="U484" s="50"/>
      <c r="V484" s="50"/>
      <c r="W484" s="50"/>
      <c r="X484" s="50"/>
      <c r="Y484" s="50"/>
      <c r="Z484" s="50"/>
    </row>
    <row r="485" spans="1:26" x14ac:dyDescent="0.3">
      <c r="A485" s="50"/>
      <c r="B485" s="50"/>
      <c r="C485" s="50"/>
      <c r="E485" s="50"/>
      <c r="F485" s="50"/>
      <c r="G485" s="50"/>
      <c r="H485" s="50"/>
      <c r="I485" s="50"/>
      <c r="J485" s="50"/>
      <c r="K485" s="50"/>
      <c r="L485" s="50"/>
      <c r="M485" s="50"/>
      <c r="N485" s="90"/>
      <c r="O485" s="50"/>
      <c r="P485" s="50"/>
      <c r="Q485" s="50"/>
      <c r="R485" s="50"/>
      <c r="S485" s="50"/>
      <c r="T485" s="50"/>
      <c r="U485" s="50"/>
      <c r="V485" s="50"/>
      <c r="W485" s="50"/>
      <c r="X485" s="50"/>
      <c r="Y485" s="50"/>
      <c r="Z485" s="50"/>
    </row>
    <row r="486" spans="1:26" x14ac:dyDescent="0.3">
      <c r="A486" s="50"/>
      <c r="B486" s="50"/>
      <c r="C486" s="50"/>
      <c r="E486" s="50"/>
      <c r="F486" s="50"/>
      <c r="G486" s="50"/>
      <c r="H486" s="50"/>
      <c r="I486" s="50"/>
      <c r="J486" s="50"/>
      <c r="K486" s="50"/>
      <c r="L486" s="50"/>
      <c r="M486" s="50"/>
      <c r="N486" s="90"/>
      <c r="O486" s="50"/>
      <c r="P486" s="50"/>
      <c r="Q486" s="50"/>
      <c r="R486" s="50"/>
      <c r="S486" s="50"/>
      <c r="T486" s="50"/>
      <c r="U486" s="50"/>
      <c r="V486" s="50"/>
      <c r="W486" s="50"/>
      <c r="X486" s="50"/>
      <c r="Y486" s="50"/>
      <c r="Z486" s="50"/>
    </row>
    <row r="487" spans="1:26" x14ac:dyDescent="0.3">
      <c r="A487" s="50"/>
      <c r="B487" s="50"/>
      <c r="C487" s="50"/>
      <c r="E487" s="50"/>
      <c r="F487" s="50"/>
      <c r="G487" s="50"/>
      <c r="H487" s="50"/>
      <c r="I487" s="50"/>
      <c r="J487" s="50"/>
      <c r="K487" s="50"/>
      <c r="L487" s="50"/>
      <c r="M487" s="50"/>
      <c r="N487" s="90"/>
      <c r="O487" s="50"/>
      <c r="P487" s="50"/>
      <c r="Q487" s="50"/>
      <c r="R487" s="50"/>
      <c r="S487" s="50"/>
      <c r="T487" s="50"/>
      <c r="U487" s="50"/>
      <c r="V487" s="50"/>
      <c r="W487" s="50"/>
      <c r="X487" s="50"/>
      <c r="Y487" s="50"/>
      <c r="Z487" s="50"/>
    </row>
    <row r="488" spans="1:26" x14ac:dyDescent="0.3">
      <c r="A488" s="50"/>
      <c r="B488" s="50"/>
      <c r="C488" s="50"/>
      <c r="E488" s="50"/>
      <c r="F488" s="50"/>
      <c r="G488" s="50"/>
      <c r="H488" s="50"/>
      <c r="I488" s="50"/>
      <c r="J488" s="50"/>
      <c r="K488" s="50"/>
      <c r="L488" s="50"/>
      <c r="M488" s="50"/>
      <c r="N488" s="90"/>
      <c r="O488" s="50"/>
      <c r="P488" s="50"/>
      <c r="Q488" s="50"/>
      <c r="R488" s="50"/>
      <c r="S488" s="50"/>
      <c r="T488" s="50"/>
      <c r="U488" s="50"/>
      <c r="V488" s="50"/>
      <c r="W488" s="50"/>
      <c r="X488" s="50"/>
      <c r="Y488" s="50"/>
      <c r="Z488" s="50"/>
    </row>
    <row r="489" spans="1:26" x14ac:dyDescent="0.3">
      <c r="A489" s="50"/>
      <c r="B489" s="50"/>
      <c r="C489" s="50"/>
      <c r="E489" s="50"/>
      <c r="F489" s="50"/>
      <c r="G489" s="50"/>
      <c r="H489" s="50"/>
      <c r="I489" s="50"/>
      <c r="J489" s="50"/>
      <c r="K489" s="50"/>
      <c r="L489" s="50"/>
      <c r="M489" s="50"/>
      <c r="N489" s="90"/>
      <c r="O489" s="50"/>
      <c r="P489" s="50"/>
      <c r="Q489" s="50"/>
      <c r="R489" s="50"/>
      <c r="S489" s="50"/>
      <c r="T489" s="50"/>
      <c r="U489" s="50"/>
      <c r="V489" s="50"/>
      <c r="W489" s="50"/>
      <c r="X489" s="50"/>
      <c r="Y489" s="50"/>
      <c r="Z489" s="50"/>
    </row>
    <row r="490" spans="1:26" x14ac:dyDescent="0.3">
      <c r="A490" s="50"/>
      <c r="B490" s="50"/>
      <c r="C490" s="50"/>
      <c r="E490" s="50"/>
      <c r="F490" s="50"/>
      <c r="G490" s="50"/>
      <c r="H490" s="50"/>
      <c r="I490" s="50"/>
      <c r="J490" s="50"/>
      <c r="K490" s="50"/>
      <c r="L490" s="50"/>
      <c r="M490" s="50"/>
      <c r="N490" s="90"/>
      <c r="O490" s="50"/>
      <c r="P490" s="50"/>
      <c r="Q490" s="50"/>
      <c r="R490" s="50"/>
      <c r="S490" s="50"/>
      <c r="T490" s="50"/>
      <c r="U490" s="50"/>
      <c r="V490" s="50"/>
      <c r="W490" s="50"/>
      <c r="X490" s="50"/>
      <c r="Y490" s="50"/>
      <c r="Z490" s="50"/>
    </row>
    <row r="491" spans="1:26" x14ac:dyDescent="0.3">
      <c r="A491" s="50"/>
      <c r="B491" s="50"/>
      <c r="C491" s="50"/>
      <c r="E491" s="50"/>
      <c r="F491" s="50"/>
      <c r="G491" s="50"/>
      <c r="H491" s="50"/>
      <c r="I491" s="50"/>
      <c r="J491" s="50"/>
      <c r="K491" s="50"/>
      <c r="L491" s="50"/>
      <c r="M491" s="50"/>
      <c r="N491" s="90"/>
      <c r="O491" s="50"/>
      <c r="P491" s="50"/>
      <c r="Q491" s="50"/>
      <c r="R491" s="50"/>
      <c r="S491" s="50"/>
      <c r="T491" s="50"/>
      <c r="U491" s="50"/>
      <c r="V491" s="50"/>
      <c r="W491" s="50"/>
      <c r="X491" s="50"/>
      <c r="Y491" s="50"/>
      <c r="Z491" s="50"/>
    </row>
    <row r="492" spans="1:26" x14ac:dyDescent="0.3">
      <c r="A492" s="50"/>
      <c r="B492" s="50"/>
      <c r="C492" s="50"/>
      <c r="E492" s="50"/>
      <c r="F492" s="50"/>
      <c r="G492" s="50"/>
      <c r="H492" s="50"/>
      <c r="I492" s="50"/>
      <c r="J492" s="50"/>
      <c r="K492" s="50"/>
      <c r="L492" s="50"/>
      <c r="M492" s="50"/>
      <c r="N492" s="90"/>
      <c r="O492" s="50"/>
      <c r="P492" s="50"/>
      <c r="Q492" s="50"/>
      <c r="R492" s="50"/>
      <c r="S492" s="50"/>
      <c r="T492" s="50"/>
      <c r="U492" s="50"/>
      <c r="V492" s="50"/>
      <c r="W492" s="50"/>
      <c r="X492" s="50"/>
      <c r="Y492" s="50"/>
      <c r="Z492" s="50"/>
    </row>
    <row r="493" spans="1:26" x14ac:dyDescent="0.3">
      <c r="A493" s="50"/>
      <c r="B493" s="50"/>
      <c r="C493" s="50"/>
      <c r="E493" s="50"/>
      <c r="F493" s="50"/>
      <c r="G493" s="50"/>
      <c r="H493" s="50"/>
      <c r="I493" s="50"/>
      <c r="J493" s="50"/>
      <c r="K493" s="50"/>
      <c r="L493" s="50"/>
      <c r="M493" s="50"/>
      <c r="N493" s="90"/>
      <c r="O493" s="50"/>
      <c r="P493" s="50"/>
      <c r="Q493" s="50"/>
      <c r="R493" s="50"/>
      <c r="S493" s="50"/>
      <c r="T493" s="50"/>
      <c r="U493" s="50"/>
      <c r="V493" s="50"/>
      <c r="W493" s="50"/>
      <c r="X493" s="50"/>
      <c r="Y493" s="50"/>
      <c r="Z493" s="50"/>
    </row>
    <row r="494" spans="1:26" x14ac:dyDescent="0.3">
      <c r="A494" s="50"/>
      <c r="B494" s="50"/>
      <c r="C494" s="50"/>
      <c r="E494" s="50"/>
      <c r="F494" s="50"/>
      <c r="G494" s="50"/>
      <c r="H494" s="50"/>
      <c r="I494" s="50"/>
      <c r="J494" s="50"/>
      <c r="K494" s="50"/>
      <c r="L494" s="50"/>
      <c r="M494" s="50"/>
      <c r="N494" s="90"/>
      <c r="O494" s="50"/>
      <c r="P494" s="50"/>
      <c r="Q494" s="50"/>
      <c r="R494" s="50"/>
      <c r="S494" s="50"/>
      <c r="T494" s="50"/>
      <c r="U494" s="50"/>
      <c r="V494" s="50"/>
      <c r="W494" s="50"/>
      <c r="X494" s="50"/>
      <c r="Y494" s="50"/>
      <c r="Z494" s="50"/>
    </row>
    <row r="495" spans="1:26" x14ac:dyDescent="0.3">
      <c r="A495" s="50"/>
      <c r="B495" s="50"/>
      <c r="C495" s="50"/>
      <c r="E495" s="50"/>
      <c r="F495" s="50"/>
      <c r="G495" s="50"/>
      <c r="H495" s="50"/>
      <c r="I495" s="50"/>
      <c r="J495" s="50"/>
      <c r="K495" s="50"/>
      <c r="L495" s="50"/>
      <c r="M495" s="50"/>
      <c r="N495" s="90"/>
      <c r="O495" s="50"/>
      <c r="P495" s="50"/>
      <c r="Q495" s="50"/>
      <c r="R495" s="50"/>
      <c r="S495" s="50"/>
      <c r="T495" s="50"/>
      <c r="U495" s="50"/>
      <c r="V495" s="50"/>
      <c r="W495" s="50"/>
      <c r="X495" s="50"/>
      <c r="Y495" s="50"/>
      <c r="Z495" s="50"/>
    </row>
    <row r="496" spans="1:26" x14ac:dyDescent="0.3">
      <c r="A496" s="50"/>
      <c r="B496" s="50"/>
      <c r="C496" s="50"/>
      <c r="E496" s="50"/>
      <c r="F496" s="50"/>
      <c r="G496" s="50"/>
      <c r="H496" s="50"/>
      <c r="I496" s="50"/>
      <c r="J496" s="50"/>
      <c r="K496" s="50"/>
      <c r="L496" s="50"/>
      <c r="M496" s="50"/>
      <c r="N496" s="90"/>
      <c r="O496" s="50"/>
      <c r="P496" s="50"/>
      <c r="Q496" s="50"/>
      <c r="R496" s="50"/>
      <c r="S496" s="50"/>
      <c r="T496" s="50"/>
      <c r="U496" s="50"/>
      <c r="V496" s="50"/>
      <c r="W496" s="50"/>
      <c r="X496" s="50"/>
      <c r="Y496" s="50"/>
      <c r="Z496" s="50"/>
    </row>
    <row r="497" spans="1:26" x14ac:dyDescent="0.3">
      <c r="A497" s="50"/>
      <c r="B497" s="50"/>
      <c r="C497" s="50"/>
      <c r="E497" s="50"/>
      <c r="F497" s="50"/>
      <c r="G497" s="50"/>
      <c r="H497" s="50"/>
      <c r="I497" s="50"/>
      <c r="J497" s="50"/>
      <c r="K497" s="50"/>
      <c r="L497" s="50"/>
      <c r="M497" s="50"/>
      <c r="N497" s="90"/>
      <c r="O497" s="50"/>
      <c r="P497" s="50"/>
      <c r="Q497" s="50"/>
      <c r="R497" s="50"/>
      <c r="S497" s="50"/>
      <c r="T497" s="50"/>
      <c r="U497" s="50"/>
      <c r="V497" s="50"/>
      <c r="W497" s="50"/>
      <c r="X497" s="50"/>
      <c r="Y497" s="50"/>
      <c r="Z497" s="50"/>
    </row>
    <row r="498" spans="1:26" x14ac:dyDescent="0.3">
      <c r="A498" s="50"/>
      <c r="B498" s="50"/>
      <c r="C498" s="50"/>
      <c r="E498" s="50"/>
      <c r="F498" s="50"/>
      <c r="G498" s="50"/>
      <c r="H498" s="50"/>
      <c r="I498" s="50"/>
      <c r="J498" s="50"/>
      <c r="K498" s="50"/>
      <c r="L498" s="50"/>
      <c r="M498" s="50"/>
      <c r="N498" s="90"/>
      <c r="O498" s="50"/>
      <c r="P498" s="50"/>
      <c r="Q498" s="50"/>
      <c r="R498" s="50"/>
      <c r="S498" s="50"/>
      <c r="T498" s="50"/>
      <c r="U498" s="50"/>
      <c r="V498" s="50"/>
      <c r="W498" s="50"/>
      <c r="X498" s="50"/>
      <c r="Y498" s="50"/>
      <c r="Z498" s="50"/>
    </row>
    <row r="499" spans="1:26" x14ac:dyDescent="0.3">
      <c r="A499" s="50"/>
      <c r="B499" s="50"/>
      <c r="C499" s="50"/>
      <c r="E499" s="50"/>
      <c r="F499" s="50"/>
      <c r="G499" s="50"/>
      <c r="H499" s="50"/>
      <c r="I499" s="50"/>
      <c r="J499" s="50"/>
      <c r="K499" s="50"/>
      <c r="L499" s="50"/>
      <c r="M499" s="50"/>
      <c r="N499" s="90"/>
      <c r="O499" s="50"/>
      <c r="P499" s="50"/>
      <c r="Q499" s="50"/>
      <c r="R499" s="50"/>
      <c r="S499" s="50"/>
      <c r="T499" s="50"/>
      <c r="U499" s="50"/>
      <c r="V499" s="50"/>
      <c r="W499" s="50"/>
      <c r="X499" s="50"/>
      <c r="Y499" s="50"/>
      <c r="Z499" s="50"/>
    </row>
    <row r="500" spans="1:26" x14ac:dyDescent="0.3">
      <c r="A500" s="50"/>
      <c r="B500" s="50"/>
      <c r="C500" s="50"/>
      <c r="E500" s="50"/>
      <c r="F500" s="50"/>
      <c r="G500" s="50"/>
      <c r="H500" s="50"/>
      <c r="I500" s="50"/>
      <c r="J500" s="50"/>
      <c r="K500" s="50"/>
      <c r="L500" s="50"/>
      <c r="M500" s="50"/>
      <c r="N500" s="90"/>
      <c r="O500" s="50"/>
      <c r="P500" s="50"/>
      <c r="Q500" s="50"/>
      <c r="R500" s="50"/>
      <c r="S500" s="50"/>
      <c r="T500" s="50"/>
      <c r="U500" s="50"/>
      <c r="V500" s="50"/>
      <c r="W500" s="50"/>
      <c r="X500" s="50"/>
      <c r="Y500" s="50"/>
      <c r="Z500" s="50"/>
    </row>
    <row r="501" spans="1:26" x14ac:dyDescent="0.3">
      <c r="A501" s="50"/>
      <c r="B501" s="50"/>
      <c r="C501" s="50"/>
      <c r="E501" s="50"/>
      <c r="F501" s="50"/>
      <c r="G501" s="50"/>
      <c r="H501" s="50"/>
      <c r="I501" s="50"/>
      <c r="J501" s="50"/>
      <c r="K501" s="50"/>
      <c r="L501" s="50"/>
      <c r="M501" s="50"/>
      <c r="N501" s="90"/>
      <c r="O501" s="50"/>
      <c r="P501" s="50"/>
      <c r="Q501" s="50"/>
      <c r="R501" s="50"/>
      <c r="S501" s="50"/>
      <c r="T501" s="50"/>
      <c r="U501" s="50"/>
      <c r="V501" s="50"/>
      <c r="W501" s="50"/>
      <c r="X501" s="50"/>
      <c r="Y501" s="50"/>
      <c r="Z501" s="50"/>
    </row>
    <row r="502" spans="1:26" x14ac:dyDescent="0.3">
      <c r="A502" s="50"/>
      <c r="B502" s="50"/>
      <c r="C502" s="50"/>
      <c r="E502" s="50"/>
      <c r="F502" s="50"/>
      <c r="G502" s="50"/>
      <c r="H502" s="50"/>
      <c r="I502" s="50"/>
      <c r="J502" s="50"/>
      <c r="K502" s="50"/>
      <c r="L502" s="50"/>
      <c r="M502" s="50"/>
      <c r="N502" s="90"/>
      <c r="O502" s="50"/>
      <c r="P502" s="50"/>
      <c r="Q502" s="50"/>
      <c r="R502" s="50"/>
      <c r="S502" s="50"/>
      <c r="T502" s="50"/>
      <c r="U502" s="50"/>
      <c r="V502" s="50"/>
      <c r="W502" s="50"/>
      <c r="X502" s="50"/>
      <c r="Y502" s="50"/>
      <c r="Z502" s="50"/>
    </row>
    <row r="503" spans="1:26" x14ac:dyDescent="0.3">
      <c r="A503" s="50"/>
      <c r="B503" s="50"/>
      <c r="C503" s="50"/>
      <c r="E503" s="50"/>
      <c r="F503" s="50"/>
      <c r="G503" s="50"/>
      <c r="H503" s="50"/>
      <c r="I503" s="50"/>
      <c r="J503" s="50"/>
      <c r="K503" s="50"/>
      <c r="L503" s="50"/>
      <c r="M503" s="50"/>
      <c r="N503" s="90"/>
      <c r="O503" s="50"/>
      <c r="P503" s="50"/>
      <c r="Q503" s="50"/>
      <c r="R503" s="50"/>
      <c r="S503" s="50"/>
      <c r="T503" s="50"/>
      <c r="U503" s="50"/>
      <c r="V503" s="50"/>
      <c r="W503" s="50"/>
      <c r="X503" s="50"/>
      <c r="Y503" s="50"/>
      <c r="Z503" s="50"/>
    </row>
    <row r="504" spans="1:26" x14ac:dyDescent="0.3">
      <c r="A504" s="50"/>
      <c r="B504" s="50"/>
      <c r="C504" s="50"/>
      <c r="E504" s="50"/>
      <c r="F504" s="50"/>
      <c r="G504" s="50"/>
      <c r="H504" s="50"/>
      <c r="I504" s="50"/>
      <c r="J504" s="50"/>
      <c r="K504" s="50"/>
      <c r="L504" s="50"/>
      <c r="M504" s="50"/>
      <c r="N504" s="90"/>
      <c r="O504" s="50"/>
      <c r="P504" s="50"/>
      <c r="Q504" s="50"/>
      <c r="R504" s="50"/>
      <c r="S504" s="50"/>
      <c r="T504" s="50"/>
      <c r="U504" s="50"/>
      <c r="V504" s="50"/>
      <c r="W504" s="50"/>
      <c r="X504" s="50"/>
      <c r="Y504" s="50"/>
      <c r="Z504" s="50"/>
    </row>
    <row r="505" spans="1:26" x14ac:dyDescent="0.3">
      <c r="A505" s="50"/>
      <c r="B505" s="50"/>
      <c r="C505" s="50"/>
      <c r="E505" s="50"/>
      <c r="F505" s="50"/>
      <c r="G505" s="50"/>
      <c r="H505" s="50"/>
      <c r="I505" s="50"/>
      <c r="J505" s="50"/>
      <c r="K505" s="50"/>
      <c r="L505" s="50"/>
      <c r="M505" s="50"/>
      <c r="N505" s="90"/>
      <c r="O505" s="50"/>
      <c r="P505" s="50"/>
      <c r="Q505" s="50"/>
      <c r="R505" s="50"/>
      <c r="S505" s="50"/>
      <c r="T505" s="50"/>
      <c r="U505" s="50"/>
      <c r="V505" s="50"/>
      <c r="W505" s="50"/>
      <c r="X505" s="50"/>
      <c r="Y505" s="50"/>
      <c r="Z505" s="50"/>
    </row>
    <row r="506" spans="1:26" x14ac:dyDescent="0.3">
      <c r="A506" s="50"/>
      <c r="B506" s="50"/>
      <c r="C506" s="50"/>
      <c r="E506" s="50"/>
      <c r="F506" s="50"/>
      <c r="G506" s="50"/>
      <c r="H506" s="50"/>
      <c r="I506" s="50"/>
      <c r="J506" s="50"/>
      <c r="K506" s="50"/>
      <c r="L506" s="50"/>
      <c r="M506" s="50"/>
      <c r="N506" s="90"/>
      <c r="O506" s="50"/>
      <c r="P506" s="50"/>
      <c r="Q506" s="50"/>
      <c r="R506" s="50"/>
      <c r="S506" s="50"/>
      <c r="T506" s="50"/>
      <c r="U506" s="50"/>
      <c r="V506" s="50"/>
      <c r="W506" s="50"/>
      <c r="X506" s="50"/>
      <c r="Y506" s="50"/>
      <c r="Z506" s="50"/>
    </row>
    <row r="507" spans="1:26" x14ac:dyDescent="0.3">
      <c r="A507" s="50"/>
      <c r="B507" s="50"/>
      <c r="C507" s="50"/>
      <c r="E507" s="50"/>
      <c r="F507" s="50"/>
      <c r="G507" s="50"/>
      <c r="H507" s="50"/>
      <c r="I507" s="50"/>
      <c r="J507" s="50"/>
      <c r="K507" s="50"/>
      <c r="L507" s="50"/>
      <c r="M507" s="50"/>
      <c r="N507" s="90"/>
      <c r="O507" s="50"/>
      <c r="P507" s="50"/>
      <c r="Q507" s="50"/>
      <c r="R507" s="50"/>
      <c r="S507" s="50"/>
      <c r="T507" s="50"/>
      <c r="U507" s="50"/>
      <c r="V507" s="50"/>
      <c r="W507" s="50"/>
      <c r="X507" s="50"/>
      <c r="Y507" s="50"/>
      <c r="Z507" s="50"/>
    </row>
    <row r="508" spans="1:26" x14ac:dyDescent="0.3">
      <c r="A508" s="50"/>
      <c r="B508" s="50"/>
      <c r="C508" s="50"/>
      <c r="E508" s="50"/>
      <c r="F508" s="50"/>
      <c r="G508" s="50"/>
      <c r="H508" s="50"/>
      <c r="I508" s="50"/>
      <c r="J508" s="50"/>
      <c r="K508" s="50"/>
      <c r="L508" s="50"/>
      <c r="M508" s="50"/>
      <c r="N508" s="90"/>
      <c r="O508" s="50"/>
      <c r="P508" s="50"/>
      <c r="Q508" s="50"/>
      <c r="R508" s="50"/>
      <c r="S508" s="50"/>
      <c r="T508" s="50"/>
      <c r="U508" s="50"/>
      <c r="V508" s="50"/>
      <c r="W508" s="50"/>
      <c r="X508" s="50"/>
      <c r="Y508" s="50"/>
      <c r="Z508" s="50"/>
    </row>
    <row r="509" spans="1:26" x14ac:dyDescent="0.3">
      <c r="A509" s="50"/>
      <c r="B509" s="50"/>
      <c r="C509" s="50"/>
      <c r="E509" s="50"/>
      <c r="F509" s="50"/>
      <c r="G509" s="50"/>
      <c r="H509" s="50"/>
      <c r="I509" s="50"/>
      <c r="J509" s="50"/>
      <c r="K509" s="50"/>
      <c r="L509" s="50"/>
      <c r="M509" s="50"/>
      <c r="N509" s="90"/>
      <c r="O509" s="50"/>
      <c r="P509" s="50"/>
      <c r="Q509" s="50"/>
      <c r="R509" s="50"/>
      <c r="S509" s="50"/>
      <c r="T509" s="50"/>
      <c r="U509" s="50"/>
      <c r="V509" s="50"/>
      <c r="W509" s="50"/>
      <c r="X509" s="50"/>
      <c r="Y509" s="50"/>
      <c r="Z509" s="50"/>
    </row>
    <row r="510" spans="1:26" x14ac:dyDescent="0.3">
      <c r="A510" s="50"/>
      <c r="B510" s="50"/>
      <c r="C510" s="50"/>
      <c r="E510" s="50"/>
      <c r="F510" s="50"/>
      <c r="G510" s="50"/>
      <c r="H510" s="50"/>
      <c r="I510" s="50"/>
      <c r="J510" s="50"/>
      <c r="K510" s="50"/>
      <c r="L510" s="50"/>
      <c r="M510" s="50"/>
      <c r="N510" s="90"/>
      <c r="O510" s="50"/>
      <c r="P510" s="50"/>
      <c r="Q510" s="50"/>
      <c r="R510" s="50"/>
      <c r="S510" s="50"/>
      <c r="T510" s="50"/>
      <c r="U510" s="50"/>
      <c r="V510" s="50"/>
      <c r="W510" s="50"/>
      <c r="X510" s="50"/>
      <c r="Y510" s="50"/>
      <c r="Z510" s="50"/>
    </row>
    <row r="511" spans="1:26" x14ac:dyDescent="0.3">
      <c r="A511" s="50"/>
      <c r="B511" s="50"/>
      <c r="C511" s="50"/>
      <c r="E511" s="50"/>
      <c r="F511" s="50"/>
      <c r="G511" s="50"/>
      <c r="H511" s="50"/>
      <c r="I511" s="50"/>
      <c r="J511" s="50"/>
      <c r="K511" s="50"/>
      <c r="L511" s="50"/>
      <c r="M511" s="50"/>
      <c r="N511" s="90"/>
      <c r="O511" s="50"/>
      <c r="P511" s="50"/>
      <c r="Q511" s="50"/>
      <c r="R511" s="50"/>
      <c r="S511" s="50"/>
      <c r="T511" s="50"/>
      <c r="U511" s="50"/>
      <c r="V511" s="50"/>
      <c r="W511" s="50"/>
      <c r="X511" s="50"/>
      <c r="Y511" s="50"/>
      <c r="Z511" s="50"/>
    </row>
    <row r="512" spans="1:26" x14ac:dyDescent="0.3">
      <c r="A512" s="50"/>
      <c r="B512" s="50"/>
      <c r="C512" s="50"/>
      <c r="E512" s="50"/>
      <c r="F512" s="50"/>
      <c r="G512" s="50"/>
      <c r="H512" s="50"/>
      <c r="I512" s="50"/>
      <c r="J512" s="50"/>
      <c r="K512" s="50"/>
      <c r="L512" s="50"/>
      <c r="M512" s="50"/>
      <c r="N512" s="90"/>
      <c r="O512" s="50"/>
      <c r="P512" s="50"/>
      <c r="Q512" s="50"/>
      <c r="R512" s="50"/>
      <c r="S512" s="50"/>
      <c r="T512" s="50"/>
      <c r="U512" s="50"/>
      <c r="V512" s="50"/>
      <c r="W512" s="50"/>
      <c r="X512" s="50"/>
      <c r="Y512" s="50"/>
      <c r="Z512" s="50"/>
    </row>
    <row r="513" spans="1:26" x14ac:dyDescent="0.3">
      <c r="A513" s="50"/>
      <c r="B513" s="50"/>
      <c r="C513" s="50"/>
      <c r="E513" s="50"/>
      <c r="F513" s="50"/>
      <c r="G513" s="50"/>
      <c r="H513" s="50"/>
      <c r="I513" s="50"/>
      <c r="J513" s="50"/>
      <c r="K513" s="50"/>
      <c r="L513" s="50"/>
      <c r="M513" s="50"/>
      <c r="N513" s="90"/>
      <c r="O513" s="50"/>
      <c r="P513" s="50"/>
      <c r="Q513" s="50"/>
      <c r="R513" s="50"/>
      <c r="S513" s="50"/>
      <c r="T513" s="50"/>
      <c r="U513" s="50"/>
      <c r="V513" s="50"/>
      <c r="W513" s="50"/>
      <c r="X513" s="50"/>
      <c r="Y513" s="50"/>
      <c r="Z513" s="50"/>
    </row>
    <row r="514" spans="1:26" x14ac:dyDescent="0.3">
      <c r="A514" s="50"/>
      <c r="B514" s="50"/>
      <c r="C514" s="50"/>
      <c r="E514" s="50"/>
      <c r="F514" s="50"/>
      <c r="G514" s="50"/>
      <c r="H514" s="50"/>
      <c r="I514" s="50"/>
      <c r="J514" s="50"/>
      <c r="K514" s="50"/>
      <c r="L514" s="50"/>
      <c r="M514" s="50"/>
      <c r="N514" s="90"/>
      <c r="O514" s="50"/>
      <c r="P514" s="50"/>
      <c r="Q514" s="50"/>
      <c r="R514" s="50"/>
      <c r="S514" s="50"/>
      <c r="T514" s="50"/>
      <c r="U514" s="50"/>
      <c r="V514" s="50"/>
      <c r="W514" s="50"/>
      <c r="X514" s="50"/>
      <c r="Y514" s="50"/>
      <c r="Z514" s="50"/>
    </row>
    <row r="515" spans="1:26" x14ac:dyDescent="0.3">
      <c r="A515" s="50"/>
      <c r="B515" s="50"/>
      <c r="C515" s="50"/>
      <c r="E515" s="50"/>
      <c r="F515" s="50"/>
      <c r="G515" s="50"/>
      <c r="H515" s="50"/>
      <c r="I515" s="50"/>
      <c r="J515" s="50"/>
      <c r="K515" s="50"/>
      <c r="L515" s="50"/>
      <c r="M515" s="50"/>
      <c r="N515" s="90"/>
      <c r="O515" s="50"/>
      <c r="P515" s="50"/>
      <c r="Q515" s="50"/>
      <c r="R515" s="50"/>
      <c r="S515" s="50"/>
      <c r="T515" s="50"/>
      <c r="U515" s="50"/>
      <c r="V515" s="50"/>
      <c r="W515" s="50"/>
      <c r="X515" s="50"/>
      <c r="Y515" s="50"/>
      <c r="Z515" s="50"/>
    </row>
    <row r="516" spans="1:26" x14ac:dyDescent="0.3">
      <c r="A516" s="50"/>
      <c r="B516" s="50"/>
      <c r="C516" s="50"/>
      <c r="E516" s="50"/>
      <c r="F516" s="50"/>
      <c r="G516" s="50"/>
      <c r="H516" s="50"/>
      <c r="I516" s="50"/>
      <c r="J516" s="50"/>
      <c r="K516" s="50"/>
      <c r="L516" s="50"/>
      <c r="M516" s="50"/>
      <c r="N516" s="90"/>
      <c r="O516" s="50"/>
      <c r="P516" s="50"/>
      <c r="Q516" s="50"/>
      <c r="R516" s="50"/>
      <c r="S516" s="50"/>
      <c r="T516" s="50"/>
      <c r="U516" s="50"/>
      <c r="V516" s="50"/>
      <c r="W516" s="50"/>
      <c r="X516" s="50"/>
      <c r="Y516" s="50"/>
      <c r="Z516" s="50"/>
    </row>
    <row r="517" spans="1:26" x14ac:dyDescent="0.3">
      <c r="A517" s="50"/>
      <c r="B517" s="50"/>
      <c r="C517" s="50"/>
      <c r="E517" s="50"/>
      <c r="F517" s="50"/>
      <c r="G517" s="50"/>
      <c r="H517" s="50"/>
      <c r="I517" s="50"/>
      <c r="J517" s="50"/>
      <c r="K517" s="50"/>
      <c r="L517" s="50"/>
      <c r="M517" s="50"/>
      <c r="N517" s="90"/>
      <c r="O517" s="50"/>
      <c r="P517" s="50"/>
      <c r="Q517" s="50"/>
      <c r="R517" s="50"/>
      <c r="S517" s="50"/>
      <c r="T517" s="50"/>
      <c r="U517" s="50"/>
      <c r="V517" s="50"/>
      <c r="W517" s="50"/>
      <c r="X517" s="50"/>
      <c r="Y517" s="50"/>
      <c r="Z517" s="50"/>
    </row>
    <row r="518" spans="1:26" x14ac:dyDescent="0.3">
      <c r="A518" s="50"/>
      <c r="B518" s="50"/>
      <c r="C518" s="50"/>
      <c r="E518" s="50"/>
      <c r="F518" s="50"/>
      <c r="G518" s="50"/>
      <c r="H518" s="50"/>
      <c r="I518" s="50"/>
      <c r="J518" s="50"/>
      <c r="K518" s="50"/>
      <c r="L518" s="50"/>
      <c r="M518" s="50"/>
      <c r="N518" s="90"/>
      <c r="O518" s="50"/>
      <c r="P518" s="50"/>
      <c r="Q518" s="50"/>
      <c r="R518" s="50"/>
      <c r="S518" s="50"/>
      <c r="T518" s="50"/>
      <c r="U518" s="50"/>
      <c r="V518" s="50"/>
      <c r="W518" s="50"/>
      <c r="X518" s="50"/>
      <c r="Y518" s="50"/>
      <c r="Z518" s="50"/>
    </row>
    <row r="519" spans="1:26" x14ac:dyDescent="0.3">
      <c r="A519" s="50"/>
      <c r="B519" s="50"/>
      <c r="C519" s="50"/>
      <c r="E519" s="50"/>
      <c r="F519" s="50"/>
      <c r="G519" s="50"/>
      <c r="H519" s="50"/>
      <c r="I519" s="50"/>
      <c r="J519" s="50"/>
      <c r="K519" s="50"/>
      <c r="L519" s="50"/>
      <c r="M519" s="50"/>
      <c r="N519" s="90"/>
      <c r="O519" s="50"/>
      <c r="P519" s="50"/>
      <c r="Q519" s="50"/>
      <c r="R519" s="50"/>
      <c r="S519" s="50"/>
      <c r="T519" s="50"/>
      <c r="U519" s="50"/>
      <c r="V519" s="50"/>
      <c r="W519" s="50"/>
      <c r="X519" s="50"/>
      <c r="Y519" s="50"/>
      <c r="Z519" s="50"/>
    </row>
    <row r="520" spans="1:26" x14ac:dyDescent="0.3">
      <c r="A520" s="50"/>
      <c r="B520" s="50"/>
      <c r="C520" s="50"/>
      <c r="E520" s="50"/>
      <c r="F520" s="50"/>
      <c r="G520" s="50"/>
      <c r="H520" s="50"/>
      <c r="I520" s="50"/>
      <c r="J520" s="50"/>
      <c r="K520" s="50"/>
      <c r="L520" s="50"/>
      <c r="M520" s="50"/>
      <c r="N520" s="90"/>
      <c r="O520" s="50"/>
      <c r="P520" s="50"/>
      <c r="Q520" s="50"/>
      <c r="R520" s="50"/>
      <c r="S520" s="50"/>
      <c r="T520" s="50"/>
      <c r="U520" s="50"/>
      <c r="V520" s="50"/>
      <c r="W520" s="50"/>
      <c r="X520" s="50"/>
      <c r="Y520" s="50"/>
      <c r="Z520" s="50"/>
    </row>
    <row r="521" spans="1:26" x14ac:dyDescent="0.3">
      <c r="A521" s="50"/>
      <c r="B521" s="50"/>
      <c r="C521" s="50"/>
      <c r="E521" s="50"/>
      <c r="F521" s="50"/>
      <c r="G521" s="50"/>
      <c r="H521" s="50"/>
      <c r="I521" s="50"/>
      <c r="J521" s="50"/>
      <c r="K521" s="50"/>
      <c r="L521" s="50"/>
      <c r="M521" s="50"/>
      <c r="N521" s="90"/>
      <c r="O521" s="50"/>
      <c r="P521" s="50"/>
      <c r="Q521" s="50"/>
      <c r="R521" s="50"/>
      <c r="S521" s="50"/>
      <c r="T521" s="50"/>
      <c r="U521" s="50"/>
      <c r="V521" s="50"/>
      <c r="W521" s="50"/>
      <c r="X521" s="50"/>
      <c r="Y521" s="50"/>
      <c r="Z521" s="50"/>
    </row>
    <row r="522" spans="1:26" x14ac:dyDescent="0.3">
      <c r="A522" s="50"/>
      <c r="B522" s="50"/>
      <c r="C522" s="50"/>
      <c r="E522" s="50"/>
      <c r="F522" s="50"/>
      <c r="G522" s="50"/>
      <c r="H522" s="50"/>
      <c r="I522" s="50"/>
      <c r="J522" s="50"/>
      <c r="K522" s="50"/>
      <c r="L522" s="50"/>
      <c r="M522" s="50"/>
      <c r="N522" s="90"/>
      <c r="O522" s="50"/>
      <c r="P522" s="50"/>
      <c r="Q522" s="50"/>
      <c r="R522" s="50"/>
      <c r="S522" s="50"/>
      <c r="T522" s="50"/>
      <c r="U522" s="50"/>
      <c r="V522" s="50"/>
      <c r="W522" s="50"/>
      <c r="X522" s="50"/>
      <c r="Y522" s="50"/>
      <c r="Z522" s="50"/>
    </row>
    <row r="523" spans="1:26" x14ac:dyDescent="0.3">
      <c r="A523" s="50"/>
      <c r="B523" s="50"/>
      <c r="C523" s="50"/>
      <c r="E523" s="50"/>
      <c r="F523" s="50"/>
      <c r="G523" s="50"/>
      <c r="H523" s="50"/>
      <c r="I523" s="50"/>
      <c r="J523" s="50"/>
      <c r="K523" s="50"/>
      <c r="L523" s="50"/>
      <c r="M523" s="50"/>
      <c r="N523" s="90"/>
      <c r="O523" s="50"/>
      <c r="P523" s="50"/>
      <c r="Q523" s="50"/>
      <c r="R523" s="50"/>
      <c r="S523" s="50"/>
      <c r="T523" s="50"/>
      <c r="U523" s="50"/>
      <c r="V523" s="50"/>
      <c r="W523" s="50"/>
      <c r="X523" s="50"/>
      <c r="Y523" s="50"/>
      <c r="Z523" s="50"/>
    </row>
    <row r="524" spans="1:26" x14ac:dyDescent="0.3">
      <c r="A524" s="50"/>
      <c r="B524" s="50"/>
      <c r="C524" s="50"/>
      <c r="E524" s="50"/>
      <c r="F524" s="50"/>
      <c r="G524" s="50"/>
      <c r="H524" s="50"/>
      <c r="I524" s="50"/>
      <c r="J524" s="50"/>
      <c r="K524" s="50"/>
      <c r="L524" s="50"/>
      <c r="M524" s="50"/>
      <c r="N524" s="90"/>
      <c r="O524" s="50"/>
      <c r="P524" s="50"/>
      <c r="Q524" s="50"/>
      <c r="R524" s="50"/>
      <c r="S524" s="50"/>
      <c r="T524" s="50"/>
      <c r="U524" s="50"/>
      <c r="V524" s="50"/>
      <c r="W524" s="50"/>
      <c r="X524" s="50"/>
      <c r="Y524" s="50"/>
      <c r="Z524" s="50"/>
    </row>
    <row r="525" spans="1:26" x14ac:dyDescent="0.3">
      <c r="A525" s="50"/>
      <c r="B525" s="50"/>
      <c r="C525" s="50"/>
      <c r="E525" s="50"/>
      <c r="F525" s="50"/>
      <c r="G525" s="50"/>
      <c r="H525" s="50"/>
      <c r="I525" s="50"/>
      <c r="J525" s="50"/>
      <c r="K525" s="50"/>
      <c r="L525" s="50"/>
      <c r="M525" s="50"/>
      <c r="N525" s="90"/>
      <c r="O525" s="50"/>
      <c r="P525" s="50"/>
      <c r="Q525" s="50"/>
      <c r="R525" s="50"/>
      <c r="S525" s="50"/>
      <c r="T525" s="50"/>
      <c r="U525" s="50"/>
      <c r="V525" s="50"/>
      <c r="W525" s="50"/>
      <c r="X525" s="50"/>
      <c r="Y525" s="50"/>
      <c r="Z525" s="50"/>
    </row>
    <row r="526" spans="1:26" x14ac:dyDescent="0.3">
      <c r="A526" s="50"/>
      <c r="B526" s="50"/>
      <c r="C526" s="50"/>
      <c r="E526" s="50"/>
      <c r="F526" s="50"/>
      <c r="G526" s="50"/>
      <c r="H526" s="50"/>
      <c r="I526" s="50"/>
      <c r="J526" s="50"/>
      <c r="K526" s="50"/>
      <c r="L526" s="50"/>
      <c r="M526" s="50"/>
      <c r="N526" s="90"/>
      <c r="O526" s="50"/>
      <c r="P526" s="50"/>
      <c r="Q526" s="50"/>
      <c r="R526" s="50"/>
      <c r="S526" s="50"/>
      <c r="T526" s="50"/>
      <c r="U526" s="50"/>
      <c r="V526" s="50"/>
      <c r="W526" s="50"/>
      <c r="X526" s="50"/>
      <c r="Y526" s="50"/>
      <c r="Z526" s="50"/>
    </row>
    <row r="527" spans="1:26" x14ac:dyDescent="0.3">
      <c r="A527" s="50"/>
      <c r="B527" s="50"/>
      <c r="C527" s="50"/>
      <c r="E527" s="50"/>
      <c r="F527" s="50"/>
      <c r="G527" s="50"/>
      <c r="H527" s="50"/>
      <c r="I527" s="50"/>
      <c r="J527" s="50"/>
      <c r="K527" s="50"/>
      <c r="L527" s="50"/>
      <c r="M527" s="50"/>
      <c r="N527" s="90"/>
      <c r="O527" s="50"/>
      <c r="P527" s="50"/>
      <c r="Q527" s="50"/>
      <c r="R527" s="50"/>
      <c r="S527" s="50"/>
      <c r="T527" s="50"/>
      <c r="U527" s="50"/>
      <c r="V527" s="50"/>
      <c r="W527" s="50"/>
      <c r="X527" s="50"/>
      <c r="Y527" s="50"/>
      <c r="Z527" s="50"/>
    </row>
    <row r="528" spans="1:26" x14ac:dyDescent="0.3">
      <c r="A528" s="50"/>
      <c r="B528" s="50"/>
      <c r="C528" s="50"/>
      <c r="E528" s="50"/>
      <c r="F528" s="50"/>
      <c r="G528" s="50"/>
      <c r="H528" s="50"/>
      <c r="I528" s="50"/>
      <c r="J528" s="50"/>
      <c r="K528" s="50"/>
      <c r="L528" s="50"/>
      <c r="M528" s="50"/>
      <c r="N528" s="90"/>
      <c r="O528" s="50"/>
      <c r="P528" s="50"/>
      <c r="Q528" s="50"/>
      <c r="R528" s="50"/>
      <c r="S528" s="50"/>
      <c r="T528" s="50"/>
      <c r="U528" s="50"/>
      <c r="V528" s="50"/>
      <c r="W528" s="50"/>
      <c r="X528" s="50"/>
      <c r="Y528" s="50"/>
      <c r="Z528" s="50"/>
    </row>
    <row r="529" spans="1:26" x14ac:dyDescent="0.3">
      <c r="A529" s="50"/>
      <c r="B529" s="50"/>
      <c r="C529" s="50"/>
      <c r="E529" s="50"/>
      <c r="F529" s="50"/>
      <c r="G529" s="50"/>
      <c r="H529" s="50"/>
      <c r="I529" s="50"/>
      <c r="J529" s="50"/>
      <c r="K529" s="50"/>
      <c r="L529" s="50"/>
      <c r="M529" s="50"/>
      <c r="N529" s="90"/>
      <c r="O529" s="50"/>
      <c r="P529" s="50"/>
      <c r="Q529" s="50"/>
      <c r="R529" s="50"/>
      <c r="S529" s="50"/>
      <c r="T529" s="50"/>
      <c r="U529" s="50"/>
      <c r="V529" s="50"/>
      <c r="W529" s="50"/>
      <c r="X529" s="50"/>
      <c r="Y529" s="50"/>
      <c r="Z529" s="50"/>
    </row>
    <row r="530" spans="1:26" x14ac:dyDescent="0.3">
      <c r="A530" s="50"/>
      <c r="B530" s="50"/>
      <c r="C530" s="50"/>
      <c r="E530" s="50"/>
      <c r="F530" s="50"/>
      <c r="G530" s="50"/>
      <c r="H530" s="50"/>
      <c r="I530" s="50"/>
      <c r="J530" s="50"/>
      <c r="K530" s="50"/>
      <c r="L530" s="50"/>
      <c r="M530" s="50"/>
      <c r="N530" s="90"/>
      <c r="O530" s="50"/>
      <c r="P530" s="50"/>
      <c r="Q530" s="50"/>
      <c r="R530" s="50"/>
      <c r="S530" s="50"/>
      <c r="T530" s="50"/>
      <c r="U530" s="50"/>
      <c r="V530" s="50"/>
      <c r="W530" s="50"/>
      <c r="X530" s="50"/>
      <c r="Y530" s="50"/>
      <c r="Z530" s="50"/>
    </row>
    <row r="531" spans="1:26" x14ac:dyDescent="0.3">
      <c r="A531" s="50"/>
      <c r="B531" s="50"/>
      <c r="C531" s="50"/>
      <c r="E531" s="50"/>
      <c r="F531" s="50"/>
      <c r="G531" s="50"/>
      <c r="H531" s="50"/>
      <c r="I531" s="50"/>
      <c r="J531" s="50"/>
      <c r="K531" s="50"/>
      <c r="L531" s="50"/>
      <c r="M531" s="50"/>
      <c r="N531" s="90"/>
      <c r="O531" s="50"/>
      <c r="P531" s="50"/>
      <c r="Q531" s="50"/>
      <c r="R531" s="50"/>
      <c r="S531" s="50"/>
      <c r="T531" s="50"/>
      <c r="U531" s="50"/>
      <c r="V531" s="50"/>
      <c r="W531" s="50"/>
      <c r="X531" s="50"/>
      <c r="Y531" s="50"/>
      <c r="Z531" s="50"/>
    </row>
    <row r="532" spans="1:26" x14ac:dyDescent="0.3">
      <c r="A532" s="50"/>
      <c r="B532" s="50"/>
      <c r="C532" s="50"/>
      <c r="E532" s="50"/>
      <c r="F532" s="50"/>
      <c r="G532" s="50"/>
      <c r="H532" s="50"/>
      <c r="I532" s="50"/>
      <c r="J532" s="50"/>
      <c r="K532" s="50"/>
      <c r="L532" s="50"/>
      <c r="M532" s="50"/>
      <c r="N532" s="90"/>
      <c r="O532" s="50"/>
      <c r="P532" s="50"/>
      <c r="Q532" s="50"/>
      <c r="R532" s="50"/>
      <c r="S532" s="50"/>
      <c r="T532" s="50"/>
      <c r="U532" s="50"/>
      <c r="V532" s="50"/>
      <c r="W532" s="50"/>
      <c r="X532" s="50"/>
      <c r="Y532" s="50"/>
      <c r="Z532" s="50"/>
    </row>
    <row r="533" spans="1:26" x14ac:dyDescent="0.3">
      <c r="A533" s="50"/>
      <c r="B533" s="50"/>
      <c r="C533" s="50"/>
      <c r="E533" s="50"/>
      <c r="F533" s="50"/>
      <c r="G533" s="50"/>
      <c r="H533" s="50"/>
      <c r="I533" s="50"/>
      <c r="J533" s="50"/>
      <c r="K533" s="50"/>
      <c r="L533" s="50"/>
      <c r="M533" s="50"/>
      <c r="N533" s="90"/>
      <c r="O533" s="50"/>
      <c r="P533" s="50"/>
      <c r="Q533" s="50"/>
      <c r="R533" s="50"/>
      <c r="S533" s="50"/>
      <c r="T533" s="50"/>
      <c r="U533" s="50"/>
      <c r="V533" s="50"/>
      <c r="W533" s="50"/>
      <c r="X533" s="50"/>
      <c r="Y533" s="50"/>
      <c r="Z533" s="50"/>
    </row>
    <row r="534" spans="1:26" x14ac:dyDescent="0.3">
      <c r="A534" s="50"/>
      <c r="B534" s="50"/>
      <c r="C534" s="50"/>
      <c r="E534" s="50"/>
      <c r="F534" s="50"/>
      <c r="G534" s="50"/>
      <c r="H534" s="50"/>
      <c r="I534" s="50"/>
      <c r="J534" s="50"/>
      <c r="K534" s="50"/>
      <c r="L534" s="50"/>
      <c r="M534" s="50"/>
      <c r="N534" s="90"/>
      <c r="O534" s="50"/>
      <c r="P534" s="50"/>
      <c r="Q534" s="50"/>
      <c r="R534" s="50"/>
      <c r="S534" s="50"/>
      <c r="T534" s="50"/>
      <c r="U534" s="50"/>
      <c r="V534" s="50"/>
      <c r="W534" s="50"/>
      <c r="X534" s="50"/>
      <c r="Y534" s="50"/>
      <c r="Z534" s="50"/>
    </row>
    <row r="535" spans="1:26" x14ac:dyDescent="0.3">
      <c r="A535" s="50"/>
      <c r="B535" s="50"/>
      <c r="C535" s="50"/>
      <c r="E535" s="50"/>
      <c r="F535" s="50"/>
      <c r="G535" s="50"/>
      <c r="H535" s="50"/>
      <c r="I535" s="50"/>
      <c r="J535" s="50"/>
      <c r="K535" s="50"/>
      <c r="L535" s="50"/>
      <c r="M535" s="50"/>
      <c r="N535" s="90"/>
      <c r="O535" s="50"/>
      <c r="P535" s="50"/>
      <c r="Q535" s="50"/>
      <c r="R535" s="50"/>
      <c r="S535" s="50"/>
      <c r="T535" s="50"/>
      <c r="U535" s="50"/>
      <c r="V535" s="50"/>
      <c r="W535" s="50"/>
      <c r="X535" s="50"/>
      <c r="Y535" s="50"/>
      <c r="Z535" s="50"/>
    </row>
    <row r="536" spans="1:26" x14ac:dyDescent="0.3">
      <c r="A536" s="50"/>
      <c r="B536" s="50"/>
      <c r="C536" s="50"/>
      <c r="E536" s="50"/>
      <c r="F536" s="50"/>
      <c r="G536" s="50"/>
      <c r="H536" s="50"/>
      <c r="I536" s="50"/>
      <c r="J536" s="50"/>
      <c r="K536" s="50"/>
      <c r="L536" s="50"/>
      <c r="M536" s="50"/>
      <c r="N536" s="90"/>
      <c r="O536" s="50"/>
      <c r="P536" s="50"/>
      <c r="Q536" s="50"/>
      <c r="R536" s="50"/>
      <c r="S536" s="50"/>
      <c r="T536" s="50"/>
      <c r="U536" s="50"/>
      <c r="V536" s="50"/>
      <c r="W536" s="50"/>
      <c r="X536" s="50"/>
      <c r="Y536" s="50"/>
      <c r="Z536" s="50"/>
    </row>
    <row r="537" spans="1:26" x14ac:dyDescent="0.3">
      <c r="A537" s="50"/>
      <c r="B537" s="50"/>
      <c r="C537" s="50"/>
      <c r="E537" s="50"/>
      <c r="F537" s="50"/>
      <c r="G537" s="50"/>
      <c r="H537" s="50"/>
      <c r="I537" s="50"/>
      <c r="J537" s="50"/>
      <c r="K537" s="50"/>
      <c r="L537" s="50"/>
      <c r="M537" s="50"/>
      <c r="N537" s="90"/>
      <c r="O537" s="50"/>
      <c r="P537" s="50"/>
      <c r="Q537" s="50"/>
      <c r="R537" s="50"/>
      <c r="S537" s="50"/>
      <c r="T537" s="50"/>
      <c r="U537" s="50"/>
      <c r="V537" s="50"/>
      <c r="W537" s="50"/>
      <c r="X537" s="50"/>
      <c r="Y537" s="50"/>
      <c r="Z537" s="50"/>
    </row>
    <row r="538" spans="1:26" x14ac:dyDescent="0.3">
      <c r="A538" s="50"/>
      <c r="B538" s="50"/>
      <c r="C538" s="50"/>
      <c r="E538" s="50"/>
      <c r="F538" s="50"/>
      <c r="G538" s="50"/>
      <c r="H538" s="50"/>
      <c r="I538" s="50"/>
      <c r="J538" s="50"/>
      <c r="K538" s="50"/>
      <c r="L538" s="50"/>
      <c r="M538" s="50"/>
      <c r="N538" s="90"/>
      <c r="O538" s="50"/>
      <c r="P538" s="50"/>
      <c r="Q538" s="50"/>
      <c r="R538" s="50"/>
      <c r="S538" s="50"/>
      <c r="T538" s="50"/>
      <c r="U538" s="50"/>
      <c r="V538" s="50"/>
      <c r="W538" s="50"/>
      <c r="X538" s="50"/>
      <c r="Y538" s="50"/>
      <c r="Z538" s="50"/>
    </row>
    <row r="539" spans="1:26" x14ac:dyDescent="0.3">
      <c r="A539" s="50"/>
      <c r="B539" s="50"/>
      <c r="C539" s="50"/>
      <c r="E539" s="50"/>
      <c r="F539" s="50"/>
      <c r="G539" s="50"/>
      <c r="H539" s="50"/>
      <c r="I539" s="50"/>
      <c r="J539" s="50"/>
      <c r="K539" s="50"/>
      <c r="L539" s="50"/>
      <c r="M539" s="50"/>
      <c r="N539" s="90"/>
      <c r="O539" s="50"/>
      <c r="P539" s="50"/>
      <c r="Q539" s="50"/>
      <c r="R539" s="50"/>
      <c r="S539" s="50"/>
      <c r="T539" s="50"/>
      <c r="U539" s="50"/>
      <c r="V539" s="50"/>
      <c r="W539" s="50"/>
      <c r="X539" s="50"/>
      <c r="Y539" s="50"/>
      <c r="Z539" s="50"/>
    </row>
    <row r="540" spans="1:26" x14ac:dyDescent="0.3">
      <c r="A540" s="50"/>
      <c r="B540" s="50"/>
      <c r="C540" s="50"/>
      <c r="E540" s="50"/>
      <c r="F540" s="50"/>
      <c r="G540" s="50"/>
      <c r="H540" s="50"/>
      <c r="I540" s="50"/>
      <c r="J540" s="50"/>
      <c r="K540" s="50"/>
      <c r="L540" s="50"/>
      <c r="M540" s="50"/>
      <c r="N540" s="90"/>
      <c r="O540" s="50"/>
      <c r="P540" s="50"/>
      <c r="Q540" s="50"/>
      <c r="R540" s="50"/>
      <c r="S540" s="50"/>
      <c r="T540" s="50"/>
      <c r="U540" s="50"/>
      <c r="V540" s="50"/>
      <c r="W540" s="50"/>
      <c r="X540" s="50"/>
      <c r="Y540" s="50"/>
      <c r="Z540" s="50"/>
    </row>
    <row r="541" spans="1:26" x14ac:dyDescent="0.3">
      <c r="A541" s="50"/>
      <c r="B541" s="50"/>
      <c r="C541" s="50"/>
      <c r="E541" s="50"/>
      <c r="F541" s="50"/>
      <c r="G541" s="50"/>
      <c r="H541" s="50"/>
      <c r="I541" s="50"/>
      <c r="J541" s="50"/>
      <c r="K541" s="50"/>
      <c r="L541" s="50"/>
      <c r="M541" s="50"/>
      <c r="N541" s="90"/>
      <c r="O541" s="50"/>
      <c r="P541" s="50"/>
      <c r="Q541" s="50"/>
      <c r="R541" s="50"/>
      <c r="S541" s="50"/>
      <c r="T541" s="50"/>
      <c r="U541" s="50"/>
      <c r="V541" s="50"/>
      <c r="W541" s="50"/>
      <c r="X541" s="50"/>
      <c r="Y541" s="50"/>
      <c r="Z541" s="50"/>
    </row>
    <row r="542" spans="1:26" x14ac:dyDescent="0.3">
      <c r="A542" s="50"/>
      <c r="B542" s="50"/>
      <c r="C542" s="50"/>
      <c r="E542" s="50"/>
      <c r="F542" s="50"/>
      <c r="G542" s="50"/>
      <c r="H542" s="50"/>
      <c r="I542" s="50"/>
      <c r="J542" s="50"/>
      <c r="K542" s="50"/>
      <c r="L542" s="50"/>
      <c r="M542" s="50"/>
      <c r="N542" s="90"/>
      <c r="O542" s="50"/>
      <c r="P542" s="50"/>
      <c r="Q542" s="50"/>
      <c r="R542" s="50"/>
      <c r="S542" s="50"/>
      <c r="T542" s="50"/>
      <c r="U542" s="50"/>
      <c r="V542" s="50"/>
      <c r="W542" s="50"/>
      <c r="X542" s="50"/>
      <c r="Y542" s="50"/>
      <c r="Z542" s="50"/>
    </row>
    <row r="543" spans="1:26" x14ac:dyDescent="0.3">
      <c r="A543" s="50"/>
      <c r="B543" s="50"/>
      <c r="C543" s="50"/>
      <c r="E543" s="50"/>
      <c r="F543" s="50"/>
      <c r="G543" s="50"/>
      <c r="H543" s="50"/>
      <c r="I543" s="50"/>
      <c r="J543" s="50"/>
      <c r="K543" s="50"/>
      <c r="L543" s="50"/>
      <c r="M543" s="50"/>
      <c r="N543" s="90"/>
      <c r="O543" s="50"/>
      <c r="P543" s="50"/>
      <c r="Q543" s="50"/>
      <c r="R543" s="50"/>
      <c r="S543" s="50"/>
      <c r="T543" s="50"/>
      <c r="U543" s="50"/>
      <c r="V543" s="50"/>
      <c r="W543" s="50"/>
      <c r="X543" s="50"/>
      <c r="Y543" s="50"/>
      <c r="Z543" s="50"/>
    </row>
    <row r="544" spans="1:26" x14ac:dyDescent="0.3">
      <c r="A544" s="50"/>
      <c r="B544" s="50"/>
      <c r="C544" s="50"/>
      <c r="E544" s="50"/>
      <c r="F544" s="50"/>
      <c r="G544" s="50"/>
      <c r="H544" s="50"/>
      <c r="I544" s="50"/>
      <c r="J544" s="50"/>
      <c r="K544" s="50"/>
      <c r="L544" s="50"/>
      <c r="M544" s="50"/>
      <c r="N544" s="90"/>
      <c r="O544" s="50"/>
      <c r="P544" s="50"/>
      <c r="Q544" s="50"/>
      <c r="R544" s="50"/>
      <c r="S544" s="50"/>
      <c r="T544" s="50"/>
      <c r="U544" s="50"/>
      <c r="V544" s="50"/>
      <c r="W544" s="50"/>
      <c r="X544" s="50"/>
      <c r="Y544" s="50"/>
      <c r="Z544" s="50"/>
    </row>
    <row r="545" spans="1:26" x14ac:dyDescent="0.3">
      <c r="A545" s="50"/>
      <c r="B545" s="50"/>
      <c r="C545" s="50"/>
      <c r="E545" s="50"/>
      <c r="F545" s="50"/>
      <c r="G545" s="50"/>
      <c r="H545" s="50"/>
      <c r="I545" s="50"/>
      <c r="J545" s="50"/>
      <c r="K545" s="50"/>
      <c r="L545" s="50"/>
      <c r="M545" s="50"/>
      <c r="N545" s="90"/>
      <c r="O545" s="50"/>
      <c r="P545" s="50"/>
      <c r="Q545" s="50"/>
      <c r="R545" s="50"/>
      <c r="S545" s="50"/>
      <c r="T545" s="50"/>
      <c r="U545" s="50"/>
      <c r="V545" s="50"/>
      <c r="W545" s="50"/>
      <c r="X545" s="50"/>
      <c r="Y545" s="50"/>
      <c r="Z545" s="50"/>
    </row>
    <row r="546" spans="1:26" x14ac:dyDescent="0.3">
      <c r="A546" s="50"/>
      <c r="B546" s="50"/>
      <c r="C546" s="50"/>
      <c r="E546" s="50"/>
      <c r="F546" s="50"/>
      <c r="G546" s="50"/>
      <c r="H546" s="50"/>
      <c r="I546" s="50"/>
      <c r="J546" s="50"/>
      <c r="K546" s="50"/>
      <c r="L546" s="50"/>
      <c r="M546" s="50"/>
      <c r="N546" s="90"/>
      <c r="O546" s="50"/>
      <c r="P546" s="50"/>
      <c r="Q546" s="50"/>
      <c r="R546" s="50"/>
      <c r="S546" s="50"/>
      <c r="T546" s="50"/>
      <c r="U546" s="50"/>
      <c r="V546" s="50"/>
      <c r="W546" s="50"/>
      <c r="X546" s="50"/>
      <c r="Y546" s="50"/>
      <c r="Z546" s="50"/>
    </row>
    <row r="547" spans="1:26" x14ac:dyDescent="0.3">
      <c r="A547" s="50"/>
      <c r="B547" s="50"/>
      <c r="C547" s="50"/>
      <c r="E547" s="50"/>
      <c r="F547" s="50"/>
      <c r="G547" s="50"/>
      <c r="H547" s="50"/>
      <c r="I547" s="50"/>
      <c r="J547" s="50"/>
      <c r="K547" s="50"/>
      <c r="L547" s="50"/>
      <c r="M547" s="50"/>
      <c r="N547" s="90"/>
      <c r="O547" s="50"/>
      <c r="P547" s="50"/>
      <c r="Q547" s="50"/>
      <c r="R547" s="50"/>
      <c r="S547" s="50"/>
      <c r="T547" s="50"/>
      <c r="U547" s="50"/>
      <c r="V547" s="50"/>
      <c r="W547" s="50"/>
      <c r="X547" s="50"/>
      <c r="Y547" s="50"/>
      <c r="Z547" s="50"/>
    </row>
    <row r="548" spans="1:26" x14ac:dyDescent="0.3">
      <c r="A548" s="50"/>
      <c r="B548" s="50"/>
      <c r="C548" s="50"/>
      <c r="E548" s="50"/>
      <c r="F548" s="50"/>
      <c r="G548" s="50"/>
      <c r="H548" s="50"/>
      <c r="I548" s="50"/>
      <c r="J548" s="50"/>
      <c r="K548" s="50"/>
      <c r="L548" s="50"/>
      <c r="M548" s="50"/>
      <c r="N548" s="90"/>
      <c r="O548" s="50"/>
      <c r="P548" s="50"/>
      <c r="Q548" s="50"/>
      <c r="R548" s="50"/>
      <c r="S548" s="50"/>
      <c r="T548" s="50"/>
      <c r="U548" s="50"/>
      <c r="V548" s="50"/>
      <c r="W548" s="50"/>
      <c r="X548" s="50"/>
      <c r="Y548" s="50"/>
      <c r="Z548" s="50"/>
    </row>
    <row r="549" spans="1:26" x14ac:dyDescent="0.3">
      <c r="A549" s="50"/>
      <c r="B549" s="50"/>
      <c r="C549" s="50"/>
      <c r="E549" s="50"/>
      <c r="F549" s="50"/>
      <c r="G549" s="50"/>
      <c r="H549" s="50"/>
      <c r="I549" s="50"/>
      <c r="J549" s="50"/>
      <c r="K549" s="50"/>
      <c r="L549" s="50"/>
      <c r="M549" s="50"/>
      <c r="N549" s="90"/>
      <c r="O549" s="50"/>
      <c r="P549" s="50"/>
      <c r="Q549" s="50"/>
      <c r="R549" s="50"/>
      <c r="S549" s="50"/>
      <c r="T549" s="50"/>
      <c r="U549" s="50"/>
      <c r="V549" s="50"/>
      <c r="W549" s="50"/>
      <c r="X549" s="50"/>
      <c r="Y549" s="50"/>
      <c r="Z549" s="50"/>
    </row>
    <row r="550" spans="1:26" x14ac:dyDescent="0.3">
      <c r="A550" s="50"/>
      <c r="B550" s="50"/>
      <c r="C550" s="50"/>
      <c r="E550" s="50"/>
      <c r="F550" s="50"/>
      <c r="G550" s="50"/>
      <c r="H550" s="50"/>
      <c r="I550" s="50"/>
      <c r="J550" s="50"/>
      <c r="K550" s="50"/>
      <c r="L550" s="50"/>
      <c r="M550" s="50"/>
      <c r="N550" s="90"/>
      <c r="O550" s="50"/>
      <c r="P550" s="50"/>
      <c r="Q550" s="50"/>
      <c r="R550" s="50"/>
      <c r="S550" s="50"/>
      <c r="T550" s="50"/>
      <c r="U550" s="50"/>
      <c r="V550" s="50"/>
      <c r="W550" s="50"/>
      <c r="X550" s="50"/>
      <c r="Y550" s="50"/>
      <c r="Z550" s="50"/>
    </row>
    <row r="551" spans="1:26" x14ac:dyDescent="0.3">
      <c r="A551" s="50"/>
      <c r="B551" s="50"/>
      <c r="C551" s="50"/>
      <c r="E551" s="50"/>
      <c r="F551" s="50"/>
      <c r="G551" s="50"/>
      <c r="H551" s="50"/>
      <c r="I551" s="50"/>
      <c r="J551" s="50"/>
      <c r="K551" s="50"/>
      <c r="L551" s="50"/>
      <c r="M551" s="50"/>
      <c r="N551" s="90"/>
      <c r="O551" s="50"/>
      <c r="P551" s="50"/>
      <c r="Q551" s="50"/>
      <c r="R551" s="50"/>
      <c r="S551" s="50"/>
      <c r="T551" s="50"/>
      <c r="U551" s="50"/>
      <c r="V551" s="50"/>
      <c r="W551" s="50"/>
      <c r="X551" s="50"/>
      <c r="Y551" s="50"/>
      <c r="Z551" s="50"/>
    </row>
    <row r="552" spans="1:26" x14ac:dyDescent="0.3">
      <c r="A552" s="50"/>
      <c r="B552" s="50"/>
      <c r="C552" s="50"/>
      <c r="E552" s="50"/>
      <c r="F552" s="50"/>
      <c r="G552" s="50"/>
      <c r="H552" s="50"/>
      <c r="I552" s="50"/>
      <c r="J552" s="50"/>
      <c r="K552" s="50"/>
      <c r="L552" s="50"/>
      <c r="M552" s="50"/>
      <c r="N552" s="90"/>
      <c r="O552" s="50"/>
      <c r="P552" s="50"/>
      <c r="Q552" s="50"/>
      <c r="R552" s="50"/>
      <c r="S552" s="50"/>
      <c r="T552" s="50"/>
      <c r="U552" s="50"/>
      <c r="V552" s="50"/>
      <c r="W552" s="50"/>
      <c r="X552" s="50"/>
      <c r="Y552" s="50"/>
      <c r="Z552" s="50"/>
    </row>
    <row r="553" spans="1:26" x14ac:dyDescent="0.3">
      <c r="A553" s="50"/>
      <c r="B553" s="50"/>
      <c r="C553" s="50"/>
      <c r="E553" s="50"/>
      <c r="F553" s="50"/>
      <c r="G553" s="50"/>
      <c r="H553" s="50"/>
      <c r="I553" s="50"/>
      <c r="J553" s="50"/>
      <c r="K553" s="50"/>
      <c r="L553" s="50"/>
      <c r="M553" s="50"/>
      <c r="N553" s="90"/>
      <c r="O553" s="50"/>
      <c r="P553" s="50"/>
      <c r="Q553" s="50"/>
      <c r="R553" s="50"/>
      <c r="S553" s="50"/>
      <c r="T553" s="50"/>
      <c r="U553" s="50"/>
      <c r="V553" s="50"/>
      <c r="W553" s="50"/>
      <c r="X553" s="50"/>
      <c r="Y553" s="50"/>
      <c r="Z553" s="50"/>
    </row>
    <row r="554" spans="1:26" x14ac:dyDescent="0.3">
      <c r="A554" s="50"/>
      <c r="B554" s="50"/>
      <c r="C554" s="50"/>
      <c r="E554" s="50"/>
      <c r="F554" s="50"/>
      <c r="G554" s="50"/>
      <c r="H554" s="50"/>
      <c r="I554" s="50"/>
      <c r="J554" s="50"/>
      <c r="K554" s="50"/>
      <c r="L554" s="50"/>
      <c r="M554" s="50"/>
      <c r="N554" s="90"/>
      <c r="O554" s="50"/>
      <c r="P554" s="50"/>
      <c r="Q554" s="50"/>
      <c r="R554" s="50"/>
      <c r="S554" s="50"/>
      <c r="T554" s="50"/>
      <c r="U554" s="50"/>
      <c r="V554" s="50"/>
      <c r="W554" s="50"/>
      <c r="X554" s="50"/>
      <c r="Y554" s="50"/>
      <c r="Z554" s="50"/>
    </row>
    <row r="555" spans="1:26" x14ac:dyDescent="0.3">
      <c r="A555" s="50"/>
      <c r="B555" s="50"/>
      <c r="C555" s="50"/>
      <c r="E555" s="50"/>
      <c r="F555" s="50"/>
      <c r="G555" s="50"/>
      <c r="H555" s="50"/>
      <c r="I555" s="50"/>
      <c r="J555" s="50"/>
      <c r="K555" s="50"/>
      <c r="L555" s="50"/>
      <c r="M555" s="50"/>
      <c r="N555" s="90"/>
      <c r="O555" s="50"/>
      <c r="P555" s="50"/>
      <c r="Q555" s="50"/>
      <c r="R555" s="50"/>
      <c r="S555" s="50"/>
      <c r="T555" s="50"/>
      <c r="U555" s="50"/>
      <c r="V555" s="50"/>
      <c r="W555" s="50"/>
      <c r="X555" s="50"/>
      <c r="Y555" s="50"/>
      <c r="Z555" s="50"/>
    </row>
    <row r="556" spans="1:26" x14ac:dyDescent="0.3">
      <c r="A556" s="50"/>
      <c r="B556" s="50"/>
      <c r="C556" s="50"/>
      <c r="E556" s="50"/>
      <c r="F556" s="50"/>
      <c r="G556" s="50"/>
      <c r="H556" s="50"/>
      <c r="I556" s="50"/>
      <c r="J556" s="50"/>
      <c r="K556" s="50"/>
      <c r="L556" s="50"/>
      <c r="M556" s="50"/>
      <c r="N556" s="90"/>
      <c r="O556" s="50"/>
      <c r="P556" s="50"/>
      <c r="Q556" s="50"/>
      <c r="R556" s="50"/>
      <c r="S556" s="50"/>
      <c r="T556" s="50"/>
      <c r="U556" s="50"/>
      <c r="V556" s="50"/>
      <c r="W556" s="50"/>
      <c r="X556" s="50"/>
      <c r="Y556" s="50"/>
      <c r="Z556" s="50"/>
    </row>
    <row r="557" spans="1:26" x14ac:dyDescent="0.3">
      <c r="A557" s="50"/>
      <c r="B557" s="50"/>
      <c r="C557" s="50"/>
      <c r="E557" s="50"/>
      <c r="F557" s="50"/>
      <c r="G557" s="50"/>
      <c r="H557" s="50"/>
      <c r="I557" s="50"/>
      <c r="J557" s="50"/>
      <c r="K557" s="50"/>
      <c r="L557" s="50"/>
      <c r="M557" s="50"/>
      <c r="N557" s="90"/>
      <c r="O557" s="50"/>
      <c r="P557" s="50"/>
      <c r="Q557" s="50"/>
      <c r="R557" s="50"/>
      <c r="S557" s="50"/>
      <c r="T557" s="50"/>
      <c r="U557" s="50"/>
      <c r="V557" s="50"/>
      <c r="W557" s="50"/>
      <c r="X557" s="50"/>
      <c r="Y557" s="50"/>
      <c r="Z557" s="50"/>
    </row>
    <row r="558" spans="1:26" x14ac:dyDescent="0.3">
      <c r="A558" s="50"/>
      <c r="B558" s="50"/>
      <c r="C558" s="50"/>
      <c r="E558" s="50"/>
      <c r="F558" s="50"/>
      <c r="G558" s="50"/>
      <c r="H558" s="50"/>
      <c r="I558" s="50"/>
      <c r="J558" s="50"/>
      <c r="K558" s="50"/>
      <c r="L558" s="50"/>
      <c r="M558" s="50"/>
      <c r="N558" s="90"/>
      <c r="O558" s="50"/>
      <c r="P558" s="50"/>
      <c r="Q558" s="50"/>
      <c r="R558" s="50"/>
      <c r="S558" s="50"/>
      <c r="T558" s="50"/>
      <c r="U558" s="50"/>
      <c r="V558" s="50"/>
      <c r="W558" s="50"/>
      <c r="X558" s="50"/>
      <c r="Y558" s="50"/>
      <c r="Z558" s="50"/>
    </row>
    <row r="559" spans="1:26" x14ac:dyDescent="0.3">
      <c r="A559" s="50"/>
      <c r="B559" s="50"/>
      <c r="C559" s="50"/>
      <c r="E559" s="50"/>
      <c r="F559" s="50"/>
      <c r="G559" s="50"/>
      <c r="H559" s="50"/>
      <c r="I559" s="50"/>
      <c r="J559" s="50"/>
      <c r="K559" s="50"/>
      <c r="L559" s="50"/>
      <c r="M559" s="50"/>
      <c r="N559" s="90"/>
      <c r="O559" s="50"/>
      <c r="P559" s="50"/>
      <c r="Q559" s="50"/>
      <c r="R559" s="50"/>
      <c r="S559" s="50"/>
      <c r="T559" s="50"/>
      <c r="U559" s="50"/>
      <c r="V559" s="50"/>
      <c r="W559" s="50"/>
      <c r="X559" s="50"/>
      <c r="Y559" s="50"/>
      <c r="Z559" s="50"/>
    </row>
    <row r="560" spans="1:26" x14ac:dyDescent="0.3">
      <c r="A560" s="50"/>
      <c r="B560" s="50"/>
      <c r="C560" s="50"/>
      <c r="E560" s="50"/>
      <c r="F560" s="50"/>
      <c r="G560" s="50"/>
      <c r="H560" s="50"/>
      <c r="I560" s="50"/>
      <c r="J560" s="50"/>
      <c r="K560" s="50"/>
      <c r="L560" s="50"/>
      <c r="M560" s="50"/>
      <c r="N560" s="90"/>
      <c r="O560" s="50"/>
      <c r="P560" s="50"/>
      <c r="Q560" s="50"/>
      <c r="R560" s="50"/>
      <c r="S560" s="50"/>
      <c r="T560" s="50"/>
      <c r="U560" s="50"/>
      <c r="V560" s="50"/>
      <c r="W560" s="50"/>
      <c r="X560" s="50"/>
      <c r="Y560" s="50"/>
      <c r="Z560" s="50"/>
    </row>
    <row r="561" spans="1:26" x14ac:dyDescent="0.3">
      <c r="A561" s="50"/>
      <c r="B561" s="50"/>
      <c r="C561" s="50"/>
      <c r="E561" s="50"/>
      <c r="F561" s="50"/>
      <c r="G561" s="50"/>
      <c r="H561" s="50"/>
      <c r="I561" s="50"/>
      <c r="J561" s="50"/>
      <c r="K561" s="50"/>
      <c r="L561" s="50"/>
      <c r="M561" s="50"/>
      <c r="N561" s="90"/>
      <c r="O561" s="50"/>
      <c r="P561" s="50"/>
      <c r="Q561" s="50"/>
      <c r="R561" s="50"/>
      <c r="S561" s="50"/>
      <c r="T561" s="50"/>
      <c r="U561" s="50"/>
      <c r="V561" s="50"/>
      <c r="W561" s="50"/>
      <c r="X561" s="50"/>
      <c r="Y561" s="50"/>
      <c r="Z561" s="50"/>
    </row>
    <row r="562" spans="1:26" x14ac:dyDescent="0.3">
      <c r="A562" s="50"/>
      <c r="B562" s="50"/>
      <c r="C562" s="50"/>
      <c r="E562" s="50"/>
      <c r="F562" s="50"/>
      <c r="G562" s="50"/>
      <c r="H562" s="50"/>
      <c r="I562" s="50"/>
      <c r="J562" s="50"/>
      <c r="K562" s="50"/>
      <c r="L562" s="50"/>
      <c r="M562" s="50"/>
      <c r="N562" s="90"/>
      <c r="O562" s="50"/>
      <c r="P562" s="50"/>
      <c r="Q562" s="50"/>
      <c r="R562" s="50"/>
      <c r="S562" s="50"/>
      <c r="T562" s="50"/>
      <c r="U562" s="50"/>
      <c r="V562" s="50"/>
      <c r="W562" s="50"/>
      <c r="X562" s="50"/>
      <c r="Y562" s="50"/>
      <c r="Z562" s="50"/>
    </row>
    <row r="563" spans="1:26" x14ac:dyDescent="0.3">
      <c r="A563" s="50"/>
      <c r="B563" s="50"/>
      <c r="C563" s="50"/>
      <c r="E563" s="50"/>
      <c r="F563" s="50"/>
      <c r="G563" s="50"/>
      <c r="H563" s="50"/>
      <c r="I563" s="50"/>
      <c r="J563" s="50"/>
      <c r="K563" s="50"/>
      <c r="L563" s="50"/>
      <c r="M563" s="50"/>
      <c r="N563" s="90"/>
      <c r="O563" s="50"/>
      <c r="P563" s="50"/>
      <c r="Q563" s="50"/>
      <c r="R563" s="50"/>
      <c r="S563" s="50"/>
      <c r="T563" s="50"/>
      <c r="U563" s="50"/>
      <c r="V563" s="50"/>
      <c r="W563" s="50"/>
      <c r="X563" s="50"/>
      <c r="Y563" s="50"/>
      <c r="Z563" s="50"/>
    </row>
    <row r="564" spans="1:26" x14ac:dyDescent="0.3">
      <c r="A564" s="50"/>
      <c r="B564" s="50"/>
      <c r="C564" s="50"/>
      <c r="E564" s="50"/>
      <c r="F564" s="50"/>
      <c r="G564" s="50"/>
      <c r="H564" s="50"/>
      <c r="I564" s="50"/>
      <c r="J564" s="50"/>
      <c r="K564" s="50"/>
      <c r="L564" s="50"/>
      <c r="M564" s="50"/>
      <c r="N564" s="90"/>
      <c r="O564" s="50"/>
      <c r="P564" s="50"/>
      <c r="Q564" s="50"/>
      <c r="R564" s="50"/>
      <c r="S564" s="50"/>
      <c r="T564" s="50"/>
      <c r="U564" s="50"/>
      <c r="V564" s="50"/>
      <c r="W564" s="50"/>
      <c r="X564" s="50"/>
      <c r="Y564" s="50"/>
      <c r="Z564" s="50"/>
    </row>
    <row r="565" spans="1:26" x14ac:dyDescent="0.3">
      <c r="A565" s="50"/>
      <c r="B565" s="50"/>
      <c r="C565" s="50"/>
      <c r="E565" s="50"/>
      <c r="F565" s="50"/>
      <c r="G565" s="50"/>
      <c r="H565" s="50"/>
      <c r="I565" s="50"/>
      <c r="J565" s="50"/>
      <c r="K565" s="50"/>
      <c r="L565" s="50"/>
      <c r="M565" s="50"/>
      <c r="N565" s="90"/>
      <c r="O565" s="50"/>
      <c r="P565" s="50"/>
      <c r="Q565" s="50"/>
      <c r="R565" s="50"/>
      <c r="S565" s="50"/>
      <c r="T565" s="50"/>
      <c r="U565" s="50"/>
      <c r="V565" s="50"/>
      <c r="W565" s="50"/>
      <c r="X565" s="50"/>
      <c r="Y565" s="50"/>
      <c r="Z565" s="50"/>
    </row>
    <row r="566" spans="1:26" x14ac:dyDescent="0.3">
      <c r="A566" s="50"/>
      <c r="B566" s="50"/>
      <c r="C566" s="50"/>
      <c r="E566" s="50"/>
      <c r="F566" s="50"/>
      <c r="G566" s="50"/>
      <c r="H566" s="50"/>
      <c r="I566" s="50"/>
      <c r="J566" s="50"/>
      <c r="K566" s="50"/>
      <c r="L566" s="50"/>
      <c r="M566" s="50"/>
      <c r="N566" s="90"/>
      <c r="O566" s="50"/>
      <c r="P566" s="50"/>
      <c r="Q566" s="50"/>
      <c r="R566" s="50"/>
      <c r="S566" s="50"/>
      <c r="T566" s="50"/>
      <c r="U566" s="50"/>
      <c r="V566" s="50"/>
      <c r="W566" s="50"/>
      <c r="X566" s="50"/>
      <c r="Y566" s="50"/>
      <c r="Z566" s="50"/>
    </row>
    <row r="567" spans="1:26" x14ac:dyDescent="0.3">
      <c r="A567" s="50"/>
      <c r="B567" s="50"/>
      <c r="C567" s="50"/>
      <c r="E567" s="50"/>
      <c r="F567" s="50"/>
      <c r="G567" s="50"/>
      <c r="H567" s="50"/>
      <c r="I567" s="50"/>
      <c r="J567" s="50"/>
      <c r="K567" s="50"/>
      <c r="L567" s="50"/>
      <c r="M567" s="50"/>
      <c r="N567" s="90"/>
      <c r="O567" s="50"/>
      <c r="P567" s="50"/>
      <c r="Q567" s="50"/>
      <c r="R567" s="50"/>
      <c r="S567" s="50"/>
      <c r="T567" s="50"/>
      <c r="U567" s="50"/>
      <c r="V567" s="50"/>
      <c r="W567" s="50"/>
      <c r="X567" s="50"/>
      <c r="Y567" s="50"/>
      <c r="Z567" s="50"/>
    </row>
    <row r="568" spans="1:26" x14ac:dyDescent="0.3">
      <c r="A568" s="50"/>
      <c r="B568" s="50"/>
      <c r="C568" s="50"/>
      <c r="E568" s="50"/>
      <c r="F568" s="50"/>
      <c r="G568" s="50"/>
      <c r="H568" s="50"/>
      <c r="I568" s="50"/>
      <c r="J568" s="50"/>
      <c r="K568" s="50"/>
      <c r="L568" s="50"/>
      <c r="M568" s="50"/>
      <c r="N568" s="90"/>
      <c r="O568" s="50"/>
      <c r="P568" s="50"/>
      <c r="Q568" s="50"/>
      <c r="R568" s="50"/>
      <c r="S568" s="50"/>
      <c r="T568" s="50"/>
      <c r="U568" s="50"/>
      <c r="V568" s="50"/>
      <c r="W568" s="50"/>
      <c r="X568" s="50"/>
      <c r="Y568" s="50"/>
      <c r="Z568" s="50"/>
    </row>
    <row r="569" spans="1:26" x14ac:dyDescent="0.3">
      <c r="A569" s="50"/>
      <c r="B569" s="50"/>
      <c r="C569" s="50"/>
      <c r="E569" s="50"/>
      <c r="F569" s="50"/>
      <c r="G569" s="50"/>
      <c r="H569" s="50"/>
      <c r="I569" s="50"/>
      <c r="J569" s="50"/>
      <c r="K569" s="50"/>
      <c r="L569" s="50"/>
      <c r="M569" s="50"/>
      <c r="N569" s="90"/>
      <c r="O569" s="50"/>
      <c r="P569" s="50"/>
      <c r="Q569" s="50"/>
      <c r="R569" s="50"/>
      <c r="S569" s="50"/>
      <c r="T569" s="50"/>
      <c r="U569" s="50"/>
      <c r="V569" s="50"/>
      <c r="W569" s="50"/>
      <c r="X569" s="50"/>
      <c r="Y569" s="50"/>
      <c r="Z569" s="50"/>
    </row>
    <row r="570" spans="1:26" x14ac:dyDescent="0.3">
      <c r="A570" s="50"/>
      <c r="B570" s="50"/>
      <c r="C570" s="50"/>
      <c r="E570" s="50"/>
      <c r="F570" s="50"/>
      <c r="G570" s="50"/>
      <c r="H570" s="50"/>
      <c r="I570" s="50"/>
      <c r="J570" s="50"/>
      <c r="K570" s="50"/>
      <c r="L570" s="50"/>
      <c r="M570" s="50"/>
      <c r="N570" s="90"/>
      <c r="O570" s="50"/>
      <c r="P570" s="50"/>
      <c r="Q570" s="50"/>
      <c r="R570" s="50"/>
      <c r="S570" s="50"/>
      <c r="T570" s="50"/>
      <c r="U570" s="50"/>
      <c r="V570" s="50"/>
      <c r="W570" s="50"/>
      <c r="X570" s="50"/>
      <c r="Y570" s="50"/>
      <c r="Z570" s="50"/>
    </row>
    <row r="571" spans="1:26" x14ac:dyDescent="0.3">
      <c r="A571" s="50"/>
      <c r="B571" s="50"/>
      <c r="C571" s="50"/>
      <c r="E571" s="50"/>
      <c r="F571" s="50"/>
      <c r="G571" s="50"/>
      <c r="H571" s="50"/>
      <c r="I571" s="50"/>
      <c r="J571" s="50"/>
      <c r="K571" s="50"/>
      <c r="L571" s="50"/>
      <c r="M571" s="50"/>
      <c r="N571" s="90"/>
      <c r="O571" s="50"/>
      <c r="P571" s="50"/>
      <c r="Q571" s="50"/>
      <c r="R571" s="50"/>
      <c r="S571" s="50"/>
      <c r="T571" s="50"/>
      <c r="U571" s="50"/>
      <c r="V571" s="50"/>
      <c r="W571" s="50"/>
      <c r="X571" s="50"/>
      <c r="Y571" s="50"/>
      <c r="Z571" s="50"/>
    </row>
    <row r="572" spans="1:26" x14ac:dyDescent="0.3">
      <c r="A572" s="50"/>
      <c r="B572" s="50"/>
      <c r="C572" s="50"/>
      <c r="E572" s="50"/>
      <c r="F572" s="50"/>
      <c r="G572" s="50"/>
      <c r="H572" s="50"/>
      <c r="I572" s="50"/>
      <c r="J572" s="50"/>
      <c r="K572" s="50"/>
      <c r="L572" s="50"/>
      <c r="M572" s="50"/>
      <c r="N572" s="90"/>
      <c r="O572" s="50"/>
      <c r="P572" s="50"/>
      <c r="Q572" s="50"/>
      <c r="R572" s="50"/>
      <c r="S572" s="50"/>
      <c r="T572" s="50"/>
      <c r="U572" s="50"/>
      <c r="V572" s="50"/>
      <c r="W572" s="50"/>
      <c r="X572" s="50"/>
      <c r="Y572" s="50"/>
      <c r="Z572" s="50"/>
    </row>
    <row r="573" spans="1:26" x14ac:dyDescent="0.3">
      <c r="A573" s="50"/>
      <c r="B573" s="50"/>
      <c r="C573" s="50"/>
      <c r="E573" s="50"/>
      <c r="F573" s="50"/>
      <c r="G573" s="50"/>
      <c r="H573" s="50"/>
      <c r="I573" s="50"/>
      <c r="J573" s="50"/>
      <c r="K573" s="50"/>
      <c r="L573" s="50"/>
      <c r="M573" s="50"/>
      <c r="N573" s="90"/>
      <c r="O573" s="50"/>
      <c r="P573" s="50"/>
      <c r="Q573" s="50"/>
      <c r="R573" s="50"/>
      <c r="S573" s="50"/>
      <c r="T573" s="50"/>
      <c r="U573" s="50"/>
      <c r="V573" s="50"/>
      <c r="W573" s="50"/>
      <c r="X573" s="50"/>
      <c r="Y573" s="50"/>
      <c r="Z573" s="50"/>
    </row>
    <row r="574" spans="1:26" x14ac:dyDescent="0.3">
      <c r="A574" s="50"/>
      <c r="B574" s="50"/>
      <c r="C574" s="50"/>
      <c r="E574" s="50"/>
      <c r="F574" s="50"/>
      <c r="G574" s="50"/>
      <c r="H574" s="50"/>
      <c r="I574" s="50"/>
      <c r="J574" s="50"/>
      <c r="K574" s="50"/>
      <c r="L574" s="50"/>
      <c r="M574" s="50"/>
      <c r="N574" s="90"/>
      <c r="O574" s="50"/>
      <c r="P574" s="50"/>
      <c r="Q574" s="50"/>
      <c r="R574" s="50"/>
      <c r="S574" s="50"/>
      <c r="T574" s="50"/>
      <c r="U574" s="50"/>
      <c r="V574" s="50"/>
      <c r="W574" s="50"/>
      <c r="X574" s="50"/>
      <c r="Y574" s="50"/>
      <c r="Z574" s="50"/>
    </row>
    <row r="575" spans="1:26" x14ac:dyDescent="0.3">
      <c r="A575" s="50"/>
      <c r="B575" s="50"/>
      <c r="C575" s="50"/>
      <c r="E575" s="50"/>
      <c r="F575" s="50"/>
      <c r="G575" s="50"/>
      <c r="H575" s="50"/>
      <c r="I575" s="50"/>
      <c r="J575" s="50"/>
      <c r="K575" s="50"/>
      <c r="L575" s="50"/>
      <c r="M575" s="50"/>
      <c r="N575" s="90"/>
      <c r="O575" s="50"/>
      <c r="P575" s="50"/>
      <c r="Q575" s="50"/>
      <c r="R575" s="50"/>
      <c r="S575" s="50"/>
      <c r="T575" s="50"/>
      <c r="U575" s="50"/>
      <c r="V575" s="50"/>
      <c r="W575" s="50"/>
      <c r="X575" s="50"/>
      <c r="Y575" s="50"/>
      <c r="Z575" s="50"/>
    </row>
    <row r="576" spans="1:26" x14ac:dyDescent="0.3">
      <c r="A576" s="50"/>
      <c r="B576" s="50"/>
      <c r="C576" s="50"/>
      <c r="E576" s="50"/>
      <c r="F576" s="50"/>
      <c r="G576" s="50"/>
      <c r="H576" s="50"/>
      <c r="I576" s="50"/>
      <c r="J576" s="50"/>
      <c r="K576" s="50"/>
      <c r="L576" s="50"/>
      <c r="M576" s="50"/>
      <c r="N576" s="90"/>
      <c r="O576" s="50"/>
      <c r="P576" s="50"/>
      <c r="Q576" s="50"/>
      <c r="R576" s="50"/>
      <c r="S576" s="50"/>
      <c r="T576" s="50"/>
      <c r="U576" s="50"/>
      <c r="V576" s="50"/>
      <c r="W576" s="50"/>
      <c r="X576" s="50"/>
      <c r="Y576" s="50"/>
      <c r="Z576" s="50"/>
    </row>
    <row r="577" spans="1:26" x14ac:dyDescent="0.3">
      <c r="A577" s="50"/>
      <c r="B577" s="50"/>
      <c r="C577" s="50"/>
      <c r="E577" s="50"/>
      <c r="F577" s="50"/>
      <c r="G577" s="50"/>
      <c r="H577" s="50"/>
      <c r="I577" s="50"/>
      <c r="J577" s="50"/>
      <c r="K577" s="50"/>
      <c r="L577" s="50"/>
      <c r="M577" s="50"/>
      <c r="N577" s="90"/>
      <c r="O577" s="50"/>
      <c r="P577" s="50"/>
      <c r="Q577" s="50"/>
      <c r="R577" s="50"/>
      <c r="S577" s="50"/>
      <c r="T577" s="50"/>
      <c r="U577" s="50"/>
      <c r="V577" s="50"/>
      <c r="W577" s="50"/>
      <c r="X577" s="50"/>
      <c r="Y577" s="50"/>
      <c r="Z577" s="50"/>
    </row>
    <row r="578" spans="1:26" x14ac:dyDescent="0.3">
      <c r="A578" s="50"/>
      <c r="B578" s="50"/>
      <c r="C578" s="50"/>
      <c r="E578" s="50"/>
      <c r="F578" s="50"/>
      <c r="G578" s="50"/>
      <c r="H578" s="50"/>
      <c r="I578" s="50"/>
      <c r="J578" s="50"/>
      <c r="K578" s="50"/>
      <c r="L578" s="50"/>
      <c r="M578" s="50"/>
      <c r="N578" s="90"/>
      <c r="O578" s="50"/>
      <c r="P578" s="50"/>
      <c r="Q578" s="50"/>
      <c r="R578" s="50"/>
      <c r="S578" s="50"/>
      <c r="T578" s="50"/>
      <c r="U578" s="50"/>
      <c r="V578" s="50"/>
      <c r="W578" s="50"/>
      <c r="X578" s="50"/>
      <c r="Y578" s="50"/>
      <c r="Z578" s="50"/>
    </row>
    <row r="579" spans="1:26" x14ac:dyDescent="0.3">
      <c r="A579" s="50"/>
      <c r="B579" s="50"/>
      <c r="C579" s="50"/>
      <c r="E579" s="50"/>
      <c r="F579" s="50"/>
      <c r="G579" s="50"/>
      <c r="H579" s="50"/>
      <c r="I579" s="50"/>
      <c r="J579" s="50"/>
      <c r="K579" s="50"/>
      <c r="L579" s="50"/>
      <c r="M579" s="50"/>
      <c r="N579" s="90"/>
      <c r="O579" s="50"/>
      <c r="P579" s="50"/>
      <c r="Q579" s="50"/>
      <c r="R579" s="50"/>
      <c r="S579" s="50"/>
      <c r="T579" s="50"/>
      <c r="U579" s="50"/>
      <c r="V579" s="50"/>
      <c r="W579" s="50"/>
      <c r="X579" s="50"/>
      <c r="Y579" s="50"/>
      <c r="Z579" s="50"/>
    </row>
    <row r="580" spans="1:26" x14ac:dyDescent="0.3">
      <c r="A580" s="50"/>
      <c r="B580" s="50"/>
      <c r="C580" s="50"/>
      <c r="E580" s="50"/>
      <c r="F580" s="50"/>
      <c r="G580" s="50"/>
      <c r="H580" s="50"/>
      <c r="I580" s="50"/>
      <c r="J580" s="50"/>
      <c r="K580" s="50"/>
      <c r="L580" s="50"/>
      <c r="M580" s="50"/>
      <c r="N580" s="90"/>
      <c r="O580" s="50"/>
      <c r="P580" s="50"/>
      <c r="Q580" s="50"/>
      <c r="R580" s="50"/>
      <c r="S580" s="50"/>
      <c r="T580" s="50"/>
      <c r="U580" s="50"/>
      <c r="V580" s="50"/>
      <c r="W580" s="50"/>
      <c r="X580" s="50"/>
      <c r="Y580" s="50"/>
      <c r="Z580" s="50"/>
    </row>
    <row r="581" spans="1:26" x14ac:dyDescent="0.3">
      <c r="A581" s="50"/>
      <c r="B581" s="50"/>
      <c r="C581" s="50"/>
      <c r="E581" s="50"/>
      <c r="F581" s="50"/>
      <c r="G581" s="50"/>
      <c r="H581" s="50"/>
      <c r="I581" s="50"/>
      <c r="J581" s="50"/>
      <c r="K581" s="50"/>
      <c r="L581" s="50"/>
      <c r="M581" s="50"/>
      <c r="N581" s="90"/>
      <c r="O581" s="50"/>
      <c r="P581" s="50"/>
      <c r="Q581" s="50"/>
      <c r="R581" s="50"/>
      <c r="S581" s="50"/>
      <c r="T581" s="50"/>
      <c r="U581" s="50"/>
      <c r="V581" s="50"/>
      <c r="W581" s="50"/>
      <c r="X581" s="50"/>
      <c r="Y581" s="50"/>
      <c r="Z581" s="50"/>
    </row>
    <row r="582" spans="1:26" x14ac:dyDescent="0.3">
      <c r="A582" s="50"/>
      <c r="B582" s="50"/>
      <c r="C582" s="50"/>
      <c r="E582" s="50"/>
      <c r="F582" s="50"/>
      <c r="G582" s="50"/>
      <c r="H582" s="50"/>
      <c r="I582" s="50"/>
      <c r="J582" s="50"/>
      <c r="K582" s="50"/>
      <c r="L582" s="50"/>
      <c r="M582" s="50"/>
      <c r="N582" s="90"/>
      <c r="O582" s="50"/>
      <c r="P582" s="50"/>
      <c r="Q582" s="50"/>
      <c r="R582" s="50"/>
      <c r="S582" s="50"/>
      <c r="T582" s="50"/>
      <c r="U582" s="50"/>
      <c r="V582" s="50"/>
      <c r="W582" s="50"/>
      <c r="X582" s="50"/>
      <c r="Y582" s="50"/>
      <c r="Z582" s="50"/>
    </row>
    <row r="583" spans="1:26" x14ac:dyDescent="0.3">
      <c r="A583" s="50"/>
      <c r="B583" s="50"/>
      <c r="C583" s="50"/>
      <c r="E583" s="50"/>
      <c r="F583" s="50"/>
      <c r="G583" s="50"/>
      <c r="H583" s="50"/>
      <c r="I583" s="50"/>
      <c r="J583" s="50"/>
      <c r="K583" s="50"/>
      <c r="L583" s="50"/>
      <c r="M583" s="50"/>
      <c r="N583" s="90"/>
      <c r="O583" s="50"/>
      <c r="P583" s="50"/>
      <c r="Q583" s="50"/>
      <c r="R583" s="50"/>
      <c r="S583" s="50"/>
      <c r="T583" s="50"/>
      <c r="U583" s="50"/>
      <c r="V583" s="50"/>
      <c r="W583" s="50"/>
      <c r="X583" s="50"/>
      <c r="Y583" s="50"/>
      <c r="Z583" s="50"/>
    </row>
    <row r="584" spans="1:26" x14ac:dyDescent="0.3">
      <c r="A584" s="50"/>
      <c r="B584" s="50"/>
      <c r="C584" s="50"/>
      <c r="E584" s="50"/>
      <c r="F584" s="50"/>
      <c r="G584" s="50"/>
      <c r="H584" s="50"/>
      <c r="I584" s="50"/>
      <c r="J584" s="50"/>
      <c r="K584" s="50"/>
      <c r="L584" s="50"/>
      <c r="M584" s="50"/>
      <c r="N584" s="90"/>
      <c r="O584" s="50"/>
      <c r="P584" s="50"/>
      <c r="Q584" s="50"/>
      <c r="R584" s="50"/>
      <c r="S584" s="50"/>
      <c r="T584" s="50"/>
      <c r="U584" s="50"/>
      <c r="V584" s="50"/>
      <c r="W584" s="50"/>
      <c r="X584" s="50"/>
      <c r="Y584" s="50"/>
      <c r="Z584" s="50"/>
    </row>
    <row r="585" spans="1:26" x14ac:dyDescent="0.3">
      <c r="A585" s="50"/>
      <c r="B585" s="50"/>
      <c r="C585" s="50"/>
      <c r="E585" s="50"/>
      <c r="F585" s="50"/>
      <c r="G585" s="50"/>
      <c r="H585" s="50"/>
      <c r="I585" s="50"/>
      <c r="J585" s="50"/>
      <c r="K585" s="50"/>
      <c r="L585" s="50"/>
      <c r="M585" s="50"/>
      <c r="N585" s="90"/>
      <c r="O585" s="50"/>
      <c r="P585" s="50"/>
      <c r="Q585" s="50"/>
      <c r="R585" s="50"/>
      <c r="S585" s="50"/>
      <c r="T585" s="50"/>
      <c r="U585" s="50"/>
      <c r="V585" s="50"/>
      <c r="W585" s="50"/>
      <c r="X585" s="50"/>
      <c r="Y585" s="50"/>
      <c r="Z585" s="50"/>
    </row>
    <row r="586" spans="1:26" x14ac:dyDescent="0.3">
      <c r="A586" s="50"/>
      <c r="B586" s="50"/>
      <c r="C586" s="50"/>
      <c r="E586" s="50"/>
      <c r="F586" s="50"/>
      <c r="G586" s="50"/>
      <c r="H586" s="50"/>
      <c r="I586" s="50"/>
      <c r="J586" s="50"/>
      <c r="K586" s="50"/>
      <c r="L586" s="50"/>
      <c r="M586" s="50"/>
      <c r="N586" s="90"/>
      <c r="O586" s="50"/>
      <c r="P586" s="50"/>
      <c r="Q586" s="50"/>
      <c r="R586" s="50"/>
      <c r="S586" s="50"/>
      <c r="T586" s="50"/>
      <c r="U586" s="50"/>
      <c r="V586" s="50"/>
      <c r="W586" s="50"/>
      <c r="X586" s="50"/>
      <c r="Y586" s="50"/>
      <c r="Z586" s="50"/>
    </row>
    <row r="587" spans="1:26" x14ac:dyDescent="0.3">
      <c r="A587" s="50"/>
      <c r="B587" s="50"/>
      <c r="C587" s="50"/>
      <c r="E587" s="50"/>
      <c r="F587" s="50"/>
      <c r="G587" s="50"/>
      <c r="H587" s="50"/>
      <c r="I587" s="50"/>
      <c r="J587" s="50"/>
      <c r="K587" s="50"/>
      <c r="L587" s="50"/>
      <c r="M587" s="50"/>
      <c r="N587" s="90"/>
      <c r="O587" s="50"/>
      <c r="P587" s="50"/>
      <c r="Q587" s="50"/>
      <c r="R587" s="50"/>
      <c r="S587" s="50"/>
      <c r="T587" s="50"/>
      <c r="U587" s="50"/>
      <c r="V587" s="50"/>
      <c r="W587" s="50"/>
      <c r="X587" s="50"/>
      <c r="Y587" s="50"/>
      <c r="Z587" s="50"/>
    </row>
    <row r="588" spans="1:26" x14ac:dyDescent="0.3">
      <c r="A588" s="50"/>
      <c r="B588" s="50"/>
      <c r="C588" s="50"/>
      <c r="E588" s="50"/>
      <c r="F588" s="50"/>
      <c r="G588" s="50"/>
      <c r="H588" s="50"/>
      <c r="I588" s="50"/>
      <c r="J588" s="50"/>
      <c r="K588" s="50"/>
      <c r="L588" s="50"/>
      <c r="M588" s="50"/>
      <c r="N588" s="90"/>
      <c r="O588" s="50"/>
      <c r="P588" s="50"/>
      <c r="Q588" s="50"/>
      <c r="R588" s="50"/>
      <c r="S588" s="50"/>
      <c r="T588" s="50"/>
      <c r="U588" s="50"/>
      <c r="V588" s="50"/>
      <c r="W588" s="50"/>
      <c r="X588" s="50"/>
      <c r="Y588" s="50"/>
      <c r="Z588" s="50"/>
    </row>
    <row r="589" spans="1:26" x14ac:dyDescent="0.3">
      <c r="A589" s="50"/>
      <c r="B589" s="50"/>
      <c r="C589" s="50"/>
      <c r="E589" s="50"/>
      <c r="F589" s="50"/>
      <c r="G589" s="50"/>
      <c r="H589" s="50"/>
      <c r="I589" s="50"/>
      <c r="J589" s="50"/>
      <c r="K589" s="50"/>
      <c r="L589" s="50"/>
      <c r="M589" s="50"/>
      <c r="N589" s="90"/>
      <c r="O589" s="50"/>
      <c r="P589" s="50"/>
      <c r="Q589" s="50"/>
      <c r="R589" s="50"/>
      <c r="S589" s="50"/>
      <c r="T589" s="50"/>
      <c r="U589" s="50"/>
      <c r="V589" s="50"/>
      <c r="W589" s="50"/>
      <c r="X589" s="50"/>
      <c r="Y589" s="50"/>
      <c r="Z589" s="50"/>
    </row>
    <row r="590" spans="1:26" x14ac:dyDescent="0.3">
      <c r="A590" s="50"/>
      <c r="B590" s="50"/>
      <c r="C590" s="50"/>
      <c r="E590" s="50"/>
      <c r="F590" s="50"/>
      <c r="G590" s="50"/>
      <c r="H590" s="50"/>
      <c r="I590" s="50"/>
      <c r="J590" s="50"/>
      <c r="K590" s="50"/>
      <c r="L590" s="50"/>
      <c r="M590" s="50"/>
      <c r="N590" s="90"/>
      <c r="O590" s="50"/>
      <c r="P590" s="50"/>
      <c r="Q590" s="50"/>
      <c r="R590" s="50"/>
      <c r="S590" s="50"/>
      <c r="T590" s="50"/>
      <c r="U590" s="50"/>
      <c r="V590" s="50"/>
      <c r="W590" s="50"/>
      <c r="X590" s="50"/>
      <c r="Y590" s="50"/>
      <c r="Z590" s="50"/>
    </row>
    <row r="591" spans="1:26" x14ac:dyDescent="0.3">
      <c r="A591" s="50"/>
      <c r="B591" s="50"/>
      <c r="C591" s="50"/>
      <c r="E591" s="50"/>
      <c r="F591" s="50"/>
      <c r="G591" s="50"/>
      <c r="H591" s="50"/>
      <c r="I591" s="50"/>
      <c r="J591" s="50"/>
      <c r="K591" s="50"/>
      <c r="L591" s="50"/>
      <c r="M591" s="50"/>
      <c r="N591" s="90"/>
      <c r="O591" s="50"/>
      <c r="P591" s="50"/>
      <c r="Q591" s="50"/>
      <c r="R591" s="50"/>
      <c r="S591" s="50"/>
      <c r="T591" s="50"/>
      <c r="U591" s="50"/>
      <c r="V591" s="50"/>
      <c r="W591" s="50"/>
      <c r="X591" s="50"/>
      <c r="Y591" s="50"/>
      <c r="Z591" s="50"/>
    </row>
    <row r="592" spans="1:26" x14ac:dyDescent="0.3">
      <c r="A592" s="50"/>
      <c r="B592" s="50"/>
      <c r="C592" s="50"/>
      <c r="E592" s="50"/>
      <c r="F592" s="50"/>
      <c r="G592" s="50"/>
      <c r="H592" s="50"/>
      <c r="I592" s="50"/>
      <c r="J592" s="50"/>
      <c r="K592" s="50"/>
      <c r="L592" s="50"/>
      <c r="M592" s="50"/>
      <c r="N592" s="90"/>
      <c r="O592" s="50"/>
      <c r="P592" s="50"/>
      <c r="Q592" s="50"/>
      <c r="R592" s="50"/>
      <c r="S592" s="50"/>
      <c r="T592" s="50"/>
      <c r="U592" s="50"/>
      <c r="V592" s="50"/>
      <c r="W592" s="50"/>
      <c r="X592" s="50"/>
      <c r="Y592" s="50"/>
      <c r="Z592" s="50"/>
    </row>
    <row r="593" spans="1:26" x14ac:dyDescent="0.3">
      <c r="A593" s="50"/>
      <c r="B593" s="50"/>
      <c r="C593" s="50"/>
      <c r="E593" s="50"/>
      <c r="F593" s="50"/>
      <c r="G593" s="50"/>
      <c r="H593" s="50"/>
      <c r="I593" s="50"/>
      <c r="J593" s="50"/>
      <c r="K593" s="50"/>
      <c r="L593" s="50"/>
      <c r="M593" s="50"/>
      <c r="N593" s="90"/>
      <c r="O593" s="50"/>
      <c r="P593" s="50"/>
      <c r="Q593" s="50"/>
      <c r="R593" s="50"/>
      <c r="S593" s="50"/>
      <c r="T593" s="50"/>
      <c r="U593" s="50"/>
      <c r="V593" s="50"/>
      <c r="W593" s="50"/>
      <c r="X593" s="50"/>
      <c r="Y593" s="50"/>
      <c r="Z593" s="50"/>
    </row>
    <row r="594" spans="1:26" x14ac:dyDescent="0.3">
      <c r="A594" s="50"/>
      <c r="B594" s="50"/>
      <c r="C594" s="50"/>
      <c r="E594" s="50"/>
      <c r="F594" s="50"/>
      <c r="G594" s="50"/>
      <c r="H594" s="50"/>
      <c r="I594" s="50"/>
      <c r="J594" s="50"/>
      <c r="K594" s="50"/>
      <c r="L594" s="50"/>
      <c r="M594" s="50"/>
      <c r="N594" s="90"/>
      <c r="O594" s="50"/>
      <c r="P594" s="50"/>
      <c r="Q594" s="50"/>
      <c r="R594" s="50"/>
      <c r="S594" s="50"/>
      <c r="T594" s="50"/>
      <c r="U594" s="50"/>
      <c r="V594" s="50"/>
      <c r="W594" s="50"/>
      <c r="X594" s="50"/>
      <c r="Y594" s="50"/>
      <c r="Z594" s="50"/>
    </row>
    <row r="595" spans="1:26" x14ac:dyDescent="0.3">
      <c r="A595" s="50"/>
      <c r="B595" s="50"/>
      <c r="C595" s="50"/>
      <c r="E595" s="50"/>
      <c r="F595" s="50"/>
      <c r="G595" s="50"/>
      <c r="H595" s="50"/>
      <c r="I595" s="50"/>
      <c r="J595" s="50"/>
      <c r="K595" s="50"/>
      <c r="L595" s="50"/>
      <c r="M595" s="50"/>
      <c r="N595" s="90"/>
      <c r="O595" s="50"/>
      <c r="P595" s="50"/>
      <c r="Q595" s="50"/>
      <c r="R595" s="50"/>
      <c r="S595" s="50"/>
      <c r="T595" s="50"/>
      <c r="U595" s="50"/>
      <c r="V595" s="50"/>
      <c r="W595" s="50"/>
      <c r="X595" s="50"/>
      <c r="Y595" s="50"/>
      <c r="Z595" s="50"/>
    </row>
    <row r="596" spans="1:26" x14ac:dyDescent="0.3">
      <c r="A596" s="50"/>
      <c r="B596" s="50"/>
      <c r="C596" s="50"/>
      <c r="E596" s="50"/>
      <c r="F596" s="50"/>
      <c r="G596" s="50"/>
      <c r="H596" s="50"/>
      <c r="I596" s="50"/>
      <c r="J596" s="50"/>
      <c r="K596" s="50"/>
      <c r="L596" s="50"/>
      <c r="M596" s="50"/>
      <c r="N596" s="90"/>
      <c r="O596" s="50"/>
      <c r="P596" s="50"/>
      <c r="Q596" s="50"/>
      <c r="R596" s="50"/>
      <c r="S596" s="50"/>
      <c r="T596" s="50"/>
      <c r="U596" s="50"/>
      <c r="V596" s="50"/>
      <c r="W596" s="50"/>
      <c r="X596" s="50"/>
      <c r="Y596" s="50"/>
      <c r="Z596" s="50"/>
    </row>
    <row r="597" spans="1:26" x14ac:dyDescent="0.3">
      <c r="A597" s="50"/>
      <c r="B597" s="50"/>
      <c r="C597" s="50"/>
      <c r="E597" s="50"/>
      <c r="F597" s="50"/>
      <c r="G597" s="50"/>
      <c r="H597" s="50"/>
      <c r="I597" s="50"/>
      <c r="J597" s="50"/>
      <c r="K597" s="50"/>
      <c r="L597" s="50"/>
      <c r="M597" s="50"/>
      <c r="N597" s="90"/>
      <c r="O597" s="50"/>
      <c r="P597" s="50"/>
      <c r="Q597" s="50"/>
      <c r="R597" s="50"/>
      <c r="S597" s="50"/>
      <c r="T597" s="50"/>
      <c r="U597" s="50"/>
      <c r="V597" s="50"/>
      <c r="W597" s="50"/>
      <c r="X597" s="50"/>
      <c r="Y597" s="50"/>
      <c r="Z597" s="50"/>
    </row>
    <row r="598" spans="1:26" x14ac:dyDescent="0.3">
      <c r="A598" s="50"/>
      <c r="B598" s="50"/>
      <c r="C598" s="50"/>
      <c r="E598" s="50"/>
      <c r="F598" s="50"/>
      <c r="G598" s="50"/>
      <c r="H598" s="50"/>
      <c r="I598" s="50"/>
      <c r="J598" s="50"/>
      <c r="K598" s="50"/>
      <c r="L598" s="50"/>
      <c r="M598" s="50"/>
      <c r="N598" s="90"/>
      <c r="O598" s="50"/>
      <c r="P598" s="50"/>
      <c r="Q598" s="50"/>
      <c r="R598" s="50"/>
      <c r="S598" s="50"/>
      <c r="T598" s="50"/>
      <c r="U598" s="50"/>
      <c r="V598" s="50"/>
      <c r="W598" s="50"/>
      <c r="X598" s="50"/>
      <c r="Y598" s="50"/>
      <c r="Z598" s="50"/>
    </row>
    <row r="599" spans="1:26" x14ac:dyDescent="0.3">
      <c r="A599" s="50"/>
      <c r="B599" s="50"/>
      <c r="C599" s="50"/>
      <c r="E599" s="50"/>
      <c r="F599" s="50"/>
      <c r="G599" s="50"/>
      <c r="H599" s="50"/>
      <c r="I599" s="50"/>
      <c r="J599" s="50"/>
      <c r="K599" s="50"/>
      <c r="L599" s="50"/>
      <c r="M599" s="50"/>
      <c r="N599" s="90"/>
      <c r="O599" s="50"/>
      <c r="P599" s="50"/>
      <c r="Q599" s="50"/>
      <c r="R599" s="50"/>
      <c r="S599" s="50"/>
      <c r="T599" s="50"/>
      <c r="U599" s="50"/>
      <c r="V599" s="50"/>
      <c r="W599" s="50"/>
      <c r="X599" s="50"/>
      <c r="Y599" s="50"/>
      <c r="Z599" s="50"/>
    </row>
    <row r="600" spans="1:26" x14ac:dyDescent="0.3">
      <c r="A600" s="50"/>
      <c r="B600" s="50"/>
      <c r="C600" s="50"/>
      <c r="E600" s="50"/>
      <c r="F600" s="50"/>
      <c r="G600" s="50"/>
      <c r="H600" s="50"/>
      <c r="I600" s="50"/>
      <c r="J600" s="50"/>
      <c r="K600" s="50"/>
      <c r="L600" s="50"/>
      <c r="M600" s="50"/>
      <c r="N600" s="90"/>
      <c r="O600" s="50"/>
      <c r="P600" s="50"/>
      <c r="Q600" s="50"/>
      <c r="R600" s="50"/>
      <c r="S600" s="50"/>
      <c r="T600" s="50"/>
      <c r="U600" s="50"/>
      <c r="V600" s="50"/>
      <c r="W600" s="50"/>
      <c r="X600" s="50"/>
      <c r="Y600" s="50"/>
      <c r="Z600" s="50"/>
    </row>
    <row r="601" spans="1:26" x14ac:dyDescent="0.3">
      <c r="A601" s="50"/>
      <c r="B601" s="50"/>
      <c r="C601" s="50"/>
      <c r="E601" s="50"/>
      <c r="F601" s="50"/>
      <c r="G601" s="50"/>
      <c r="H601" s="50"/>
      <c r="I601" s="50"/>
      <c r="J601" s="50"/>
      <c r="K601" s="50"/>
      <c r="L601" s="50"/>
      <c r="M601" s="50"/>
      <c r="N601" s="90"/>
      <c r="O601" s="50"/>
      <c r="P601" s="50"/>
      <c r="Q601" s="50"/>
      <c r="R601" s="50"/>
      <c r="S601" s="50"/>
      <c r="T601" s="50"/>
      <c r="U601" s="50"/>
      <c r="V601" s="50"/>
      <c r="W601" s="50"/>
      <c r="X601" s="50"/>
      <c r="Y601" s="50"/>
      <c r="Z601" s="50"/>
    </row>
    <row r="602" spans="1:26" x14ac:dyDescent="0.3">
      <c r="A602" s="50"/>
      <c r="B602" s="50"/>
      <c r="C602" s="50"/>
      <c r="E602" s="50"/>
      <c r="F602" s="50"/>
      <c r="G602" s="50"/>
      <c r="H602" s="50"/>
      <c r="I602" s="50"/>
      <c r="J602" s="50"/>
      <c r="K602" s="50"/>
      <c r="L602" s="50"/>
      <c r="M602" s="50"/>
      <c r="N602" s="90"/>
      <c r="O602" s="50"/>
      <c r="P602" s="50"/>
      <c r="Q602" s="50"/>
      <c r="R602" s="50"/>
      <c r="S602" s="50"/>
      <c r="T602" s="50"/>
      <c r="U602" s="50"/>
      <c r="V602" s="50"/>
      <c r="W602" s="50"/>
      <c r="X602" s="50"/>
      <c r="Y602" s="50"/>
      <c r="Z602" s="50"/>
    </row>
    <row r="603" spans="1:26" x14ac:dyDescent="0.3">
      <c r="A603" s="50"/>
      <c r="B603" s="50"/>
      <c r="C603" s="50"/>
      <c r="E603" s="50"/>
      <c r="F603" s="50"/>
      <c r="G603" s="50"/>
      <c r="H603" s="50"/>
      <c r="I603" s="50"/>
      <c r="J603" s="50"/>
      <c r="K603" s="50"/>
      <c r="L603" s="50"/>
      <c r="M603" s="50"/>
      <c r="N603" s="90"/>
      <c r="O603" s="50"/>
      <c r="P603" s="50"/>
      <c r="Q603" s="50"/>
      <c r="R603" s="50"/>
      <c r="S603" s="50"/>
      <c r="T603" s="50"/>
      <c r="U603" s="50"/>
      <c r="V603" s="50"/>
      <c r="W603" s="50"/>
      <c r="X603" s="50"/>
      <c r="Y603" s="50"/>
      <c r="Z603" s="50"/>
    </row>
    <row r="604" spans="1:26" x14ac:dyDescent="0.3">
      <c r="A604" s="50"/>
      <c r="B604" s="50"/>
      <c r="C604" s="50"/>
      <c r="E604" s="50"/>
      <c r="F604" s="50"/>
      <c r="G604" s="50"/>
      <c r="H604" s="50"/>
      <c r="I604" s="50"/>
      <c r="J604" s="50"/>
      <c r="K604" s="50"/>
      <c r="L604" s="50"/>
      <c r="M604" s="50"/>
      <c r="N604" s="90"/>
      <c r="O604" s="50"/>
      <c r="P604" s="50"/>
      <c r="Q604" s="50"/>
      <c r="R604" s="50"/>
      <c r="S604" s="50"/>
      <c r="T604" s="50"/>
      <c r="U604" s="50"/>
      <c r="V604" s="50"/>
      <c r="W604" s="50"/>
      <c r="X604" s="50"/>
      <c r="Y604" s="50"/>
      <c r="Z604" s="50"/>
    </row>
    <row r="605" spans="1:26" x14ac:dyDescent="0.3">
      <c r="A605" s="50"/>
      <c r="B605" s="50"/>
      <c r="C605" s="50"/>
      <c r="E605" s="50"/>
      <c r="F605" s="50"/>
      <c r="G605" s="50"/>
      <c r="H605" s="50"/>
      <c r="I605" s="50"/>
      <c r="J605" s="50"/>
      <c r="K605" s="50"/>
      <c r="L605" s="50"/>
      <c r="M605" s="50"/>
      <c r="N605" s="90"/>
      <c r="O605" s="50"/>
      <c r="P605" s="50"/>
      <c r="Q605" s="50"/>
      <c r="R605" s="50"/>
      <c r="S605" s="50"/>
      <c r="T605" s="50"/>
      <c r="U605" s="50"/>
      <c r="V605" s="50"/>
      <c r="W605" s="50"/>
      <c r="X605" s="50"/>
      <c r="Y605" s="50"/>
      <c r="Z605" s="50"/>
    </row>
    <row r="606" spans="1:26" x14ac:dyDescent="0.3">
      <c r="A606" s="50"/>
      <c r="B606" s="50"/>
      <c r="C606" s="50"/>
      <c r="E606" s="50"/>
      <c r="F606" s="50"/>
      <c r="G606" s="50"/>
      <c r="H606" s="50"/>
      <c r="I606" s="50"/>
      <c r="J606" s="50"/>
      <c r="K606" s="50"/>
      <c r="L606" s="50"/>
      <c r="M606" s="50"/>
      <c r="N606" s="90"/>
      <c r="O606" s="50"/>
      <c r="P606" s="50"/>
      <c r="Q606" s="50"/>
      <c r="R606" s="50"/>
      <c r="S606" s="50"/>
      <c r="T606" s="50"/>
      <c r="U606" s="50"/>
      <c r="V606" s="50"/>
      <c r="W606" s="50"/>
      <c r="X606" s="50"/>
      <c r="Y606" s="50"/>
      <c r="Z606" s="50"/>
    </row>
    <row r="607" spans="1:26" x14ac:dyDescent="0.3">
      <c r="A607" s="50"/>
      <c r="B607" s="50"/>
      <c r="C607" s="50"/>
      <c r="E607" s="50"/>
      <c r="F607" s="50"/>
      <c r="G607" s="50"/>
      <c r="H607" s="50"/>
      <c r="I607" s="50"/>
      <c r="J607" s="50"/>
      <c r="K607" s="50"/>
      <c r="L607" s="50"/>
      <c r="M607" s="50"/>
      <c r="N607" s="90"/>
      <c r="O607" s="50"/>
      <c r="P607" s="50"/>
      <c r="Q607" s="50"/>
      <c r="R607" s="50"/>
      <c r="S607" s="50"/>
      <c r="T607" s="50"/>
      <c r="U607" s="50"/>
      <c r="V607" s="50"/>
      <c r="W607" s="50"/>
      <c r="X607" s="50"/>
      <c r="Y607" s="50"/>
      <c r="Z607" s="50"/>
    </row>
    <row r="608" spans="1:26" x14ac:dyDescent="0.3">
      <c r="A608" s="50"/>
      <c r="B608" s="50"/>
      <c r="C608" s="50"/>
      <c r="E608" s="50"/>
      <c r="F608" s="50"/>
      <c r="G608" s="50"/>
      <c r="H608" s="50"/>
      <c r="I608" s="50"/>
      <c r="J608" s="50"/>
      <c r="K608" s="50"/>
      <c r="L608" s="50"/>
      <c r="M608" s="50"/>
      <c r="N608" s="90"/>
      <c r="O608" s="50"/>
      <c r="P608" s="50"/>
      <c r="Q608" s="50"/>
      <c r="R608" s="50"/>
      <c r="S608" s="50"/>
      <c r="T608" s="50"/>
      <c r="U608" s="50"/>
      <c r="V608" s="50"/>
      <c r="W608" s="50"/>
      <c r="X608" s="50"/>
      <c r="Y608" s="50"/>
      <c r="Z608" s="50"/>
    </row>
    <row r="609" spans="1:26" x14ac:dyDescent="0.3">
      <c r="A609" s="50"/>
      <c r="B609" s="50"/>
      <c r="C609" s="50"/>
      <c r="E609" s="50"/>
      <c r="F609" s="50"/>
      <c r="G609" s="50"/>
      <c r="H609" s="50"/>
      <c r="I609" s="50"/>
      <c r="J609" s="50"/>
      <c r="K609" s="50"/>
      <c r="L609" s="50"/>
      <c r="M609" s="50"/>
      <c r="N609" s="90"/>
      <c r="O609" s="50"/>
      <c r="P609" s="50"/>
      <c r="Q609" s="50"/>
      <c r="R609" s="50"/>
      <c r="S609" s="50"/>
      <c r="T609" s="50"/>
      <c r="U609" s="50"/>
      <c r="V609" s="50"/>
      <c r="W609" s="50"/>
      <c r="X609" s="50"/>
      <c r="Y609" s="50"/>
      <c r="Z609" s="50"/>
    </row>
    <row r="610" spans="1:26" x14ac:dyDescent="0.3">
      <c r="A610" s="50"/>
      <c r="B610" s="50"/>
      <c r="C610" s="50"/>
      <c r="E610" s="50"/>
      <c r="F610" s="50"/>
      <c r="G610" s="50"/>
      <c r="H610" s="50"/>
      <c r="I610" s="50"/>
      <c r="J610" s="50"/>
      <c r="K610" s="50"/>
      <c r="L610" s="50"/>
      <c r="M610" s="50"/>
      <c r="N610" s="90"/>
      <c r="O610" s="50"/>
      <c r="P610" s="50"/>
      <c r="Q610" s="50"/>
      <c r="R610" s="50"/>
      <c r="S610" s="50"/>
      <c r="T610" s="50"/>
      <c r="U610" s="50"/>
      <c r="V610" s="50"/>
      <c r="W610" s="50"/>
      <c r="X610" s="50"/>
      <c r="Y610" s="50"/>
      <c r="Z610" s="50"/>
    </row>
    <row r="611" spans="1:26" x14ac:dyDescent="0.3">
      <c r="A611" s="50"/>
      <c r="B611" s="50"/>
      <c r="C611" s="50"/>
      <c r="E611" s="50"/>
      <c r="F611" s="50"/>
      <c r="G611" s="50"/>
      <c r="H611" s="50"/>
      <c r="I611" s="50"/>
      <c r="J611" s="50"/>
      <c r="K611" s="50"/>
      <c r="L611" s="50"/>
      <c r="M611" s="50"/>
      <c r="N611" s="90"/>
      <c r="O611" s="50"/>
      <c r="P611" s="50"/>
      <c r="Q611" s="50"/>
      <c r="R611" s="50"/>
      <c r="S611" s="50"/>
      <c r="T611" s="50"/>
      <c r="U611" s="50"/>
      <c r="V611" s="50"/>
      <c r="W611" s="50"/>
      <c r="X611" s="50"/>
      <c r="Y611" s="50"/>
      <c r="Z611" s="50"/>
    </row>
    <row r="612" spans="1:26" x14ac:dyDescent="0.3">
      <c r="A612" s="50"/>
      <c r="B612" s="50"/>
      <c r="C612" s="50"/>
      <c r="E612" s="50"/>
      <c r="F612" s="50"/>
      <c r="G612" s="50"/>
      <c r="H612" s="50"/>
      <c r="I612" s="50"/>
      <c r="J612" s="50"/>
      <c r="K612" s="50"/>
      <c r="L612" s="50"/>
      <c r="M612" s="50"/>
      <c r="N612" s="90"/>
      <c r="O612" s="50"/>
      <c r="P612" s="50"/>
      <c r="Q612" s="50"/>
      <c r="R612" s="50"/>
      <c r="S612" s="50"/>
      <c r="T612" s="50"/>
      <c r="U612" s="50"/>
      <c r="V612" s="50"/>
      <c r="W612" s="50"/>
      <c r="X612" s="50"/>
      <c r="Y612" s="50"/>
      <c r="Z612" s="50"/>
    </row>
    <row r="613" spans="1:26" x14ac:dyDescent="0.3">
      <c r="A613" s="50"/>
      <c r="B613" s="50"/>
      <c r="C613" s="50"/>
      <c r="E613" s="50"/>
      <c r="F613" s="50"/>
      <c r="G613" s="50"/>
      <c r="H613" s="50"/>
      <c r="I613" s="50"/>
      <c r="J613" s="50"/>
      <c r="K613" s="50"/>
      <c r="L613" s="50"/>
      <c r="M613" s="50"/>
      <c r="N613" s="90"/>
      <c r="O613" s="50"/>
      <c r="P613" s="50"/>
      <c r="Q613" s="50"/>
      <c r="R613" s="50"/>
      <c r="S613" s="50"/>
      <c r="T613" s="50"/>
      <c r="U613" s="50"/>
      <c r="V613" s="50"/>
      <c r="W613" s="50"/>
      <c r="X613" s="50"/>
      <c r="Y613" s="50"/>
      <c r="Z613" s="50"/>
    </row>
    <row r="614" spans="1:26" x14ac:dyDescent="0.3">
      <c r="A614" s="50"/>
      <c r="B614" s="50"/>
      <c r="C614" s="50"/>
      <c r="E614" s="50"/>
      <c r="F614" s="50"/>
      <c r="G614" s="50"/>
      <c r="H614" s="50"/>
      <c r="I614" s="50"/>
      <c r="J614" s="50"/>
      <c r="K614" s="50"/>
      <c r="L614" s="50"/>
      <c r="M614" s="50"/>
      <c r="N614" s="90"/>
      <c r="O614" s="50"/>
      <c r="P614" s="50"/>
      <c r="Q614" s="50"/>
      <c r="R614" s="50"/>
      <c r="S614" s="50"/>
      <c r="T614" s="50"/>
      <c r="U614" s="50"/>
      <c r="V614" s="50"/>
      <c r="W614" s="50"/>
      <c r="X614" s="50"/>
      <c r="Y614" s="50"/>
      <c r="Z614" s="50"/>
    </row>
    <row r="615" spans="1:26" x14ac:dyDescent="0.3">
      <c r="A615" s="50"/>
      <c r="B615" s="50"/>
      <c r="C615" s="50"/>
      <c r="E615" s="50"/>
      <c r="F615" s="50"/>
      <c r="G615" s="50"/>
      <c r="H615" s="50"/>
      <c r="I615" s="50"/>
      <c r="J615" s="50"/>
      <c r="K615" s="50"/>
      <c r="L615" s="50"/>
      <c r="M615" s="50"/>
      <c r="N615" s="90"/>
      <c r="O615" s="50"/>
      <c r="P615" s="50"/>
      <c r="Q615" s="50"/>
      <c r="R615" s="50"/>
      <c r="S615" s="50"/>
      <c r="T615" s="50"/>
      <c r="U615" s="50"/>
      <c r="V615" s="50"/>
      <c r="W615" s="50"/>
      <c r="X615" s="50"/>
      <c r="Y615" s="50"/>
      <c r="Z615" s="50"/>
    </row>
    <row r="616" spans="1:26" x14ac:dyDescent="0.3">
      <c r="A616" s="50"/>
      <c r="B616" s="50"/>
      <c r="C616" s="50"/>
      <c r="E616" s="50"/>
      <c r="F616" s="50"/>
      <c r="G616" s="50"/>
      <c r="H616" s="50"/>
      <c r="I616" s="50"/>
      <c r="J616" s="50"/>
      <c r="K616" s="50"/>
      <c r="L616" s="50"/>
      <c r="M616" s="50"/>
      <c r="N616" s="90"/>
      <c r="O616" s="50"/>
      <c r="P616" s="50"/>
      <c r="Q616" s="50"/>
      <c r="R616" s="50"/>
      <c r="S616" s="50"/>
      <c r="T616" s="50"/>
      <c r="U616" s="50"/>
      <c r="V616" s="50"/>
      <c r="W616" s="50"/>
      <c r="X616" s="50"/>
      <c r="Y616" s="50"/>
      <c r="Z616" s="50"/>
    </row>
    <row r="617" spans="1:26" x14ac:dyDescent="0.3">
      <c r="A617" s="50"/>
      <c r="B617" s="50"/>
      <c r="C617" s="50"/>
      <c r="E617" s="50"/>
      <c r="F617" s="50"/>
      <c r="G617" s="50"/>
      <c r="H617" s="50"/>
      <c r="I617" s="50"/>
      <c r="J617" s="50"/>
      <c r="K617" s="50"/>
      <c r="L617" s="50"/>
      <c r="M617" s="50"/>
      <c r="N617" s="90"/>
      <c r="O617" s="50"/>
      <c r="P617" s="50"/>
      <c r="Q617" s="50"/>
      <c r="R617" s="50"/>
      <c r="S617" s="50"/>
      <c r="T617" s="50"/>
      <c r="U617" s="50"/>
      <c r="V617" s="50"/>
      <c r="W617" s="50"/>
      <c r="X617" s="50"/>
      <c r="Y617" s="50"/>
      <c r="Z617" s="50"/>
    </row>
    <row r="618" spans="1:26" x14ac:dyDescent="0.3">
      <c r="A618" s="50"/>
      <c r="B618" s="50"/>
      <c r="C618" s="50"/>
      <c r="E618" s="50"/>
      <c r="F618" s="50"/>
      <c r="G618" s="50"/>
      <c r="H618" s="50"/>
      <c r="I618" s="50"/>
      <c r="J618" s="50"/>
      <c r="K618" s="50"/>
      <c r="L618" s="50"/>
      <c r="M618" s="50"/>
      <c r="N618" s="90"/>
      <c r="O618" s="50"/>
      <c r="P618" s="50"/>
      <c r="Q618" s="50"/>
      <c r="R618" s="50"/>
      <c r="S618" s="50"/>
      <c r="T618" s="50"/>
      <c r="U618" s="50"/>
      <c r="V618" s="50"/>
      <c r="W618" s="50"/>
      <c r="X618" s="50"/>
      <c r="Y618" s="50"/>
      <c r="Z618" s="50"/>
    </row>
    <row r="619" spans="1:26" x14ac:dyDescent="0.3">
      <c r="A619" s="50"/>
      <c r="B619" s="50"/>
      <c r="C619" s="50"/>
      <c r="E619" s="50"/>
      <c r="F619" s="50"/>
      <c r="G619" s="50"/>
      <c r="H619" s="50"/>
      <c r="I619" s="50"/>
      <c r="J619" s="50"/>
      <c r="K619" s="50"/>
      <c r="L619" s="50"/>
      <c r="M619" s="50"/>
      <c r="N619" s="90"/>
      <c r="O619" s="50"/>
      <c r="P619" s="50"/>
      <c r="Q619" s="50"/>
      <c r="R619" s="50"/>
      <c r="S619" s="50"/>
      <c r="T619" s="50"/>
      <c r="U619" s="50"/>
      <c r="V619" s="50"/>
      <c r="W619" s="50"/>
      <c r="X619" s="50"/>
      <c r="Y619" s="50"/>
      <c r="Z619" s="50"/>
    </row>
    <row r="620" spans="1:26" x14ac:dyDescent="0.3">
      <c r="A620" s="50"/>
      <c r="B620" s="50"/>
      <c r="C620" s="50"/>
      <c r="E620" s="50"/>
      <c r="F620" s="50"/>
      <c r="G620" s="50"/>
      <c r="H620" s="50"/>
      <c r="I620" s="50"/>
      <c r="J620" s="50"/>
      <c r="K620" s="50"/>
      <c r="L620" s="50"/>
      <c r="M620" s="50"/>
      <c r="N620" s="90"/>
      <c r="O620" s="50"/>
      <c r="P620" s="50"/>
      <c r="Q620" s="50"/>
      <c r="R620" s="50"/>
      <c r="S620" s="50"/>
      <c r="T620" s="50"/>
      <c r="U620" s="50"/>
      <c r="V620" s="50"/>
      <c r="W620" s="50"/>
      <c r="X620" s="50"/>
      <c r="Y620" s="50"/>
      <c r="Z620" s="50"/>
    </row>
    <row r="621" spans="1:26" x14ac:dyDescent="0.3">
      <c r="A621" s="50"/>
      <c r="B621" s="50"/>
      <c r="C621" s="50"/>
      <c r="E621" s="50"/>
      <c r="F621" s="50"/>
      <c r="G621" s="50"/>
      <c r="H621" s="50"/>
      <c r="I621" s="50"/>
      <c r="J621" s="50"/>
      <c r="K621" s="50"/>
      <c r="L621" s="50"/>
      <c r="M621" s="50"/>
      <c r="N621" s="90"/>
      <c r="O621" s="50"/>
      <c r="P621" s="50"/>
      <c r="Q621" s="50"/>
      <c r="R621" s="50"/>
      <c r="S621" s="50"/>
      <c r="T621" s="50"/>
      <c r="U621" s="50"/>
      <c r="V621" s="50"/>
      <c r="W621" s="50"/>
      <c r="X621" s="50"/>
      <c r="Y621" s="50"/>
      <c r="Z621" s="50"/>
    </row>
    <row r="622" spans="1:26" x14ac:dyDescent="0.3">
      <c r="A622" s="50"/>
      <c r="B622" s="50"/>
      <c r="C622" s="50"/>
      <c r="E622" s="50"/>
      <c r="F622" s="50"/>
      <c r="G622" s="50"/>
      <c r="H622" s="50"/>
      <c r="I622" s="50"/>
      <c r="J622" s="50"/>
      <c r="K622" s="50"/>
      <c r="L622" s="50"/>
      <c r="M622" s="50"/>
      <c r="N622" s="90"/>
      <c r="O622" s="50"/>
      <c r="P622" s="50"/>
      <c r="Q622" s="50"/>
      <c r="R622" s="50"/>
      <c r="S622" s="50"/>
      <c r="T622" s="50"/>
      <c r="U622" s="50"/>
      <c r="V622" s="50"/>
      <c r="W622" s="50"/>
      <c r="X622" s="50"/>
      <c r="Y622" s="50"/>
      <c r="Z622" s="50"/>
    </row>
    <row r="623" spans="1:26" x14ac:dyDescent="0.3">
      <c r="A623" s="50"/>
      <c r="B623" s="50"/>
      <c r="C623" s="50"/>
      <c r="E623" s="50"/>
      <c r="F623" s="50"/>
      <c r="G623" s="50"/>
      <c r="H623" s="50"/>
      <c r="I623" s="50"/>
      <c r="J623" s="50"/>
      <c r="K623" s="50"/>
      <c r="L623" s="50"/>
      <c r="M623" s="50"/>
      <c r="N623" s="90"/>
      <c r="O623" s="50"/>
      <c r="P623" s="50"/>
      <c r="Q623" s="50"/>
      <c r="R623" s="50"/>
      <c r="S623" s="50"/>
      <c r="T623" s="50"/>
      <c r="U623" s="50"/>
      <c r="V623" s="50"/>
      <c r="W623" s="50"/>
      <c r="X623" s="50"/>
      <c r="Y623" s="50"/>
      <c r="Z623" s="50"/>
    </row>
    <row r="624" spans="1:26" x14ac:dyDescent="0.3">
      <c r="A624" s="50"/>
      <c r="B624" s="50"/>
      <c r="C624" s="50"/>
      <c r="E624" s="50"/>
      <c r="F624" s="50"/>
      <c r="G624" s="50"/>
      <c r="H624" s="50"/>
      <c r="I624" s="50"/>
      <c r="J624" s="50"/>
      <c r="K624" s="50"/>
      <c r="L624" s="50"/>
      <c r="M624" s="50"/>
      <c r="N624" s="90"/>
      <c r="O624" s="50"/>
      <c r="P624" s="50"/>
      <c r="Q624" s="50"/>
      <c r="R624" s="50"/>
      <c r="S624" s="50"/>
      <c r="T624" s="50"/>
      <c r="U624" s="50"/>
      <c r="V624" s="50"/>
      <c r="W624" s="50"/>
      <c r="X624" s="50"/>
      <c r="Y624" s="50"/>
      <c r="Z624" s="50"/>
    </row>
    <row r="625" spans="1:26" x14ac:dyDescent="0.3">
      <c r="A625" s="50"/>
      <c r="B625" s="50"/>
      <c r="C625" s="50"/>
      <c r="E625" s="50"/>
      <c r="F625" s="50"/>
      <c r="G625" s="50"/>
      <c r="H625" s="50"/>
      <c r="I625" s="50"/>
      <c r="J625" s="50"/>
      <c r="K625" s="50"/>
      <c r="L625" s="50"/>
      <c r="M625" s="50"/>
      <c r="N625" s="90"/>
      <c r="O625" s="50"/>
      <c r="P625" s="50"/>
      <c r="Q625" s="50"/>
      <c r="R625" s="50"/>
      <c r="S625" s="50"/>
      <c r="T625" s="50"/>
      <c r="U625" s="50"/>
      <c r="V625" s="50"/>
      <c r="W625" s="50"/>
      <c r="X625" s="50"/>
      <c r="Y625" s="50"/>
      <c r="Z625" s="50"/>
    </row>
    <row r="626" spans="1:26" x14ac:dyDescent="0.3">
      <c r="A626" s="50"/>
      <c r="B626" s="50"/>
      <c r="C626" s="50"/>
      <c r="E626" s="50"/>
      <c r="F626" s="50"/>
      <c r="G626" s="50"/>
      <c r="H626" s="50"/>
      <c r="I626" s="50"/>
      <c r="J626" s="50"/>
      <c r="K626" s="50"/>
      <c r="L626" s="50"/>
      <c r="M626" s="50"/>
      <c r="N626" s="90"/>
      <c r="O626" s="50"/>
      <c r="P626" s="50"/>
      <c r="Q626" s="50"/>
      <c r="R626" s="50"/>
      <c r="S626" s="50"/>
      <c r="T626" s="50"/>
      <c r="U626" s="50"/>
      <c r="V626" s="50"/>
      <c r="W626" s="50"/>
      <c r="X626" s="50"/>
      <c r="Y626" s="50"/>
      <c r="Z626" s="50"/>
    </row>
    <row r="627" spans="1:26" x14ac:dyDescent="0.3">
      <c r="A627" s="50"/>
      <c r="B627" s="50"/>
      <c r="C627" s="50"/>
      <c r="E627" s="50"/>
      <c r="F627" s="50"/>
      <c r="G627" s="50"/>
      <c r="H627" s="50"/>
      <c r="I627" s="50"/>
      <c r="J627" s="50"/>
      <c r="K627" s="50"/>
      <c r="L627" s="50"/>
      <c r="M627" s="50"/>
      <c r="N627" s="90"/>
      <c r="O627" s="50"/>
      <c r="P627" s="50"/>
      <c r="Q627" s="50"/>
      <c r="R627" s="50"/>
      <c r="S627" s="50"/>
      <c r="T627" s="50"/>
      <c r="U627" s="50"/>
      <c r="V627" s="50"/>
      <c r="W627" s="50"/>
      <c r="X627" s="50"/>
      <c r="Y627" s="50"/>
      <c r="Z627" s="50"/>
    </row>
    <row r="628" spans="1:26" x14ac:dyDescent="0.3">
      <c r="A628" s="50"/>
      <c r="B628" s="50"/>
      <c r="C628" s="50"/>
      <c r="E628" s="50"/>
      <c r="F628" s="50"/>
      <c r="G628" s="50"/>
      <c r="H628" s="50"/>
      <c r="I628" s="50"/>
      <c r="J628" s="50"/>
      <c r="K628" s="50"/>
      <c r="L628" s="50"/>
      <c r="M628" s="50"/>
      <c r="N628" s="90"/>
      <c r="O628" s="50"/>
      <c r="P628" s="50"/>
      <c r="Q628" s="50"/>
      <c r="R628" s="50"/>
      <c r="S628" s="50"/>
      <c r="T628" s="50"/>
      <c r="U628" s="50"/>
      <c r="V628" s="50"/>
      <c r="W628" s="50"/>
      <c r="X628" s="50"/>
      <c r="Y628" s="50"/>
      <c r="Z628" s="50"/>
    </row>
    <row r="629" spans="1:26" x14ac:dyDescent="0.3">
      <c r="A629" s="50"/>
      <c r="B629" s="50"/>
      <c r="C629" s="50"/>
      <c r="E629" s="50"/>
      <c r="F629" s="50"/>
      <c r="G629" s="50"/>
      <c r="H629" s="50"/>
      <c r="I629" s="50"/>
      <c r="J629" s="50"/>
      <c r="K629" s="50"/>
      <c r="L629" s="50"/>
      <c r="M629" s="50"/>
      <c r="N629" s="90"/>
      <c r="O629" s="50"/>
      <c r="P629" s="50"/>
      <c r="Q629" s="50"/>
      <c r="R629" s="50"/>
      <c r="S629" s="50"/>
      <c r="T629" s="50"/>
      <c r="U629" s="50"/>
      <c r="V629" s="50"/>
      <c r="W629" s="50"/>
      <c r="X629" s="50"/>
      <c r="Y629" s="50"/>
      <c r="Z629" s="50"/>
    </row>
    <row r="630" spans="1:26" x14ac:dyDescent="0.3">
      <c r="A630" s="50"/>
      <c r="B630" s="50"/>
      <c r="C630" s="50"/>
      <c r="E630" s="50"/>
      <c r="F630" s="50"/>
      <c r="G630" s="50"/>
      <c r="H630" s="50"/>
      <c r="I630" s="50"/>
      <c r="J630" s="50"/>
      <c r="K630" s="50"/>
      <c r="L630" s="50"/>
      <c r="M630" s="50"/>
      <c r="N630" s="90"/>
      <c r="O630" s="50"/>
      <c r="P630" s="50"/>
      <c r="Q630" s="50"/>
      <c r="R630" s="50"/>
      <c r="S630" s="50"/>
      <c r="T630" s="50"/>
      <c r="U630" s="50"/>
      <c r="V630" s="50"/>
      <c r="W630" s="50"/>
      <c r="X630" s="50"/>
      <c r="Y630" s="50"/>
      <c r="Z630" s="50"/>
    </row>
    <row r="631" spans="1:26" x14ac:dyDescent="0.3">
      <c r="A631" s="50"/>
      <c r="B631" s="50"/>
      <c r="C631" s="50"/>
      <c r="E631" s="50"/>
      <c r="F631" s="50"/>
      <c r="G631" s="50"/>
      <c r="H631" s="50"/>
      <c r="I631" s="50"/>
      <c r="J631" s="50"/>
      <c r="K631" s="50"/>
      <c r="L631" s="50"/>
      <c r="M631" s="50"/>
      <c r="N631" s="90"/>
      <c r="O631" s="50"/>
      <c r="P631" s="50"/>
      <c r="Q631" s="50"/>
      <c r="R631" s="50"/>
      <c r="S631" s="50"/>
      <c r="T631" s="50"/>
      <c r="U631" s="50"/>
      <c r="V631" s="50"/>
      <c r="W631" s="50"/>
      <c r="X631" s="50"/>
      <c r="Y631" s="50"/>
      <c r="Z631" s="50"/>
    </row>
    <row r="632" spans="1:26" x14ac:dyDescent="0.3">
      <c r="A632" s="50"/>
      <c r="B632" s="50"/>
      <c r="C632" s="50"/>
      <c r="E632" s="50"/>
      <c r="F632" s="50"/>
      <c r="G632" s="50"/>
      <c r="H632" s="50"/>
      <c r="I632" s="50"/>
      <c r="J632" s="50"/>
      <c r="K632" s="50"/>
      <c r="L632" s="50"/>
      <c r="M632" s="50"/>
      <c r="N632" s="90"/>
      <c r="O632" s="50"/>
      <c r="P632" s="50"/>
      <c r="Q632" s="50"/>
      <c r="R632" s="50"/>
      <c r="S632" s="50"/>
      <c r="T632" s="50"/>
      <c r="U632" s="50"/>
      <c r="V632" s="50"/>
      <c r="W632" s="50"/>
      <c r="X632" s="50"/>
      <c r="Y632" s="50"/>
      <c r="Z632" s="50"/>
    </row>
    <row r="633" spans="1:26" x14ac:dyDescent="0.3">
      <c r="A633" s="50"/>
      <c r="B633" s="50"/>
      <c r="C633" s="50"/>
      <c r="E633" s="50"/>
      <c r="F633" s="50"/>
      <c r="G633" s="50"/>
      <c r="H633" s="50"/>
      <c r="I633" s="50"/>
      <c r="J633" s="50"/>
      <c r="K633" s="50"/>
      <c r="L633" s="50"/>
      <c r="M633" s="50"/>
      <c r="N633" s="90"/>
      <c r="O633" s="50"/>
      <c r="P633" s="50"/>
      <c r="Q633" s="50"/>
      <c r="R633" s="50"/>
      <c r="S633" s="50"/>
      <c r="T633" s="50"/>
      <c r="U633" s="50"/>
      <c r="V633" s="50"/>
      <c r="W633" s="50"/>
      <c r="X633" s="50"/>
      <c r="Y633" s="50"/>
      <c r="Z633" s="50"/>
    </row>
    <row r="634" spans="1:26" x14ac:dyDescent="0.3">
      <c r="A634" s="50"/>
      <c r="B634" s="50"/>
      <c r="C634" s="50"/>
      <c r="E634" s="50"/>
      <c r="F634" s="50"/>
      <c r="G634" s="50"/>
      <c r="H634" s="50"/>
      <c r="I634" s="50"/>
      <c r="J634" s="50"/>
      <c r="K634" s="50"/>
      <c r="L634" s="50"/>
      <c r="M634" s="50"/>
      <c r="N634" s="90"/>
      <c r="O634" s="50"/>
      <c r="P634" s="50"/>
      <c r="Q634" s="50"/>
      <c r="R634" s="50"/>
      <c r="S634" s="50"/>
      <c r="T634" s="50"/>
      <c r="U634" s="50"/>
      <c r="V634" s="50"/>
      <c r="W634" s="50"/>
      <c r="X634" s="50"/>
      <c r="Y634" s="50"/>
      <c r="Z634" s="50"/>
    </row>
    <row r="635" spans="1:26" x14ac:dyDescent="0.3">
      <c r="A635" s="50"/>
      <c r="B635" s="50"/>
      <c r="C635" s="50"/>
      <c r="E635" s="50"/>
      <c r="F635" s="50"/>
      <c r="G635" s="50"/>
      <c r="H635" s="50"/>
      <c r="I635" s="50"/>
      <c r="J635" s="50"/>
      <c r="K635" s="50"/>
      <c r="L635" s="50"/>
      <c r="M635" s="50"/>
      <c r="N635" s="90"/>
      <c r="O635" s="50"/>
      <c r="P635" s="50"/>
      <c r="Q635" s="50"/>
      <c r="R635" s="50"/>
      <c r="S635" s="50"/>
      <c r="T635" s="50"/>
      <c r="U635" s="50"/>
      <c r="V635" s="50"/>
      <c r="W635" s="50"/>
      <c r="X635" s="50"/>
      <c r="Y635" s="50"/>
      <c r="Z635" s="50"/>
    </row>
    <row r="636" spans="1:26" x14ac:dyDescent="0.3">
      <c r="A636" s="50"/>
      <c r="B636" s="50"/>
      <c r="C636" s="50"/>
      <c r="E636" s="50"/>
      <c r="F636" s="50"/>
      <c r="G636" s="50"/>
      <c r="H636" s="50"/>
      <c r="I636" s="50"/>
      <c r="J636" s="50"/>
      <c r="K636" s="50"/>
      <c r="L636" s="50"/>
      <c r="M636" s="50"/>
      <c r="N636" s="90"/>
      <c r="O636" s="50"/>
      <c r="P636" s="50"/>
      <c r="Q636" s="50"/>
      <c r="R636" s="50"/>
      <c r="S636" s="50"/>
      <c r="T636" s="50"/>
      <c r="U636" s="50"/>
      <c r="V636" s="50"/>
      <c r="W636" s="50"/>
      <c r="X636" s="50"/>
      <c r="Y636" s="50"/>
      <c r="Z636" s="50"/>
    </row>
    <row r="637" spans="1:26" x14ac:dyDescent="0.3">
      <c r="A637" s="50"/>
      <c r="B637" s="50"/>
      <c r="C637" s="50"/>
      <c r="E637" s="50"/>
      <c r="F637" s="50"/>
      <c r="G637" s="50"/>
      <c r="H637" s="50"/>
      <c r="I637" s="50"/>
      <c r="J637" s="50"/>
      <c r="K637" s="50"/>
      <c r="L637" s="50"/>
      <c r="M637" s="50"/>
      <c r="N637" s="90"/>
      <c r="O637" s="50"/>
      <c r="P637" s="50"/>
      <c r="Q637" s="50"/>
      <c r="R637" s="50"/>
      <c r="S637" s="50"/>
      <c r="T637" s="50"/>
      <c r="U637" s="50"/>
      <c r="V637" s="50"/>
      <c r="W637" s="50"/>
      <c r="X637" s="50"/>
      <c r="Y637" s="50"/>
      <c r="Z637" s="50"/>
    </row>
    <row r="638" spans="1:26" x14ac:dyDescent="0.3">
      <c r="A638" s="50"/>
      <c r="B638" s="50"/>
      <c r="C638" s="50"/>
      <c r="E638" s="50"/>
      <c r="F638" s="50"/>
      <c r="G638" s="50"/>
      <c r="H638" s="50"/>
      <c r="I638" s="50"/>
      <c r="J638" s="50"/>
      <c r="K638" s="50"/>
      <c r="L638" s="50"/>
      <c r="M638" s="50"/>
      <c r="N638" s="90"/>
      <c r="O638" s="50"/>
      <c r="P638" s="50"/>
      <c r="Q638" s="50"/>
      <c r="R638" s="50"/>
      <c r="S638" s="50"/>
      <c r="T638" s="50"/>
      <c r="U638" s="50"/>
      <c r="V638" s="50"/>
      <c r="W638" s="50"/>
      <c r="X638" s="50"/>
      <c r="Y638" s="50"/>
      <c r="Z638" s="50"/>
    </row>
    <row r="639" spans="1:26" x14ac:dyDescent="0.3">
      <c r="A639" s="50"/>
      <c r="B639" s="50"/>
      <c r="C639" s="50"/>
      <c r="E639" s="50"/>
      <c r="F639" s="50"/>
      <c r="G639" s="50"/>
      <c r="H639" s="50"/>
      <c r="I639" s="50"/>
      <c r="J639" s="50"/>
      <c r="K639" s="50"/>
      <c r="L639" s="50"/>
      <c r="M639" s="50"/>
      <c r="N639" s="90"/>
      <c r="O639" s="50"/>
      <c r="P639" s="50"/>
      <c r="Q639" s="50"/>
      <c r="R639" s="50"/>
      <c r="S639" s="50"/>
      <c r="T639" s="50"/>
      <c r="U639" s="50"/>
      <c r="V639" s="50"/>
      <c r="W639" s="50"/>
      <c r="X639" s="50"/>
      <c r="Y639" s="50"/>
      <c r="Z639" s="50"/>
    </row>
    <row r="640" spans="1:26" x14ac:dyDescent="0.3">
      <c r="A640" s="50"/>
      <c r="B640" s="50"/>
      <c r="C640" s="50"/>
      <c r="E640" s="50"/>
      <c r="F640" s="50"/>
      <c r="G640" s="50"/>
      <c r="H640" s="50"/>
      <c r="I640" s="50"/>
      <c r="J640" s="50"/>
      <c r="K640" s="50"/>
      <c r="L640" s="50"/>
      <c r="M640" s="50"/>
      <c r="N640" s="90"/>
      <c r="O640" s="50"/>
      <c r="P640" s="50"/>
      <c r="Q640" s="50"/>
      <c r="R640" s="50"/>
      <c r="S640" s="50"/>
      <c r="T640" s="50"/>
      <c r="U640" s="50"/>
      <c r="V640" s="50"/>
      <c r="W640" s="50"/>
      <c r="X640" s="50"/>
      <c r="Y640" s="50"/>
      <c r="Z640" s="50"/>
    </row>
    <row r="641" spans="1:26" x14ac:dyDescent="0.3">
      <c r="A641" s="50"/>
      <c r="B641" s="50"/>
      <c r="C641" s="50"/>
      <c r="E641" s="50"/>
      <c r="F641" s="50"/>
      <c r="G641" s="50"/>
      <c r="H641" s="50"/>
      <c r="I641" s="50"/>
      <c r="J641" s="50"/>
      <c r="K641" s="50"/>
      <c r="L641" s="50"/>
      <c r="M641" s="50"/>
      <c r="N641" s="90"/>
      <c r="O641" s="50"/>
      <c r="P641" s="50"/>
      <c r="Q641" s="50"/>
      <c r="R641" s="50"/>
      <c r="S641" s="50"/>
      <c r="T641" s="50"/>
      <c r="U641" s="50"/>
      <c r="V641" s="50"/>
      <c r="W641" s="50"/>
      <c r="X641" s="50"/>
      <c r="Y641" s="50"/>
      <c r="Z641" s="50"/>
    </row>
    <row r="642" spans="1:26" x14ac:dyDescent="0.3">
      <c r="A642" s="50"/>
      <c r="B642" s="50"/>
      <c r="C642" s="50"/>
      <c r="E642" s="50"/>
      <c r="F642" s="50"/>
      <c r="G642" s="50"/>
      <c r="H642" s="50"/>
      <c r="I642" s="50"/>
      <c r="J642" s="50"/>
      <c r="K642" s="50"/>
      <c r="L642" s="50"/>
      <c r="M642" s="50"/>
      <c r="N642" s="90"/>
      <c r="O642" s="50"/>
      <c r="P642" s="50"/>
      <c r="Q642" s="50"/>
      <c r="R642" s="50"/>
      <c r="S642" s="50"/>
      <c r="T642" s="50"/>
      <c r="U642" s="50"/>
      <c r="V642" s="50"/>
      <c r="W642" s="50"/>
      <c r="X642" s="50"/>
      <c r="Y642" s="50"/>
      <c r="Z642" s="50"/>
    </row>
    <row r="643" spans="1:26" x14ac:dyDescent="0.3">
      <c r="A643" s="50"/>
      <c r="B643" s="50"/>
      <c r="C643" s="50"/>
      <c r="E643" s="50"/>
      <c r="F643" s="50"/>
      <c r="G643" s="50"/>
      <c r="H643" s="50"/>
      <c r="I643" s="50"/>
      <c r="J643" s="50"/>
      <c r="K643" s="50"/>
      <c r="L643" s="50"/>
      <c r="M643" s="50"/>
      <c r="N643" s="90"/>
      <c r="O643" s="50"/>
      <c r="P643" s="50"/>
      <c r="Q643" s="50"/>
      <c r="R643" s="50"/>
      <c r="S643" s="50"/>
      <c r="T643" s="50"/>
      <c r="U643" s="50"/>
      <c r="V643" s="50"/>
      <c r="W643" s="50"/>
      <c r="X643" s="50"/>
      <c r="Y643" s="50"/>
      <c r="Z643" s="50"/>
    </row>
    <row r="644" spans="1:26" x14ac:dyDescent="0.3">
      <c r="A644" s="50"/>
      <c r="B644" s="50"/>
      <c r="C644" s="50"/>
      <c r="E644" s="50"/>
      <c r="F644" s="50"/>
      <c r="G644" s="50"/>
      <c r="H644" s="50"/>
      <c r="I644" s="50"/>
      <c r="J644" s="50"/>
      <c r="K644" s="50"/>
      <c r="L644" s="50"/>
      <c r="M644" s="50"/>
      <c r="N644" s="90"/>
      <c r="O644" s="50"/>
      <c r="P644" s="50"/>
      <c r="Q644" s="50"/>
      <c r="R644" s="50"/>
      <c r="S644" s="50"/>
      <c r="T644" s="50"/>
      <c r="U644" s="50"/>
      <c r="V644" s="50"/>
      <c r="W644" s="50"/>
      <c r="X644" s="50"/>
      <c r="Y644" s="50"/>
      <c r="Z644" s="50"/>
    </row>
    <row r="645" spans="1:26" x14ac:dyDescent="0.3">
      <c r="A645" s="50"/>
      <c r="B645" s="50"/>
      <c r="C645" s="50"/>
      <c r="E645" s="50"/>
      <c r="F645" s="50"/>
      <c r="G645" s="50"/>
      <c r="H645" s="50"/>
      <c r="I645" s="50"/>
      <c r="J645" s="50"/>
      <c r="K645" s="50"/>
      <c r="L645" s="50"/>
      <c r="M645" s="50"/>
      <c r="N645" s="90"/>
      <c r="O645" s="50"/>
      <c r="P645" s="50"/>
      <c r="Q645" s="50"/>
      <c r="R645" s="50"/>
      <c r="S645" s="50"/>
      <c r="T645" s="50"/>
      <c r="U645" s="50"/>
      <c r="V645" s="50"/>
      <c r="W645" s="50"/>
      <c r="X645" s="50"/>
      <c r="Y645" s="50"/>
      <c r="Z645" s="50"/>
    </row>
    <row r="646" spans="1:26" x14ac:dyDescent="0.3">
      <c r="A646" s="50"/>
      <c r="B646" s="50"/>
      <c r="C646" s="50"/>
      <c r="E646" s="50"/>
      <c r="F646" s="50"/>
      <c r="G646" s="50"/>
      <c r="H646" s="50"/>
      <c r="I646" s="50"/>
      <c r="J646" s="50"/>
      <c r="K646" s="50"/>
      <c r="L646" s="50"/>
      <c r="M646" s="50"/>
      <c r="N646" s="90"/>
      <c r="O646" s="50"/>
      <c r="P646" s="50"/>
      <c r="Q646" s="50"/>
      <c r="R646" s="50"/>
      <c r="S646" s="50"/>
      <c r="T646" s="50"/>
      <c r="U646" s="50"/>
      <c r="V646" s="50"/>
      <c r="W646" s="50"/>
      <c r="X646" s="50"/>
      <c r="Y646" s="50"/>
      <c r="Z646" s="50"/>
    </row>
    <row r="647" spans="1:26" x14ac:dyDescent="0.3">
      <c r="A647" s="50"/>
      <c r="B647" s="50"/>
      <c r="C647" s="50"/>
      <c r="E647" s="50"/>
      <c r="F647" s="50"/>
      <c r="G647" s="50"/>
      <c r="H647" s="50"/>
      <c r="I647" s="50"/>
      <c r="J647" s="50"/>
      <c r="K647" s="50"/>
      <c r="L647" s="50"/>
      <c r="M647" s="50"/>
      <c r="N647" s="90"/>
      <c r="O647" s="50"/>
      <c r="P647" s="50"/>
      <c r="Q647" s="50"/>
      <c r="R647" s="50"/>
      <c r="S647" s="50"/>
      <c r="T647" s="50"/>
      <c r="U647" s="50"/>
      <c r="V647" s="50"/>
      <c r="W647" s="50"/>
      <c r="X647" s="50"/>
      <c r="Y647" s="50"/>
      <c r="Z647" s="50"/>
    </row>
  </sheetData>
  <autoFilter ref="A1:S48"/>
  <customSheetViews>
    <customSheetView guid="{2EEA926C-3156-4AC6-9229-A7AA2DF955D3}" scale="80" showAutoFilter="1">
      <pane xSplit="5" ySplit="1" topLeftCell="G30" activePane="bottomRight" state="frozen"/>
      <selection pane="bottomRight" activeCell="K25" sqref="K25"/>
      <pageMargins left="0.7" right="0.7" top="0.75" bottom="0.75" header="0.3" footer="0.3"/>
      <pageSetup paperSize="9" orientation="portrait" r:id="rId1"/>
      <autoFilter ref="A1:T45"/>
    </customSheetView>
    <customSheetView guid="{2DB1E318-7147-48DF-A27A-64EE5389D79D}" scale="80" showAutoFilter="1">
      <pane xSplit="5" ySplit="1" topLeftCell="F2" activePane="bottomRight" state="frozen"/>
      <selection pane="bottomRight" activeCell="G4" sqref="G4"/>
      <pageMargins left="0.7" right="0.7" top="0.75" bottom="0.75" header="0.3" footer="0.3"/>
      <pageSetup paperSize="9" orientation="portrait" r:id="rId2"/>
      <autoFilter ref="A1:U41"/>
    </customSheetView>
    <customSheetView guid="{173D36D5-56F6-4F44-8AEA-1BCCEB5BEB01}" scale="80" showAutoFilter="1">
      <pane xSplit="5" ySplit="1" topLeftCell="F4" activePane="bottomRight" state="frozen"/>
      <selection pane="bottomRight" activeCell="I5" sqref="I5"/>
      <pageMargins left="0.7" right="0.7" top="0.75" bottom="0.75" header="0.3" footer="0.3"/>
      <pageSetup paperSize="9" orientation="portrait" r:id="rId3"/>
      <autoFilter ref="A1:U41"/>
    </customSheetView>
    <customSheetView guid="{E54B5D21-78A5-49ED-8A41-5B0BD6CF5BF8}" scale="70" showAutoFilter="1">
      <pane xSplit="5" ySplit="1" topLeftCell="F27" activePane="bottomRight" state="frozen"/>
      <selection pane="bottomRight" activeCell="G27" sqref="G27"/>
      <pageMargins left="0.7" right="0.7" top="0.75" bottom="0.75" header="0.3" footer="0.3"/>
      <pageSetup paperSize="9" orientation="portrait" r:id="rId4"/>
      <autoFilter ref="A1:T41"/>
    </customSheetView>
    <customSheetView guid="{118B26FA-458B-4EBF-A611-352DC7919B8F}" scale="85" showAutoFilter="1">
      <pane xSplit="5" ySplit="1" topLeftCell="G10" activePane="bottomRight" state="frozen"/>
      <selection pane="bottomRight" activeCell="G10" sqref="G10"/>
      <pageMargins left="0.7" right="0.7" top="0.75" bottom="0.75" header="0.3" footer="0.3"/>
      <pageSetup paperSize="9" orientation="portrait" r:id="rId5"/>
      <autoFilter ref="A1:T42"/>
    </customSheetView>
    <customSheetView guid="{7E89C46F-A64B-40A0-896B-BA6F5B13D9A1}" scale="70" showAutoFilter="1" topLeftCell="B1">
      <pane xSplit="4" ySplit="1" topLeftCell="I39" activePane="bottomRight" state="frozen"/>
      <selection pane="bottomRight" activeCell="Q42" sqref="Q42"/>
      <pageMargins left="0.7" right="0.7" top="0.75" bottom="0.75" header="0.3" footer="0.3"/>
      <pageSetup paperSize="9" orientation="portrait" r:id="rId6"/>
      <autoFilter ref="A1:T42"/>
    </customSheetView>
    <customSheetView guid="{A97CC407-D832-4D6B-889F-79EA371F2140}" scale="70" showAutoFilter="1">
      <pane xSplit="5" ySplit="1" topLeftCell="F2" activePane="bottomRight" state="frozen"/>
      <selection pane="bottomRight" activeCell="K27" sqref="K27:K38"/>
      <pageMargins left="0.7" right="0.7" top="0.75" bottom="0.75" header="0.3" footer="0.3"/>
      <pageSetup paperSize="9" orientation="portrait" r:id="rId7"/>
      <autoFilter ref="A1:S48"/>
    </customSheetView>
    <customSheetView guid="{B95F8ECF-EE4B-497E-8AFD-61960D2C04DE}" showAutoFilter="1">
      <pane xSplit="5" ySplit="1" topLeftCell="J10" activePane="bottomRight" state="frozen"/>
      <selection pane="bottomRight" activeCell="B10" sqref="B10:C10"/>
      <pageMargins left="0.7" right="0.7" top="0.75" bottom="0.75" header="0.3" footer="0.3"/>
      <pageSetup paperSize="9" orientation="portrait" r:id="rId8"/>
      <autoFilter ref="A1:T48"/>
    </customSheetView>
    <customSheetView guid="{D1303DE8-82E6-497F-898A-86E0FE4EA44C}" scale="80" showAutoFilter="1">
      <pane xSplit="5" ySplit="1" topLeftCell="F41" activePane="bottomRight" state="frozen"/>
      <selection pane="bottomRight" activeCell="H31" sqref="H31"/>
      <pageMargins left="0.7" right="0.7" top="0.75" bottom="0.75" header="0.3" footer="0.3"/>
      <pageSetup paperSize="9" orientation="portrait" r:id="rId9"/>
      <autoFilter ref="A1:U45"/>
    </customSheetView>
  </customSheetViews>
  <phoneticPr fontId="7" type="noConversion"/>
  <pageMargins left="0.7" right="0.7" top="0.75" bottom="0.75" header="0.3" footer="0.3"/>
  <pageSetup paperSize="9" orientation="portrait"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62"/>
  <sheetViews>
    <sheetView zoomScale="80" zoomScaleNormal="80" workbookViewId="0">
      <pane xSplit="5" ySplit="1" topLeftCell="G54" activePane="bottomRight" state="frozen"/>
      <selection pane="topRight" activeCell="F1" sqref="F1"/>
      <selection pane="bottomLeft" activeCell="A2" sqref="A2"/>
      <selection pane="bottomRight" activeCell="H56" sqref="H56"/>
    </sheetView>
  </sheetViews>
  <sheetFormatPr defaultRowHeight="16.5" x14ac:dyDescent="0.3"/>
  <cols>
    <col min="1" max="1" width="3.875" customWidth="1"/>
    <col min="2" max="2" width="10.375" customWidth="1"/>
    <col min="3" max="3" width="5.375" customWidth="1"/>
    <col min="4" max="4" width="6.375" customWidth="1"/>
    <col min="5" max="5" width="27.625" customWidth="1"/>
    <col min="6" max="6" width="41.5" customWidth="1"/>
    <col min="7" max="7" width="79.375" customWidth="1"/>
    <col min="8" max="8" width="58.875" customWidth="1"/>
    <col min="9" max="9" width="43.875" customWidth="1"/>
    <col min="10" max="10" width="7.25" customWidth="1"/>
    <col min="11" max="11" width="13.875" customWidth="1"/>
    <col min="12" max="12" width="2.75" customWidth="1"/>
    <col min="13" max="13" width="36.25" customWidth="1"/>
    <col min="14" max="14" width="21.875" style="2" customWidth="1"/>
    <col min="15" max="15" width="31.125" customWidth="1"/>
    <col min="16" max="16" width="46.375" customWidth="1"/>
  </cols>
  <sheetData>
    <row r="1" spans="1:22" s="2" customFormat="1" ht="24" x14ac:dyDescent="0.3">
      <c r="A1" s="26" t="s">
        <v>0</v>
      </c>
      <c r="B1" s="27" t="s">
        <v>1</v>
      </c>
      <c r="C1" s="27" t="s">
        <v>85</v>
      </c>
      <c r="D1" s="27" t="s">
        <v>2</v>
      </c>
      <c r="E1" s="27" t="s">
        <v>3</v>
      </c>
      <c r="F1" s="27" t="s">
        <v>4</v>
      </c>
      <c r="G1" s="27" t="s">
        <v>5</v>
      </c>
      <c r="H1" s="27" t="s">
        <v>6</v>
      </c>
      <c r="I1" s="27" t="s">
        <v>7</v>
      </c>
      <c r="J1" s="27" t="s">
        <v>8</v>
      </c>
      <c r="K1" s="55" t="s">
        <v>1000</v>
      </c>
      <c r="L1" s="28" t="s">
        <v>86</v>
      </c>
      <c r="M1" s="28" t="s">
        <v>87</v>
      </c>
      <c r="N1" s="28" t="s">
        <v>1001</v>
      </c>
      <c r="O1" s="28" t="s">
        <v>88</v>
      </c>
      <c r="P1" s="28" t="s">
        <v>89</v>
      </c>
    </row>
    <row r="2" spans="1:22" ht="173.25" customHeight="1" x14ac:dyDescent="0.3">
      <c r="A2" s="108" t="s">
        <v>9</v>
      </c>
      <c r="B2" s="108" t="s">
        <v>1002</v>
      </c>
      <c r="C2" s="108" t="s">
        <v>10</v>
      </c>
      <c r="D2" s="108">
        <v>1</v>
      </c>
      <c r="E2" s="108" t="s">
        <v>1290</v>
      </c>
      <c r="F2" s="108" t="s">
        <v>1003</v>
      </c>
      <c r="G2" s="108" t="s">
        <v>1191</v>
      </c>
      <c r="H2" s="108" t="s">
        <v>1159</v>
      </c>
      <c r="I2" s="108" t="s">
        <v>1196</v>
      </c>
      <c r="J2" s="108">
        <v>0</v>
      </c>
      <c r="K2" s="111" t="s">
        <v>368</v>
      </c>
      <c r="L2" s="108" t="s">
        <v>1004</v>
      </c>
      <c r="M2" s="108" t="s">
        <v>400</v>
      </c>
      <c r="N2" s="112" t="s">
        <v>575</v>
      </c>
      <c r="O2" s="108" t="s">
        <v>163</v>
      </c>
      <c r="P2" s="108" t="s">
        <v>1005</v>
      </c>
      <c r="Q2" s="47"/>
      <c r="R2" s="47"/>
      <c r="S2" s="47"/>
      <c r="T2" s="47"/>
      <c r="U2" s="47"/>
      <c r="V2" s="47"/>
    </row>
    <row r="3" spans="1:22" ht="280.5" customHeight="1" x14ac:dyDescent="0.3">
      <c r="A3" s="108" t="s">
        <v>1006</v>
      </c>
      <c r="B3" s="108" t="s">
        <v>1007</v>
      </c>
      <c r="C3" s="108" t="s">
        <v>10</v>
      </c>
      <c r="D3" s="108">
        <v>1</v>
      </c>
      <c r="E3" s="108" t="s">
        <v>1291</v>
      </c>
      <c r="F3" s="108" t="s">
        <v>1619</v>
      </c>
      <c r="G3" s="108" t="s">
        <v>751</v>
      </c>
      <c r="H3" s="108" t="s">
        <v>1008</v>
      </c>
      <c r="I3" s="108" t="s">
        <v>1618</v>
      </c>
      <c r="J3" s="108">
        <v>1</v>
      </c>
      <c r="K3" s="111" t="s">
        <v>250</v>
      </c>
      <c r="L3" s="108" t="s">
        <v>175</v>
      </c>
      <c r="M3" s="108" t="s">
        <v>1009</v>
      </c>
      <c r="N3" s="112" t="s">
        <v>575</v>
      </c>
      <c r="O3" s="108" t="s">
        <v>163</v>
      </c>
      <c r="P3" s="108" t="s">
        <v>1010</v>
      </c>
      <c r="Q3" s="47"/>
      <c r="R3" s="47"/>
      <c r="S3" s="47"/>
      <c r="T3" s="47"/>
      <c r="U3" s="47"/>
      <c r="V3" s="47"/>
    </row>
    <row r="4" spans="1:22" s="66" customFormat="1" ht="67.5" x14ac:dyDescent="0.3">
      <c r="A4" s="108" t="s">
        <v>9</v>
      </c>
      <c r="B4" s="108" t="s">
        <v>1002</v>
      </c>
      <c r="C4" s="108" t="s">
        <v>10</v>
      </c>
      <c r="D4" s="108">
        <v>1</v>
      </c>
      <c r="E4" s="108" t="s">
        <v>1292</v>
      </c>
      <c r="F4" s="108" t="s">
        <v>1011</v>
      </c>
      <c r="G4" s="108" t="s">
        <v>810</v>
      </c>
      <c r="H4" s="108" t="s">
        <v>1012</v>
      </c>
      <c r="I4" s="108" t="s">
        <v>1227</v>
      </c>
      <c r="J4" s="108">
        <v>0</v>
      </c>
      <c r="K4" s="111"/>
      <c r="L4" s="108" t="s">
        <v>103</v>
      </c>
      <c r="M4" s="108" t="s">
        <v>1013</v>
      </c>
      <c r="N4" s="112" t="s">
        <v>575</v>
      </c>
      <c r="O4" s="108"/>
      <c r="P4" s="108"/>
      <c r="Q4" s="65"/>
      <c r="R4" s="65"/>
      <c r="S4" s="65"/>
      <c r="T4" s="65"/>
      <c r="U4" s="65"/>
      <c r="V4" s="65"/>
    </row>
    <row r="5" spans="1:22" s="66" customFormat="1" ht="67.5" x14ac:dyDescent="0.3">
      <c r="A5" s="108" t="s">
        <v>9</v>
      </c>
      <c r="B5" s="108" t="s">
        <v>1002</v>
      </c>
      <c r="C5" s="108" t="s">
        <v>10</v>
      </c>
      <c r="D5" s="108">
        <v>1</v>
      </c>
      <c r="E5" s="108" t="s">
        <v>1293</v>
      </c>
      <c r="F5" s="108" t="s">
        <v>698</v>
      </c>
      <c r="G5" s="108" t="s">
        <v>813</v>
      </c>
      <c r="H5" s="108" t="s">
        <v>495</v>
      </c>
      <c r="I5" s="108" t="s">
        <v>1228</v>
      </c>
      <c r="J5" s="108">
        <v>0</v>
      </c>
      <c r="K5" s="111"/>
      <c r="L5" s="108" t="s">
        <v>103</v>
      </c>
      <c r="M5" s="108" t="s">
        <v>402</v>
      </c>
      <c r="N5" s="112" t="s">
        <v>575</v>
      </c>
      <c r="O5" s="108"/>
      <c r="P5" s="108"/>
      <c r="Q5" s="65"/>
      <c r="R5" s="65"/>
      <c r="S5" s="65"/>
      <c r="T5" s="65"/>
      <c r="U5" s="65"/>
      <c r="V5" s="65"/>
    </row>
    <row r="6" spans="1:22" ht="148.5" x14ac:dyDescent="0.3">
      <c r="A6" s="108" t="s">
        <v>9</v>
      </c>
      <c r="B6" s="108" t="s">
        <v>98</v>
      </c>
      <c r="C6" s="108" t="s">
        <v>10</v>
      </c>
      <c r="D6" s="108">
        <v>1</v>
      </c>
      <c r="E6" s="108" t="s">
        <v>1334</v>
      </c>
      <c r="F6" s="108" t="s">
        <v>699</v>
      </c>
      <c r="G6" s="108" t="s">
        <v>1620</v>
      </c>
      <c r="H6" s="108" t="s">
        <v>1163</v>
      </c>
      <c r="I6" s="108" t="s">
        <v>1432</v>
      </c>
      <c r="J6" s="108">
        <v>1</v>
      </c>
      <c r="K6" s="111" t="s">
        <v>381</v>
      </c>
      <c r="L6" s="108" t="s">
        <v>1587</v>
      </c>
      <c r="M6" s="108" t="s">
        <v>824</v>
      </c>
      <c r="N6" s="112" t="s">
        <v>586</v>
      </c>
      <c r="O6" s="108"/>
      <c r="P6" s="108"/>
      <c r="Q6" s="47"/>
      <c r="R6" s="47"/>
      <c r="S6" s="47"/>
      <c r="T6" s="47"/>
      <c r="U6" s="47"/>
      <c r="V6" s="47"/>
    </row>
    <row r="7" spans="1:22" ht="148.5" x14ac:dyDescent="0.3">
      <c r="A7" s="108" t="s">
        <v>9</v>
      </c>
      <c r="B7" s="108" t="s">
        <v>1002</v>
      </c>
      <c r="C7" s="108" t="s">
        <v>10</v>
      </c>
      <c r="D7" s="108">
        <v>1</v>
      </c>
      <c r="E7" s="108" t="s">
        <v>1335</v>
      </c>
      <c r="F7" s="108" t="s">
        <v>1456</v>
      </c>
      <c r="G7" s="108" t="s">
        <v>825</v>
      </c>
      <c r="H7" s="108" t="s">
        <v>1014</v>
      </c>
      <c r="I7" s="108" t="s">
        <v>1197</v>
      </c>
      <c r="J7" s="108">
        <v>1</v>
      </c>
      <c r="K7" s="111" t="s">
        <v>382</v>
      </c>
      <c r="L7" s="108" t="s">
        <v>1587</v>
      </c>
      <c r="M7" s="108" t="s">
        <v>1015</v>
      </c>
      <c r="N7" s="112" t="s">
        <v>586</v>
      </c>
      <c r="O7" s="108"/>
      <c r="P7" s="108"/>
      <c r="Q7" s="47"/>
      <c r="R7" s="47"/>
      <c r="S7" s="47"/>
      <c r="T7" s="47"/>
      <c r="U7" s="47"/>
      <c r="V7" s="47"/>
    </row>
    <row r="8" spans="1:22" ht="202.5" x14ac:dyDescent="0.3">
      <c r="A8" s="108" t="s">
        <v>9</v>
      </c>
      <c r="B8" s="108" t="s">
        <v>1002</v>
      </c>
      <c r="C8" s="108" t="s">
        <v>10</v>
      </c>
      <c r="D8" s="108">
        <v>1</v>
      </c>
      <c r="E8" s="108" t="s">
        <v>1336</v>
      </c>
      <c r="F8" s="108" t="s">
        <v>1457</v>
      </c>
      <c r="G8" s="108" t="s">
        <v>831</v>
      </c>
      <c r="H8" s="108" t="s">
        <v>1164</v>
      </c>
      <c r="I8" s="108" t="s">
        <v>1198</v>
      </c>
      <c r="J8" s="108">
        <v>1</v>
      </c>
      <c r="K8" s="111" t="s">
        <v>240</v>
      </c>
      <c r="L8" s="108" t="s">
        <v>1587</v>
      </c>
      <c r="M8" s="108" t="s">
        <v>1016</v>
      </c>
      <c r="N8" s="112" t="s">
        <v>587</v>
      </c>
      <c r="O8" s="108"/>
      <c r="P8" s="108"/>
      <c r="Q8" s="47"/>
      <c r="R8" s="47"/>
      <c r="S8" s="47"/>
      <c r="T8" s="47"/>
      <c r="U8" s="47"/>
      <c r="V8" s="47"/>
    </row>
    <row r="9" spans="1:22" ht="108" x14ac:dyDescent="0.3">
      <c r="A9" s="108" t="s">
        <v>9</v>
      </c>
      <c r="B9" s="108" t="s">
        <v>1002</v>
      </c>
      <c r="C9" s="108" t="s">
        <v>10</v>
      </c>
      <c r="D9" s="108">
        <v>1</v>
      </c>
      <c r="E9" s="108" t="s">
        <v>1337</v>
      </c>
      <c r="F9" s="108" t="s">
        <v>1458</v>
      </c>
      <c r="G9" s="108" t="s">
        <v>832</v>
      </c>
      <c r="H9" s="108" t="s">
        <v>1160</v>
      </c>
      <c r="I9" s="108" t="s">
        <v>1621</v>
      </c>
      <c r="J9" s="108">
        <v>1</v>
      </c>
      <c r="K9" s="111" t="s">
        <v>386</v>
      </c>
      <c r="L9" s="108" t="s">
        <v>1587</v>
      </c>
      <c r="M9" s="108" t="s">
        <v>1017</v>
      </c>
      <c r="N9" s="112" t="s">
        <v>587</v>
      </c>
      <c r="O9" s="108"/>
      <c r="P9" s="108"/>
      <c r="Q9" s="47"/>
      <c r="R9" s="47"/>
      <c r="S9" s="47"/>
      <c r="T9" s="47"/>
      <c r="U9" s="47"/>
      <c r="V9" s="47"/>
    </row>
    <row r="10" spans="1:22" ht="121.5" x14ac:dyDescent="0.3">
      <c r="A10" s="108" t="s">
        <v>9</v>
      </c>
      <c r="B10" s="108" t="s">
        <v>1018</v>
      </c>
      <c r="C10" s="108" t="s">
        <v>10</v>
      </c>
      <c r="D10" s="108">
        <v>1</v>
      </c>
      <c r="E10" s="108" t="s">
        <v>1338</v>
      </c>
      <c r="F10" s="108" t="s">
        <v>1459</v>
      </c>
      <c r="G10" s="108" t="s">
        <v>1622</v>
      </c>
      <c r="H10" s="108" t="s">
        <v>1161</v>
      </c>
      <c r="I10" s="108" t="s">
        <v>1199</v>
      </c>
      <c r="J10" s="108">
        <v>1</v>
      </c>
      <c r="K10" s="111" t="s">
        <v>387</v>
      </c>
      <c r="L10" s="108" t="s">
        <v>1587</v>
      </c>
      <c r="M10" s="108" t="s">
        <v>1019</v>
      </c>
      <c r="N10" s="112" t="s">
        <v>588</v>
      </c>
      <c r="O10" s="108"/>
      <c r="P10" s="108"/>
      <c r="Q10" s="47"/>
      <c r="R10" s="47"/>
      <c r="S10" s="47"/>
      <c r="T10" s="47"/>
      <c r="U10" s="47"/>
      <c r="V10" s="47"/>
    </row>
    <row r="11" spans="1:22" ht="168" customHeight="1" x14ac:dyDescent="0.3">
      <c r="A11" s="108" t="s">
        <v>9</v>
      </c>
      <c r="B11" s="108" t="s">
        <v>1002</v>
      </c>
      <c r="C11" s="108" t="s">
        <v>10</v>
      </c>
      <c r="D11" s="108">
        <v>1</v>
      </c>
      <c r="E11" s="108" t="s">
        <v>1339</v>
      </c>
      <c r="F11" s="108" t="s">
        <v>1460</v>
      </c>
      <c r="G11" s="108" t="s">
        <v>1020</v>
      </c>
      <c r="H11" s="108" t="s">
        <v>1162</v>
      </c>
      <c r="I11" s="108" t="s">
        <v>1200</v>
      </c>
      <c r="J11" s="108">
        <v>1</v>
      </c>
      <c r="K11" s="111" t="s">
        <v>388</v>
      </c>
      <c r="L11" s="108" t="s">
        <v>1587</v>
      </c>
      <c r="M11" s="108" t="s">
        <v>1021</v>
      </c>
      <c r="N11" s="112" t="s">
        <v>588</v>
      </c>
      <c r="O11" s="108"/>
      <c r="P11" s="108"/>
      <c r="Q11" s="47"/>
      <c r="R11" s="47"/>
      <c r="S11" s="47"/>
      <c r="T11" s="47"/>
      <c r="U11" s="47"/>
      <c r="V11" s="47"/>
    </row>
    <row r="12" spans="1:22" ht="189" x14ac:dyDescent="0.3">
      <c r="A12" s="108" t="s">
        <v>9</v>
      </c>
      <c r="B12" s="108" t="s">
        <v>1018</v>
      </c>
      <c r="C12" s="108" t="s">
        <v>10</v>
      </c>
      <c r="D12" s="108">
        <v>1</v>
      </c>
      <c r="E12" s="108" t="s">
        <v>1340</v>
      </c>
      <c r="F12" s="108" t="s">
        <v>1461</v>
      </c>
      <c r="G12" s="108" t="s">
        <v>1022</v>
      </c>
      <c r="H12" s="108" t="s">
        <v>1433</v>
      </c>
      <c r="I12" s="108" t="s">
        <v>1201</v>
      </c>
      <c r="J12" s="108">
        <v>1</v>
      </c>
      <c r="K12" s="111" t="s">
        <v>241</v>
      </c>
      <c r="L12" s="108" t="s">
        <v>1587</v>
      </c>
      <c r="M12" s="108" t="s">
        <v>1023</v>
      </c>
      <c r="N12" s="112" t="s">
        <v>588</v>
      </c>
      <c r="O12" s="108"/>
      <c r="P12" s="108" t="s">
        <v>1024</v>
      </c>
      <c r="Q12" s="47"/>
      <c r="R12" s="47"/>
      <c r="S12" s="47"/>
      <c r="T12" s="47"/>
      <c r="U12" s="47"/>
      <c r="V12" s="47"/>
    </row>
    <row r="13" spans="1:22" ht="81" x14ac:dyDescent="0.3">
      <c r="A13" s="108" t="s">
        <v>9</v>
      </c>
      <c r="B13" s="108" t="s">
        <v>1002</v>
      </c>
      <c r="C13" s="108" t="s">
        <v>10</v>
      </c>
      <c r="D13" s="108">
        <v>1</v>
      </c>
      <c r="E13" s="108" t="s">
        <v>1341</v>
      </c>
      <c r="F13" s="108" t="s">
        <v>1462</v>
      </c>
      <c r="G13" s="108" t="s">
        <v>1025</v>
      </c>
      <c r="H13" s="108" t="s">
        <v>1165</v>
      </c>
      <c r="I13" s="108" t="s">
        <v>1202</v>
      </c>
      <c r="J13" s="108">
        <v>1</v>
      </c>
      <c r="K13" s="111" t="s">
        <v>389</v>
      </c>
      <c r="L13" s="108" t="s">
        <v>175</v>
      </c>
      <c r="M13" s="108" t="s">
        <v>1026</v>
      </c>
      <c r="N13" s="112" t="s">
        <v>590</v>
      </c>
      <c r="O13" s="108"/>
      <c r="P13" s="108"/>
      <c r="Q13" s="47"/>
      <c r="R13" s="47"/>
      <c r="S13" s="47"/>
      <c r="T13" s="47"/>
      <c r="U13" s="47"/>
      <c r="V13" s="47"/>
    </row>
    <row r="14" spans="1:22" ht="81" x14ac:dyDescent="0.3">
      <c r="A14" s="108" t="s">
        <v>9</v>
      </c>
      <c r="B14" s="108" t="s">
        <v>1002</v>
      </c>
      <c r="C14" s="108" t="s">
        <v>10</v>
      </c>
      <c r="D14" s="108">
        <v>1</v>
      </c>
      <c r="E14" s="108" t="s">
        <v>1342</v>
      </c>
      <c r="F14" s="108" t="s">
        <v>1463</v>
      </c>
      <c r="G14" s="108" t="s">
        <v>1027</v>
      </c>
      <c r="H14" s="108" t="s">
        <v>1166</v>
      </c>
      <c r="I14" s="108" t="s">
        <v>1203</v>
      </c>
      <c r="J14" s="108">
        <v>1</v>
      </c>
      <c r="K14" s="111" t="s">
        <v>242</v>
      </c>
      <c r="L14" s="108" t="s">
        <v>175</v>
      </c>
      <c r="M14" s="108" t="s">
        <v>1028</v>
      </c>
      <c r="N14" s="112" t="s">
        <v>590</v>
      </c>
      <c r="O14" s="108"/>
      <c r="P14" s="108"/>
      <c r="Q14" s="47"/>
      <c r="R14" s="47"/>
      <c r="S14" s="47"/>
      <c r="T14" s="47"/>
      <c r="U14" s="47"/>
      <c r="V14" s="47"/>
    </row>
    <row r="15" spans="1:22" ht="189" x14ac:dyDescent="0.3">
      <c r="A15" s="108" t="s">
        <v>9</v>
      </c>
      <c r="B15" s="108" t="s">
        <v>1029</v>
      </c>
      <c r="C15" s="108" t="s">
        <v>10</v>
      </c>
      <c r="D15" s="108">
        <v>1</v>
      </c>
      <c r="E15" s="108" t="s">
        <v>1343</v>
      </c>
      <c r="F15" s="108" t="s">
        <v>1464</v>
      </c>
      <c r="G15" s="108" t="s">
        <v>1030</v>
      </c>
      <c r="H15" s="108" t="s">
        <v>1031</v>
      </c>
      <c r="I15" s="108" t="s">
        <v>1623</v>
      </c>
      <c r="J15" s="108">
        <v>1</v>
      </c>
      <c r="K15" s="111" t="s">
        <v>383</v>
      </c>
      <c r="L15" s="108" t="s">
        <v>175</v>
      </c>
      <c r="M15" s="108" t="s">
        <v>1032</v>
      </c>
      <c r="N15" s="112" t="s">
        <v>589</v>
      </c>
      <c r="O15" s="108"/>
      <c r="P15" s="108"/>
      <c r="Q15" s="47"/>
      <c r="R15" s="47"/>
      <c r="S15" s="47"/>
      <c r="T15" s="47"/>
      <c r="U15" s="47"/>
      <c r="V15" s="47"/>
    </row>
    <row r="16" spans="1:22" ht="94.5" customHeight="1" x14ac:dyDescent="0.3">
      <c r="A16" s="108" t="s">
        <v>9</v>
      </c>
      <c r="B16" s="108" t="s">
        <v>1033</v>
      </c>
      <c r="C16" s="108" t="s">
        <v>10</v>
      </c>
      <c r="D16" s="108">
        <v>1</v>
      </c>
      <c r="E16" s="108" t="s">
        <v>1344</v>
      </c>
      <c r="F16" s="108" t="s">
        <v>1465</v>
      </c>
      <c r="G16" s="108" t="s">
        <v>1034</v>
      </c>
      <c r="H16" s="108" t="s">
        <v>1035</v>
      </c>
      <c r="I16" s="108" t="s">
        <v>1204</v>
      </c>
      <c r="J16" s="108">
        <v>1</v>
      </c>
      <c r="K16" s="111" t="s">
        <v>1036</v>
      </c>
      <c r="L16" s="108" t="s">
        <v>175</v>
      </c>
      <c r="M16" s="108" t="s">
        <v>1037</v>
      </c>
      <c r="N16" s="112" t="s">
        <v>589</v>
      </c>
      <c r="O16" s="108"/>
      <c r="P16" s="108"/>
      <c r="Q16" s="47"/>
      <c r="R16" s="47"/>
      <c r="S16" s="47"/>
      <c r="T16" s="47"/>
      <c r="U16" s="47"/>
      <c r="V16" s="47"/>
    </row>
    <row r="17" spans="1:22" ht="121.5" customHeight="1" x14ac:dyDescent="0.3">
      <c r="A17" s="108" t="s">
        <v>9</v>
      </c>
      <c r="B17" s="108" t="s">
        <v>1029</v>
      </c>
      <c r="C17" s="108" t="s">
        <v>10</v>
      </c>
      <c r="D17" s="108">
        <v>1</v>
      </c>
      <c r="E17" s="108" t="s">
        <v>1345</v>
      </c>
      <c r="F17" s="108" t="s">
        <v>1466</v>
      </c>
      <c r="G17" s="108" t="s">
        <v>1038</v>
      </c>
      <c r="H17" s="108" t="s">
        <v>1168</v>
      </c>
      <c r="I17" s="108" t="s">
        <v>1205</v>
      </c>
      <c r="J17" s="108">
        <v>1</v>
      </c>
      <c r="K17" s="111" t="s">
        <v>390</v>
      </c>
      <c r="L17" s="108" t="s">
        <v>175</v>
      </c>
      <c r="M17" s="108" t="s">
        <v>1039</v>
      </c>
      <c r="N17" s="112" t="s">
        <v>591</v>
      </c>
      <c r="O17" s="108"/>
      <c r="P17" s="108"/>
      <c r="Q17" s="47"/>
      <c r="R17" s="47"/>
      <c r="S17" s="47"/>
      <c r="T17" s="47"/>
      <c r="U17" s="47"/>
      <c r="V17" s="47"/>
    </row>
    <row r="18" spans="1:22" ht="135" x14ac:dyDescent="0.3">
      <c r="A18" s="108" t="s">
        <v>9</v>
      </c>
      <c r="B18" s="108" t="s">
        <v>1002</v>
      </c>
      <c r="C18" s="108" t="s">
        <v>10</v>
      </c>
      <c r="D18" s="108">
        <v>1</v>
      </c>
      <c r="E18" s="108" t="s">
        <v>1346</v>
      </c>
      <c r="F18" s="108" t="s">
        <v>1467</v>
      </c>
      <c r="G18" s="108" t="s">
        <v>1040</v>
      </c>
      <c r="H18" s="108" t="s">
        <v>1167</v>
      </c>
      <c r="I18" s="108" t="s">
        <v>1624</v>
      </c>
      <c r="J18" s="108">
        <v>1</v>
      </c>
      <c r="K18" s="111" t="s">
        <v>243</v>
      </c>
      <c r="L18" s="108" t="s">
        <v>1588</v>
      </c>
      <c r="M18" s="108" t="s">
        <v>1041</v>
      </c>
      <c r="N18" s="112" t="s">
        <v>591</v>
      </c>
      <c r="O18" s="108"/>
      <c r="P18" s="108"/>
      <c r="Q18" s="47"/>
      <c r="R18" s="47"/>
      <c r="S18" s="47"/>
      <c r="T18" s="47"/>
      <c r="U18" s="47"/>
      <c r="V18" s="47"/>
    </row>
    <row r="19" spans="1:22" ht="121.5" x14ac:dyDescent="0.3">
      <c r="A19" s="108" t="s">
        <v>9</v>
      </c>
      <c r="B19" s="108" t="s">
        <v>1002</v>
      </c>
      <c r="C19" s="108" t="s">
        <v>10</v>
      </c>
      <c r="D19" s="108">
        <v>1</v>
      </c>
      <c r="E19" s="108" t="s">
        <v>1347</v>
      </c>
      <c r="F19" s="108" t="s">
        <v>1468</v>
      </c>
      <c r="G19" s="108" t="s">
        <v>1042</v>
      </c>
      <c r="H19" s="108" t="s">
        <v>1169</v>
      </c>
      <c r="I19" s="108" t="s">
        <v>1229</v>
      </c>
      <c r="J19" s="108">
        <v>1</v>
      </c>
      <c r="K19" s="111" t="s">
        <v>391</v>
      </c>
      <c r="L19" s="108" t="s">
        <v>1588</v>
      </c>
      <c r="M19" s="108" t="s">
        <v>1043</v>
      </c>
      <c r="N19" s="112" t="s">
        <v>591</v>
      </c>
      <c r="O19" s="108"/>
      <c r="P19" s="108"/>
      <c r="Q19" s="47"/>
      <c r="R19" s="47"/>
      <c r="S19" s="47"/>
      <c r="T19" s="47"/>
      <c r="U19" s="47"/>
      <c r="V19" s="47"/>
    </row>
    <row r="20" spans="1:22" ht="94.5" x14ac:dyDescent="0.3">
      <c r="A20" s="108" t="s">
        <v>9</v>
      </c>
      <c r="B20" s="108" t="s">
        <v>1002</v>
      </c>
      <c r="C20" s="108" t="s">
        <v>10</v>
      </c>
      <c r="D20" s="108">
        <v>1</v>
      </c>
      <c r="E20" s="108" t="s">
        <v>1348</v>
      </c>
      <c r="F20" s="108" t="s">
        <v>1469</v>
      </c>
      <c r="G20" s="108" t="s">
        <v>1044</v>
      </c>
      <c r="H20" s="108" t="s">
        <v>1170</v>
      </c>
      <c r="I20" s="108" t="s">
        <v>1206</v>
      </c>
      <c r="J20" s="108">
        <v>1</v>
      </c>
      <c r="K20" s="111" t="s">
        <v>244</v>
      </c>
      <c r="L20" s="108" t="s">
        <v>1588</v>
      </c>
      <c r="M20" s="108" t="s">
        <v>1045</v>
      </c>
      <c r="N20" s="112" t="s">
        <v>591</v>
      </c>
      <c r="O20" s="108"/>
      <c r="P20" s="108"/>
      <c r="Q20" s="47"/>
      <c r="R20" s="47"/>
      <c r="S20" s="47"/>
      <c r="T20" s="47"/>
      <c r="U20" s="47"/>
      <c r="V20" s="47"/>
    </row>
    <row r="21" spans="1:22" ht="130.69999999999999" customHeight="1" x14ac:dyDescent="0.3">
      <c r="A21" s="108" t="s">
        <v>9</v>
      </c>
      <c r="B21" s="108" t="s">
        <v>1002</v>
      </c>
      <c r="C21" s="108" t="s">
        <v>10</v>
      </c>
      <c r="D21" s="108">
        <v>1</v>
      </c>
      <c r="E21" s="108" t="s">
        <v>1349</v>
      </c>
      <c r="F21" s="108" t="s">
        <v>1470</v>
      </c>
      <c r="G21" s="108" t="s">
        <v>1046</v>
      </c>
      <c r="H21" s="108" t="s">
        <v>1171</v>
      </c>
      <c r="I21" s="108" t="s">
        <v>1207</v>
      </c>
      <c r="J21" s="108">
        <v>1</v>
      </c>
      <c r="K21" s="111" t="s">
        <v>370</v>
      </c>
      <c r="L21" s="108" t="s">
        <v>1588</v>
      </c>
      <c r="M21" s="108" t="s">
        <v>1047</v>
      </c>
      <c r="N21" s="112" t="s">
        <v>591</v>
      </c>
      <c r="O21" s="108"/>
      <c r="P21" s="108"/>
      <c r="Q21" s="47"/>
      <c r="R21" s="47"/>
      <c r="S21" s="47"/>
      <c r="T21" s="47"/>
      <c r="U21" s="47"/>
      <c r="V21" s="47"/>
    </row>
    <row r="22" spans="1:22" ht="147.19999999999999" customHeight="1" x14ac:dyDescent="0.3">
      <c r="A22" s="108" t="s">
        <v>9</v>
      </c>
      <c r="B22" s="108" t="s">
        <v>1048</v>
      </c>
      <c r="C22" s="108" t="s">
        <v>10</v>
      </c>
      <c r="D22" s="108">
        <v>1</v>
      </c>
      <c r="E22" s="108" t="s">
        <v>1350</v>
      </c>
      <c r="F22" s="113" t="s">
        <v>1471</v>
      </c>
      <c r="G22" s="114" t="s">
        <v>1049</v>
      </c>
      <c r="H22" s="114" t="s">
        <v>1494</v>
      </c>
      <c r="I22" s="114" t="s">
        <v>1208</v>
      </c>
      <c r="J22" s="114">
        <v>1</v>
      </c>
      <c r="K22" s="111" t="s">
        <v>392</v>
      </c>
      <c r="L22" s="108" t="s">
        <v>1588</v>
      </c>
      <c r="M22" s="108" t="s">
        <v>1050</v>
      </c>
      <c r="N22" s="112" t="s">
        <v>591</v>
      </c>
      <c r="O22" s="108"/>
      <c r="P22" s="108"/>
      <c r="Q22" s="47"/>
      <c r="R22" s="47"/>
      <c r="S22" s="47"/>
      <c r="T22" s="47"/>
      <c r="U22" s="47"/>
      <c r="V22" s="47"/>
    </row>
    <row r="23" spans="1:22" ht="247.5" customHeight="1" x14ac:dyDescent="0.3">
      <c r="A23" s="108" t="s">
        <v>9</v>
      </c>
      <c r="B23" s="108" t="s">
        <v>1002</v>
      </c>
      <c r="C23" s="108" t="s">
        <v>10</v>
      </c>
      <c r="D23" s="108">
        <v>1</v>
      </c>
      <c r="E23" s="108" t="s">
        <v>1351</v>
      </c>
      <c r="F23" s="108" t="s">
        <v>1472</v>
      </c>
      <c r="G23" s="108" t="s">
        <v>1051</v>
      </c>
      <c r="H23" s="108" t="s">
        <v>1172</v>
      </c>
      <c r="I23" s="108" t="s">
        <v>1209</v>
      </c>
      <c r="J23" s="108">
        <v>1</v>
      </c>
      <c r="K23" s="111" t="s">
        <v>369</v>
      </c>
      <c r="L23" s="108" t="s">
        <v>175</v>
      </c>
      <c r="M23" s="108" t="s">
        <v>1052</v>
      </c>
      <c r="N23" s="112" t="s">
        <v>591</v>
      </c>
      <c r="O23" s="108"/>
      <c r="P23" s="108"/>
      <c r="Q23" s="47"/>
      <c r="R23" s="47"/>
      <c r="S23" s="47"/>
      <c r="T23" s="47"/>
      <c r="U23" s="47"/>
      <c r="V23" s="47"/>
    </row>
    <row r="24" spans="1:22" ht="112.5" customHeight="1" x14ac:dyDescent="0.3">
      <c r="A24" s="108" t="s">
        <v>9</v>
      </c>
      <c r="B24" s="108" t="s">
        <v>1002</v>
      </c>
      <c r="C24" s="108" t="s">
        <v>10</v>
      </c>
      <c r="D24" s="108">
        <v>1</v>
      </c>
      <c r="E24" s="108" t="s">
        <v>1352</v>
      </c>
      <c r="F24" s="108" t="s">
        <v>1473</v>
      </c>
      <c r="G24" s="108" t="s">
        <v>1053</v>
      </c>
      <c r="H24" s="108" t="s">
        <v>1173</v>
      </c>
      <c r="I24" s="108" t="s">
        <v>1210</v>
      </c>
      <c r="J24" s="108">
        <v>1</v>
      </c>
      <c r="K24" s="111" t="s">
        <v>245</v>
      </c>
      <c r="L24" s="108" t="s">
        <v>175</v>
      </c>
      <c r="M24" s="115" t="s">
        <v>1054</v>
      </c>
      <c r="N24" s="116" t="s">
        <v>592</v>
      </c>
      <c r="O24" s="108"/>
      <c r="P24" s="108"/>
      <c r="Q24" s="47"/>
      <c r="R24" s="47"/>
      <c r="S24" s="47"/>
      <c r="T24" s="47"/>
      <c r="U24" s="47"/>
      <c r="V24" s="47"/>
    </row>
    <row r="25" spans="1:22" ht="150.75" customHeight="1" x14ac:dyDescent="0.3">
      <c r="A25" s="108" t="s">
        <v>9</v>
      </c>
      <c r="B25" s="108" t="s">
        <v>1002</v>
      </c>
      <c r="C25" s="108" t="s">
        <v>10</v>
      </c>
      <c r="D25" s="108">
        <v>1</v>
      </c>
      <c r="E25" s="108" t="s">
        <v>1353</v>
      </c>
      <c r="F25" s="108" t="s">
        <v>1474</v>
      </c>
      <c r="G25" s="108" t="s">
        <v>1055</v>
      </c>
      <c r="H25" s="108" t="s">
        <v>1174</v>
      </c>
      <c r="I25" s="108" t="s">
        <v>1230</v>
      </c>
      <c r="J25" s="108">
        <v>1</v>
      </c>
      <c r="K25" s="111" t="s">
        <v>371</v>
      </c>
      <c r="L25" s="108" t="s">
        <v>175</v>
      </c>
      <c r="M25" s="115" t="s">
        <v>1056</v>
      </c>
      <c r="N25" s="116" t="s">
        <v>592</v>
      </c>
      <c r="O25" s="108"/>
      <c r="P25" s="108"/>
      <c r="Q25" s="47"/>
      <c r="R25" s="47"/>
      <c r="S25" s="47"/>
      <c r="T25" s="47"/>
      <c r="U25" s="47"/>
      <c r="V25" s="47"/>
    </row>
    <row r="26" spans="1:22" ht="175.5" x14ac:dyDescent="0.3">
      <c r="A26" s="108" t="s">
        <v>9</v>
      </c>
      <c r="B26" s="108" t="s">
        <v>1002</v>
      </c>
      <c r="C26" s="108" t="s">
        <v>10</v>
      </c>
      <c r="D26" s="108">
        <v>1</v>
      </c>
      <c r="E26" s="108" t="s">
        <v>1354</v>
      </c>
      <c r="F26" s="108" t="s">
        <v>1475</v>
      </c>
      <c r="G26" s="108" t="s">
        <v>1057</v>
      </c>
      <c r="H26" s="108" t="s">
        <v>1174</v>
      </c>
      <c r="I26" s="108" t="s">
        <v>1231</v>
      </c>
      <c r="J26" s="108">
        <v>1</v>
      </c>
      <c r="K26" s="111" t="s">
        <v>372</v>
      </c>
      <c r="L26" s="108" t="s">
        <v>1589</v>
      </c>
      <c r="M26" s="115" t="s">
        <v>1058</v>
      </c>
      <c r="N26" s="116" t="s">
        <v>592</v>
      </c>
      <c r="O26" s="108"/>
      <c r="P26" s="108"/>
      <c r="Q26" s="47"/>
      <c r="R26" s="47"/>
      <c r="S26" s="47"/>
      <c r="T26" s="47"/>
      <c r="U26" s="47"/>
      <c r="V26" s="47"/>
    </row>
    <row r="27" spans="1:22" ht="235.5" customHeight="1" x14ac:dyDescent="0.3">
      <c r="A27" s="108" t="s">
        <v>9</v>
      </c>
      <c r="B27" s="108" t="s">
        <v>1002</v>
      </c>
      <c r="C27" s="108" t="s">
        <v>10</v>
      </c>
      <c r="D27" s="108">
        <v>1</v>
      </c>
      <c r="E27" s="108" t="s">
        <v>1355</v>
      </c>
      <c r="F27" s="108" t="s">
        <v>1476</v>
      </c>
      <c r="G27" s="108" t="s">
        <v>1059</v>
      </c>
      <c r="H27" s="108" t="s">
        <v>1174</v>
      </c>
      <c r="I27" s="108" t="s">
        <v>1232</v>
      </c>
      <c r="J27" s="108">
        <v>1</v>
      </c>
      <c r="K27" s="111" t="s">
        <v>1060</v>
      </c>
      <c r="L27" s="108" t="s">
        <v>1590</v>
      </c>
      <c r="M27" s="115" t="s">
        <v>1061</v>
      </c>
      <c r="N27" s="116" t="s">
        <v>592</v>
      </c>
      <c r="O27" s="108"/>
      <c r="P27" s="108"/>
      <c r="Q27" s="47"/>
      <c r="R27" s="47"/>
      <c r="S27" s="47"/>
      <c r="T27" s="47"/>
      <c r="U27" s="47"/>
      <c r="V27" s="47"/>
    </row>
    <row r="28" spans="1:22" ht="202.5" x14ac:dyDescent="0.3">
      <c r="A28" s="108" t="s">
        <v>9</v>
      </c>
      <c r="B28" s="108" t="s">
        <v>1002</v>
      </c>
      <c r="C28" s="108" t="s">
        <v>10</v>
      </c>
      <c r="D28" s="108">
        <v>1</v>
      </c>
      <c r="E28" s="108" t="s">
        <v>1356</v>
      </c>
      <c r="F28" s="108" t="s">
        <v>1476</v>
      </c>
      <c r="G28" s="108" t="s">
        <v>752</v>
      </c>
      <c r="H28" s="108" t="s">
        <v>1175</v>
      </c>
      <c r="I28" s="108" t="s">
        <v>1495</v>
      </c>
      <c r="J28" s="108">
        <v>1</v>
      </c>
      <c r="K28" s="111" t="s">
        <v>1062</v>
      </c>
      <c r="L28" s="108" t="s">
        <v>175</v>
      </c>
      <c r="M28" s="108" t="s">
        <v>1063</v>
      </c>
      <c r="N28" s="112" t="s">
        <v>592</v>
      </c>
      <c r="O28" s="108"/>
      <c r="P28" s="108"/>
      <c r="Q28" s="47"/>
      <c r="R28" s="47"/>
      <c r="S28" s="47"/>
      <c r="T28" s="47"/>
      <c r="U28" s="47"/>
      <c r="V28" s="47"/>
    </row>
    <row r="29" spans="1:22" ht="170.45" customHeight="1" x14ac:dyDescent="0.3">
      <c r="A29" s="108" t="s">
        <v>9</v>
      </c>
      <c r="B29" s="108" t="s">
        <v>1064</v>
      </c>
      <c r="C29" s="108" t="s">
        <v>10</v>
      </c>
      <c r="D29" s="108">
        <v>1</v>
      </c>
      <c r="E29" s="108" t="s">
        <v>1316</v>
      </c>
      <c r="F29" s="108" t="s">
        <v>1477</v>
      </c>
      <c r="G29" s="108" t="s">
        <v>1065</v>
      </c>
      <c r="H29" s="108" t="s">
        <v>1176</v>
      </c>
      <c r="I29" s="108" t="s">
        <v>1066</v>
      </c>
      <c r="J29" s="108">
        <v>1</v>
      </c>
      <c r="K29" s="111" t="s">
        <v>373</v>
      </c>
      <c r="L29" s="108" t="s">
        <v>1588</v>
      </c>
      <c r="M29" s="108" t="s">
        <v>1067</v>
      </c>
      <c r="N29" s="112" t="s">
        <v>576</v>
      </c>
      <c r="O29" s="108" t="s">
        <v>1068</v>
      </c>
      <c r="P29" s="108" t="s">
        <v>1069</v>
      </c>
      <c r="Q29" s="47"/>
      <c r="R29" s="47"/>
      <c r="S29" s="47"/>
      <c r="T29" s="47"/>
      <c r="U29" s="47"/>
      <c r="V29" s="47"/>
    </row>
    <row r="30" spans="1:22" ht="144.75" customHeight="1" x14ac:dyDescent="0.3">
      <c r="A30" s="108" t="s">
        <v>9</v>
      </c>
      <c r="B30" s="108" t="s">
        <v>1064</v>
      </c>
      <c r="C30" s="108" t="s">
        <v>10</v>
      </c>
      <c r="D30" s="108">
        <v>1</v>
      </c>
      <c r="E30" s="108" t="s">
        <v>1357</v>
      </c>
      <c r="F30" s="108" t="s">
        <v>1478</v>
      </c>
      <c r="G30" s="108" t="s">
        <v>1070</v>
      </c>
      <c r="H30" s="108" t="s">
        <v>1071</v>
      </c>
      <c r="I30" s="108" t="s">
        <v>1072</v>
      </c>
      <c r="J30" s="108">
        <v>0</v>
      </c>
      <c r="K30" s="111"/>
      <c r="L30" s="108" t="s">
        <v>103</v>
      </c>
      <c r="M30" s="108" t="s">
        <v>1073</v>
      </c>
      <c r="N30" s="112" t="s">
        <v>576</v>
      </c>
      <c r="O30" s="108"/>
      <c r="P30" s="108"/>
      <c r="Q30" s="47"/>
      <c r="R30" s="47"/>
      <c r="S30" s="47"/>
      <c r="T30" s="47"/>
      <c r="U30" s="47"/>
      <c r="V30" s="47"/>
    </row>
    <row r="31" spans="1:22" ht="81" x14ac:dyDescent="0.3">
      <c r="A31" s="108" t="s">
        <v>9</v>
      </c>
      <c r="B31" s="108" t="s">
        <v>1064</v>
      </c>
      <c r="C31" s="108" t="s">
        <v>10</v>
      </c>
      <c r="D31" s="108">
        <v>1</v>
      </c>
      <c r="E31" s="108" t="s">
        <v>1318</v>
      </c>
      <c r="F31" s="108" t="s">
        <v>1074</v>
      </c>
      <c r="G31" s="108" t="s">
        <v>1075</v>
      </c>
      <c r="H31" s="108" t="s">
        <v>1177</v>
      </c>
      <c r="I31" s="108" t="s">
        <v>1625</v>
      </c>
      <c r="J31" s="108">
        <v>0</v>
      </c>
      <c r="K31" s="111" t="s">
        <v>249</v>
      </c>
      <c r="L31" s="108" t="s">
        <v>1157</v>
      </c>
      <c r="M31" s="108" t="s">
        <v>1158</v>
      </c>
      <c r="N31" s="112" t="s">
        <v>576</v>
      </c>
      <c r="O31" s="108"/>
      <c r="P31" s="108"/>
      <c r="Q31" s="47"/>
      <c r="R31" s="47"/>
      <c r="S31" s="47"/>
      <c r="T31" s="47"/>
      <c r="U31" s="47"/>
      <c r="V31" s="47"/>
    </row>
    <row r="32" spans="1:22" ht="304.5" customHeight="1" x14ac:dyDescent="0.3">
      <c r="A32" s="108" t="s">
        <v>9</v>
      </c>
      <c r="B32" s="108" t="s">
        <v>1064</v>
      </c>
      <c r="C32" s="108" t="s">
        <v>10</v>
      </c>
      <c r="D32" s="108">
        <v>1</v>
      </c>
      <c r="E32" s="108" t="s">
        <v>1319</v>
      </c>
      <c r="F32" s="108" t="s">
        <v>1479</v>
      </c>
      <c r="G32" s="108" t="s">
        <v>1076</v>
      </c>
      <c r="H32" s="108" t="s">
        <v>1077</v>
      </c>
      <c r="I32" s="111" t="s">
        <v>1211</v>
      </c>
      <c r="J32" s="108">
        <v>1</v>
      </c>
      <c r="K32" s="111" t="s">
        <v>385</v>
      </c>
      <c r="L32" s="108" t="s">
        <v>1588</v>
      </c>
      <c r="M32" s="111" t="s">
        <v>1078</v>
      </c>
      <c r="N32" s="112" t="s">
        <v>576</v>
      </c>
      <c r="O32" s="108"/>
      <c r="P32" s="108"/>
      <c r="Q32" s="47"/>
      <c r="R32" s="47"/>
      <c r="S32" s="47"/>
      <c r="T32" s="47"/>
      <c r="U32" s="47"/>
      <c r="V32" s="47"/>
    </row>
    <row r="33" spans="1:22" s="66" customFormat="1" ht="58.5" customHeight="1" x14ac:dyDescent="0.3">
      <c r="A33" s="108" t="s">
        <v>9</v>
      </c>
      <c r="B33" s="108" t="s">
        <v>100</v>
      </c>
      <c r="C33" s="108" t="s">
        <v>10</v>
      </c>
      <c r="D33" s="108">
        <v>1</v>
      </c>
      <c r="E33" s="108" t="s">
        <v>1320</v>
      </c>
      <c r="F33" s="108" t="s">
        <v>1079</v>
      </c>
      <c r="G33" s="108" t="s">
        <v>1080</v>
      </c>
      <c r="H33" s="108" t="s">
        <v>1081</v>
      </c>
      <c r="I33" s="108" t="s">
        <v>1082</v>
      </c>
      <c r="J33" s="108">
        <v>0</v>
      </c>
      <c r="K33" s="111"/>
      <c r="L33" s="108" t="s">
        <v>103</v>
      </c>
      <c r="M33" s="108" t="s">
        <v>1083</v>
      </c>
      <c r="N33" s="112" t="s">
        <v>576</v>
      </c>
      <c r="O33" s="108"/>
      <c r="P33" s="108"/>
      <c r="Q33" s="65"/>
      <c r="R33" s="65"/>
      <c r="S33" s="65"/>
      <c r="T33" s="65"/>
      <c r="U33" s="65"/>
      <c r="V33" s="65"/>
    </row>
    <row r="34" spans="1:22" s="66" customFormat="1" ht="108" x14ac:dyDescent="0.3">
      <c r="A34" s="108" t="s">
        <v>9</v>
      </c>
      <c r="B34" s="108" t="s">
        <v>100</v>
      </c>
      <c r="C34" s="108" t="s">
        <v>10</v>
      </c>
      <c r="D34" s="108">
        <v>1</v>
      </c>
      <c r="E34" s="108" t="s">
        <v>1321</v>
      </c>
      <c r="F34" s="108" t="s">
        <v>1084</v>
      </c>
      <c r="G34" s="108" t="s">
        <v>1085</v>
      </c>
      <c r="H34" s="108" t="s">
        <v>1071</v>
      </c>
      <c r="I34" s="108" t="s">
        <v>1086</v>
      </c>
      <c r="J34" s="108">
        <v>0</v>
      </c>
      <c r="K34" s="111"/>
      <c r="L34" s="108" t="s">
        <v>103</v>
      </c>
      <c r="M34" s="108" t="s">
        <v>1083</v>
      </c>
      <c r="N34" s="112" t="s">
        <v>576</v>
      </c>
      <c r="O34" s="108"/>
      <c r="P34" s="108"/>
      <c r="Q34" s="65"/>
      <c r="R34" s="65"/>
      <c r="S34" s="65"/>
      <c r="T34" s="65"/>
      <c r="U34" s="65"/>
      <c r="V34" s="65"/>
    </row>
    <row r="35" spans="1:22" ht="208.5" customHeight="1" x14ac:dyDescent="0.3">
      <c r="A35" s="108" t="s">
        <v>9</v>
      </c>
      <c r="B35" s="108" t="s">
        <v>1064</v>
      </c>
      <c r="C35" s="108" t="s">
        <v>10</v>
      </c>
      <c r="D35" s="108">
        <v>1</v>
      </c>
      <c r="E35" s="108" t="s">
        <v>1358</v>
      </c>
      <c r="F35" s="108" t="s">
        <v>1626</v>
      </c>
      <c r="G35" s="108" t="s">
        <v>1192</v>
      </c>
      <c r="H35" s="108" t="s">
        <v>865</v>
      </c>
      <c r="I35" s="108" t="s">
        <v>1212</v>
      </c>
      <c r="J35" s="108">
        <v>1</v>
      </c>
      <c r="K35" s="111" t="s">
        <v>246</v>
      </c>
      <c r="L35" s="108" t="s">
        <v>1589</v>
      </c>
      <c r="M35" s="108" t="s">
        <v>1087</v>
      </c>
      <c r="N35" s="112" t="s">
        <v>593</v>
      </c>
      <c r="O35" s="108" t="s">
        <v>164</v>
      </c>
      <c r="P35" s="108" t="s">
        <v>1088</v>
      </c>
      <c r="Q35" s="47"/>
      <c r="R35" s="47"/>
      <c r="S35" s="47"/>
      <c r="T35" s="47"/>
      <c r="U35" s="47"/>
      <c r="V35" s="47"/>
    </row>
    <row r="36" spans="1:22" ht="168" customHeight="1" x14ac:dyDescent="0.3">
      <c r="A36" s="108" t="s">
        <v>9</v>
      </c>
      <c r="B36" s="108" t="s">
        <v>1064</v>
      </c>
      <c r="C36" s="108" t="s">
        <v>10</v>
      </c>
      <c r="D36" s="108">
        <v>1</v>
      </c>
      <c r="E36" s="108" t="s">
        <v>1359</v>
      </c>
      <c r="F36" s="108" t="s">
        <v>1089</v>
      </c>
      <c r="G36" s="108" t="s">
        <v>1090</v>
      </c>
      <c r="H36" s="108" t="s">
        <v>1091</v>
      </c>
      <c r="I36" s="108" t="s">
        <v>1627</v>
      </c>
      <c r="J36" s="108">
        <v>1</v>
      </c>
      <c r="K36" s="111" t="s">
        <v>248</v>
      </c>
      <c r="L36" s="108" t="s">
        <v>175</v>
      </c>
      <c r="M36" s="108" t="s">
        <v>1092</v>
      </c>
      <c r="N36" s="112" t="s">
        <v>594</v>
      </c>
      <c r="O36" s="108"/>
      <c r="P36" s="108"/>
      <c r="Q36" s="47"/>
      <c r="R36" s="47"/>
      <c r="S36" s="47"/>
      <c r="T36" s="47"/>
      <c r="U36" s="47"/>
      <c r="V36" s="47"/>
    </row>
    <row r="37" spans="1:22" ht="93.2" customHeight="1" x14ac:dyDescent="0.3">
      <c r="A37" s="108" t="s">
        <v>9</v>
      </c>
      <c r="B37" s="108" t="s">
        <v>1064</v>
      </c>
      <c r="C37" s="108" t="s">
        <v>10</v>
      </c>
      <c r="D37" s="108">
        <v>1</v>
      </c>
      <c r="E37" s="108" t="s">
        <v>1360</v>
      </c>
      <c r="F37" s="108" t="s">
        <v>1480</v>
      </c>
      <c r="G37" s="108" t="s">
        <v>1093</v>
      </c>
      <c r="H37" s="108" t="s">
        <v>1193</v>
      </c>
      <c r="I37" s="108" t="s">
        <v>1213</v>
      </c>
      <c r="J37" s="108">
        <v>1</v>
      </c>
      <c r="K37" s="111" t="s">
        <v>376</v>
      </c>
      <c r="L37" s="108" t="s">
        <v>1591</v>
      </c>
      <c r="M37" s="108" t="s">
        <v>1094</v>
      </c>
      <c r="N37" s="112" t="s">
        <v>594</v>
      </c>
      <c r="O37" s="108"/>
      <c r="P37" s="108"/>
      <c r="Q37" s="47"/>
      <c r="R37" s="47"/>
      <c r="S37" s="47"/>
      <c r="T37" s="47"/>
      <c r="U37" s="47"/>
      <c r="V37" s="47"/>
    </row>
    <row r="38" spans="1:22" ht="264" customHeight="1" x14ac:dyDescent="0.3">
      <c r="A38" s="108" t="s">
        <v>9</v>
      </c>
      <c r="B38" s="108" t="s">
        <v>1064</v>
      </c>
      <c r="C38" s="108" t="s">
        <v>10</v>
      </c>
      <c r="D38" s="108">
        <v>1</v>
      </c>
      <c r="E38" s="108" t="s">
        <v>1361</v>
      </c>
      <c r="F38" s="108" t="s">
        <v>1481</v>
      </c>
      <c r="G38" s="108" t="s">
        <v>1628</v>
      </c>
      <c r="H38" s="108" t="s">
        <v>1178</v>
      </c>
      <c r="I38" s="108" t="s">
        <v>1214</v>
      </c>
      <c r="J38" s="108">
        <v>1</v>
      </c>
      <c r="K38" s="111" t="s">
        <v>377</v>
      </c>
      <c r="L38" s="108" t="s">
        <v>1588</v>
      </c>
      <c r="M38" s="108" t="s">
        <v>1095</v>
      </c>
      <c r="N38" s="112" t="s">
        <v>594</v>
      </c>
      <c r="O38" s="108"/>
      <c r="P38" s="108"/>
      <c r="Q38" s="47"/>
      <c r="R38" s="47"/>
      <c r="S38" s="47"/>
      <c r="T38" s="47"/>
      <c r="U38" s="47"/>
      <c r="V38" s="47"/>
    </row>
    <row r="39" spans="1:22" ht="121.5" x14ac:dyDescent="0.3">
      <c r="A39" s="108" t="s">
        <v>9</v>
      </c>
      <c r="B39" s="108" t="s">
        <v>1064</v>
      </c>
      <c r="C39" s="108" t="s">
        <v>10</v>
      </c>
      <c r="D39" s="108">
        <v>1</v>
      </c>
      <c r="E39" s="108" t="s">
        <v>1362</v>
      </c>
      <c r="F39" s="108" t="s">
        <v>1482</v>
      </c>
      <c r="G39" s="108" t="s">
        <v>753</v>
      </c>
      <c r="H39" s="108" t="s">
        <v>1179</v>
      </c>
      <c r="I39" s="108" t="s">
        <v>1180</v>
      </c>
      <c r="J39" s="108">
        <v>1</v>
      </c>
      <c r="K39" s="111" t="s">
        <v>1096</v>
      </c>
      <c r="L39" s="108" t="s">
        <v>175</v>
      </c>
      <c r="M39" s="108" t="s">
        <v>1097</v>
      </c>
      <c r="N39" s="112" t="s">
        <v>594</v>
      </c>
      <c r="O39" s="108"/>
      <c r="P39" s="108"/>
      <c r="Q39" s="47"/>
      <c r="R39" s="47"/>
      <c r="S39" s="47"/>
      <c r="T39" s="47"/>
      <c r="U39" s="47"/>
      <c r="V39" s="47"/>
    </row>
    <row r="40" spans="1:22" ht="159" customHeight="1" x14ac:dyDescent="0.3">
      <c r="A40" s="108" t="s">
        <v>9</v>
      </c>
      <c r="B40" s="108" t="s">
        <v>1064</v>
      </c>
      <c r="C40" s="108" t="s">
        <v>10</v>
      </c>
      <c r="D40" s="108">
        <v>1</v>
      </c>
      <c r="E40" s="108" t="s">
        <v>1363</v>
      </c>
      <c r="F40" s="108" t="s">
        <v>1496</v>
      </c>
      <c r="G40" s="108" t="s">
        <v>1098</v>
      </c>
      <c r="H40" s="108" t="s">
        <v>1194</v>
      </c>
      <c r="I40" s="108" t="s">
        <v>1497</v>
      </c>
      <c r="J40" s="108">
        <v>1</v>
      </c>
      <c r="K40" s="111" t="s">
        <v>1099</v>
      </c>
      <c r="L40" s="108" t="s">
        <v>175</v>
      </c>
      <c r="M40" s="115" t="s">
        <v>1100</v>
      </c>
      <c r="N40" s="116" t="s">
        <v>595</v>
      </c>
      <c r="O40" s="108"/>
      <c r="P40" s="108"/>
      <c r="Q40" s="47"/>
      <c r="R40" s="47"/>
      <c r="S40" s="47"/>
      <c r="T40" s="47"/>
      <c r="U40" s="47"/>
      <c r="V40" s="47"/>
    </row>
    <row r="41" spans="1:22" ht="128.25" customHeight="1" x14ac:dyDescent="0.3">
      <c r="A41" s="108" t="s">
        <v>9</v>
      </c>
      <c r="B41" s="108" t="s">
        <v>1101</v>
      </c>
      <c r="C41" s="108" t="s">
        <v>10</v>
      </c>
      <c r="D41" s="108">
        <v>1</v>
      </c>
      <c r="E41" s="108" t="s">
        <v>1364</v>
      </c>
      <c r="F41" s="108" t="s">
        <v>1483</v>
      </c>
      <c r="G41" s="108" t="s">
        <v>1102</v>
      </c>
      <c r="H41" s="108" t="s">
        <v>864</v>
      </c>
      <c r="I41" s="108" t="s">
        <v>1215</v>
      </c>
      <c r="J41" s="108">
        <v>1</v>
      </c>
      <c r="K41" s="111" t="s">
        <v>378</v>
      </c>
      <c r="L41" s="108" t="s">
        <v>1588</v>
      </c>
      <c r="M41" s="108" t="s">
        <v>1103</v>
      </c>
      <c r="N41" s="112" t="s">
        <v>596</v>
      </c>
      <c r="O41" s="108"/>
      <c r="P41" s="108"/>
      <c r="Q41" s="47"/>
      <c r="R41" s="47"/>
      <c r="S41" s="47"/>
      <c r="T41" s="47"/>
      <c r="U41" s="47"/>
      <c r="V41" s="47"/>
    </row>
    <row r="42" spans="1:22" ht="133.5" customHeight="1" x14ac:dyDescent="0.3">
      <c r="A42" s="108" t="s">
        <v>9</v>
      </c>
      <c r="B42" s="108" t="s">
        <v>1064</v>
      </c>
      <c r="C42" s="108" t="s">
        <v>10</v>
      </c>
      <c r="D42" s="108">
        <v>1</v>
      </c>
      <c r="E42" s="108" t="s">
        <v>1365</v>
      </c>
      <c r="F42" s="108" t="s">
        <v>1629</v>
      </c>
      <c r="G42" s="108" t="s">
        <v>754</v>
      </c>
      <c r="H42" s="108" t="s">
        <v>1104</v>
      </c>
      <c r="I42" s="108" t="s">
        <v>1216</v>
      </c>
      <c r="J42" s="108">
        <v>1</v>
      </c>
      <c r="K42" s="111" t="s">
        <v>1105</v>
      </c>
      <c r="L42" s="108" t="s">
        <v>1592</v>
      </c>
      <c r="M42" s="115" t="s">
        <v>1106</v>
      </c>
      <c r="N42" s="116" t="s">
        <v>596</v>
      </c>
      <c r="O42" s="108"/>
      <c r="P42" s="108"/>
      <c r="Q42" s="47"/>
      <c r="R42" s="47"/>
      <c r="S42" s="47"/>
      <c r="T42" s="47"/>
      <c r="U42" s="47"/>
      <c r="V42" s="47"/>
    </row>
    <row r="43" spans="1:22" ht="148.5" x14ac:dyDescent="0.3">
      <c r="A43" s="108" t="s">
        <v>9</v>
      </c>
      <c r="B43" s="108" t="s">
        <v>1064</v>
      </c>
      <c r="C43" s="108" t="s">
        <v>10</v>
      </c>
      <c r="D43" s="108">
        <v>1</v>
      </c>
      <c r="E43" s="108" t="s">
        <v>1366</v>
      </c>
      <c r="F43" s="108" t="s">
        <v>1107</v>
      </c>
      <c r="G43" s="108" t="s">
        <v>755</v>
      </c>
      <c r="H43" s="108" t="s">
        <v>1181</v>
      </c>
      <c r="I43" s="108" t="s">
        <v>1217</v>
      </c>
      <c r="J43" s="108">
        <v>1</v>
      </c>
      <c r="K43" s="111" t="s">
        <v>379</v>
      </c>
      <c r="L43" s="108" t="s">
        <v>1593</v>
      </c>
      <c r="M43" s="115" t="s">
        <v>1108</v>
      </c>
      <c r="N43" s="116" t="s">
        <v>597</v>
      </c>
      <c r="O43" s="108"/>
      <c r="P43" s="108"/>
      <c r="Q43" s="47"/>
      <c r="R43" s="47"/>
      <c r="S43" s="47"/>
      <c r="T43" s="47"/>
      <c r="U43" s="47"/>
      <c r="V43" s="47"/>
    </row>
    <row r="44" spans="1:22" ht="214.5" customHeight="1" x14ac:dyDescent="0.3">
      <c r="A44" s="108" t="s">
        <v>9</v>
      </c>
      <c r="B44" s="108" t="s">
        <v>1064</v>
      </c>
      <c r="C44" s="108" t="s">
        <v>10</v>
      </c>
      <c r="D44" s="108">
        <v>1</v>
      </c>
      <c r="E44" s="108" t="s">
        <v>1367</v>
      </c>
      <c r="F44" s="108" t="s">
        <v>1109</v>
      </c>
      <c r="G44" s="108" t="s">
        <v>756</v>
      </c>
      <c r="H44" s="108" t="s">
        <v>1182</v>
      </c>
      <c r="I44" s="108" t="s">
        <v>1218</v>
      </c>
      <c r="J44" s="108">
        <v>1</v>
      </c>
      <c r="K44" s="111" t="s">
        <v>380</v>
      </c>
      <c r="L44" s="108" t="s">
        <v>1594</v>
      </c>
      <c r="M44" s="108" t="s">
        <v>1110</v>
      </c>
      <c r="N44" s="112" t="s">
        <v>597</v>
      </c>
      <c r="O44" s="108"/>
      <c r="P44" s="108"/>
      <c r="Q44" s="47"/>
      <c r="R44" s="47"/>
      <c r="S44" s="47"/>
      <c r="T44" s="47"/>
      <c r="U44" s="47"/>
      <c r="V44" s="47"/>
    </row>
    <row r="45" spans="1:22" ht="148.5" x14ac:dyDescent="0.3">
      <c r="A45" s="108" t="s">
        <v>9</v>
      </c>
      <c r="B45" s="108" t="s">
        <v>1064</v>
      </c>
      <c r="C45" s="108" t="s">
        <v>10</v>
      </c>
      <c r="D45" s="108">
        <v>1</v>
      </c>
      <c r="E45" s="108" t="s">
        <v>1368</v>
      </c>
      <c r="F45" s="108" t="s">
        <v>1274</v>
      </c>
      <c r="G45" s="108" t="s">
        <v>1111</v>
      </c>
      <c r="H45" s="108" t="s">
        <v>1183</v>
      </c>
      <c r="I45" s="108" t="s">
        <v>1219</v>
      </c>
      <c r="J45" s="108">
        <v>1</v>
      </c>
      <c r="K45" s="111" t="s">
        <v>1112</v>
      </c>
      <c r="L45" s="108" t="s">
        <v>175</v>
      </c>
      <c r="M45" s="117" t="s">
        <v>1113</v>
      </c>
      <c r="N45" s="112"/>
      <c r="O45" s="108"/>
      <c r="P45" s="108"/>
      <c r="Q45" s="47"/>
      <c r="R45" s="47"/>
      <c r="S45" s="47"/>
      <c r="T45" s="47"/>
      <c r="U45" s="47"/>
      <c r="V45" s="47"/>
    </row>
    <row r="46" spans="1:22" ht="185.25" customHeight="1" x14ac:dyDescent="0.3">
      <c r="A46" s="108" t="s">
        <v>9</v>
      </c>
      <c r="B46" s="108" t="s">
        <v>1114</v>
      </c>
      <c r="C46" s="108" t="s">
        <v>10</v>
      </c>
      <c r="D46" s="108">
        <v>1</v>
      </c>
      <c r="E46" s="108" t="s">
        <v>1328</v>
      </c>
      <c r="F46" s="108" t="s">
        <v>1115</v>
      </c>
      <c r="G46" s="108" t="s">
        <v>1116</v>
      </c>
      <c r="H46" s="108" t="s">
        <v>1184</v>
      </c>
      <c r="I46" s="108" t="s">
        <v>1117</v>
      </c>
      <c r="J46" s="108">
        <v>0</v>
      </c>
      <c r="K46" s="111" t="s">
        <v>247</v>
      </c>
      <c r="L46" s="108" t="s">
        <v>961</v>
      </c>
      <c r="M46" s="108" t="s">
        <v>1118</v>
      </c>
      <c r="N46" s="112" t="s">
        <v>1119</v>
      </c>
      <c r="O46" s="108" t="s">
        <v>1120</v>
      </c>
      <c r="P46" s="118" t="s">
        <v>1121</v>
      </c>
      <c r="Q46" s="47"/>
      <c r="R46" s="47"/>
      <c r="S46" s="47"/>
      <c r="T46" s="47"/>
      <c r="U46" s="47"/>
      <c r="V46" s="47"/>
    </row>
    <row r="47" spans="1:22" ht="148.5" x14ac:dyDescent="0.3">
      <c r="A47" s="108" t="s">
        <v>9</v>
      </c>
      <c r="B47" s="108" t="s">
        <v>1114</v>
      </c>
      <c r="C47" s="108" t="s">
        <v>10</v>
      </c>
      <c r="D47" s="108">
        <v>1</v>
      </c>
      <c r="E47" s="108" t="s">
        <v>1329</v>
      </c>
      <c r="F47" s="108" t="s">
        <v>1455</v>
      </c>
      <c r="G47" s="108" t="s">
        <v>1122</v>
      </c>
      <c r="H47" s="108" t="s">
        <v>1185</v>
      </c>
      <c r="I47" s="108" t="s">
        <v>1123</v>
      </c>
      <c r="J47" s="108">
        <v>1</v>
      </c>
      <c r="K47" s="111" t="s">
        <v>367</v>
      </c>
      <c r="L47" s="108" t="s">
        <v>175</v>
      </c>
      <c r="M47" s="108" t="s">
        <v>1124</v>
      </c>
      <c r="N47" s="112" t="s">
        <v>1119</v>
      </c>
      <c r="O47" s="108"/>
      <c r="P47" s="108"/>
      <c r="Q47" s="47"/>
      <c r="R47" s="47"/>
      <c r="S47" s="47"/>
      <c r="T47" s="47"/>
      <c r="U47" s="47"/>
      <c r="V47" s="47"/>
    </row>
    <row r="48" spans="1:22" s="58" customFormat="1" ht="180.75" customHeight="1" x14ac:dyDescent="0.3">
      <c r="A48" s="108" t="s">
        <v>9</v>
      </c>
      <c r="B48" s="108" t="s">
        <v>1125</v>
      </c>
      <c r="C48" s="108" t="s">
        <v>10</v>
      </c>
      <c r="D48" s="108">
        <v>1</v>
      </c>
      <c r="E48" s="108" t="s">
        <v>1330</v>
      </c>
      <c r="F48" s="108" t="s">
        <v>1275</v>
      </c>
      <c r="G48" s="108" t="s">
        <v>1126</v>
      </c>
      <c r="H48" s="108" t="s">
        <v>1127</v>
      </c>
      <c r="I48" s="108" t="s">
        <v>1128</v>
      </c>
      <c r="J48" s="108">
        <v>0</v>
      </c>
      <c r="K48" s="108" t="s">
        <v>1129</v>
      </c>
      <c r="L48" s="108" t="s">
        <v>961</v>
      </c>
      <c r="M48" s="108" t="s">
        <v>1130</v>
      </c>
      <c r="N48" s="108"/>
      <c r="O48" s="108"/>
      <c r="P48" s="112"/>
      <c r="Q48" s="57"/>
      <c r="R48" s="57"/>
      <c r="S48" s="57"/>
      <c r="T48" s="57"/>
    </row>
    <row r="49" spans="1:22" ht="218.25" customHeight="1" x14ac:dyDescent="0.3">
      <c r="A49" s="108" t="s">
        <v>9</v>
      </c>
      <c r="B49" s="108" t="s">
        <v>1114</v>
      </c>
      <c r="C49" s="108" t="s">
        <v>10</v>
      </c>
      <c r="D49" s="108">
        <v>1</v>
      </c>
      <c r="E49" s="108" t="s">
        <v>1369</v>
      </c>
      <c r="F49" s="108" t="s">
        <v>1630</v>
      </c>
      <c r="G49" s="108" t="s">
        <v>1631</v>
      </c>
      <c r="H49" s="108" t="s">
        <v>1632</v>
      </c>
      <c r="I49" s="108" t="s">
        <v>1220</v>
      </c>
      <c r="J49" s="108">
        <v>1</v>
      </c>
      <c r="K49" s="111" t="s">
        <v>374</v>
      </c>
      <c r="L49" s="108" t="s">
        <v>175</v>
      </c>
      <c r="M49" s="108" t="s">
        <v>1131</v>
      </c>
      <c r="N49" s="112" t="s">
        <v>598</v>
      </c>
      <c r="O49" s="108"/>
      <c r="P49" s="108"/>
      <c r="Q49" s="47"/>
      <c r="R49" s="47"/>
      <c r="S49" s="47"/>
      <c r="T49" s="47"/>
      <c r="U49" s="47"/>
      <c r="V49" s="47"/>
    </row>
    <row r="50" spans="1:22" ht="81" x14ac:dyDescent="0.3">
      <c r="A50" s="108" t="s">
        <v>9</v>
      </c>
      <c r="B50" s="108" t="s">
        <v>1114</v>
      </c>
      <c r="C50" s="108" t="s">
        <v>10</v>
      </c>
      <c r="D50" s="108">
        <v>1</v>
      </c>
      <c r="E50" s="108" t="s">
        <v>1370</v>
      </c>
      <c r="F50" s="108" t="s">
        <v>1115</v>
      </c>
      <c r="G50" s="108" t="s">
        <v>757</v>
      </c>
      <c r="H50" s="108" t="s">
        <v>1186</v>
      </c>
      <c r="I50" s="108" t="s">
        <v>1221</v>
      </c>
      <c r="J50" s="108">
        <v>1</v>
      </c>
      <c r="K50" s="111" t="s">
        <v>375</v>
      </c>
      <c r="L50" s="108" t="s">
        <v>1589</v>
      </c>
      <c r="M50" s="108" t="s">
        <v>1132</v>
      </c>
      <c r="N50" s="112" t="s">
        <v>599</v>
      </c>
      <c r="O50" s="108"/>
      <c r="P50" s="108"/>
      <c r="Q50" s="47"/>
      <c r="R50" s="47"/>
      <c r="S50" s="47"/>
      <c r="T50" s="47"/>
      <c r="U50" s="47"/>
      <c r="V50" s="47"/>
    </row>
    <row r="51" spans="1:22" ht="149.25" customHeight="1" x14ac:dyDescent="0.3">
      <c r="A51" s="108" t="s">
        <v>9</v>
      </c>
      <c r="B51" s="108" t="s">
        <v>1114</v>
      </c>
      <c r="C51" s="108" t="s">
        <v>10</v>
      </c>
      <c r="D51" s="108">
        <v>1</v>
      </c>
      <c r="E51" s="108" t="s">
        <v>1371</v>
      </c>
      <c r="F51" s="108" t="s">
        <v>1633</v>
      </c>
      <c r="G51" s="108" t="s">
        <v>1133</v>
      </c>
      <c r="H51" s="108" t="s">
        <v>1187</v>
      </c>
      <c r="I51" s="108" t="s">
        <v>1222</v>
      </c>
      <c r="J51" s="108">
        <v>1</v>
      </c>
      <c r="K51" s="111" t="s">
        <v>384</v>
      </c>
      <c r="L51" s="108" t="s">
        <v>1594</v>
      </c>
      <c r="M51" s="108" t="s">
        <v>1134</v>
      </c>
      <c r="N51" s="112" t="s">
        <v>599</v>
      </c>
      <c r="O51" s="108"/>
      <c r="P51" s="108"/>
      <c r="Q51" s="47"/>
      <c r="R51" s="47"/>
      <c r="S51" s="47"/>
      <c r="T51" s="47"/>
      <c r="U51" s="47"/>
      <c r="V51" s="47"/>
    </row>
    <row r="52" spans="1:22" ht="135" x14ac:dyDescent="0.3">
      <c r="A52" s="108" t="s">
        <v>9</v>
      </c>
      <c r="B52" s="108" t="s">
        <v>1114</v>
      </c>
      <c r="C52" s="108" t="s">
        <v>10</v>
      </c>
      <c r="D52" s="108">
        <v>1</v>
      </c>
      <c r="E52" s="130" t="s">
        <v>1484</v>
      </c>
      <c r="F52" s="108" t="s">
        <v>1276</v>
      </c>
      <c r="G52" s="108" t="s">
        <v>758</v>
      </c>
      <c r="H52" s="108" t="s">
        <v>1190</v>
      </c>
      <c r="I52" s="108" t="s">
        <v>1498</v>
      </c>
      <c r="J52" s="108">
        <v>1</v>
      </c>
      <c r="K52" s="111" t="s">
        <v>1485</v>
      </c>
      <c r="L52" s="108" t="s">
        <v>1594</v>
      </c>
      <c r="M52" s="108" t="s">
        <v>1147</v>
      </c>
      <c r="N52" s="112" t="s">
        <v>601</v>
      </c>
      <c r="O52" s="108"/>
      <c r="P52" s="108"/>
      <c r="Q52" s="47"/>
      <c r="R52" s="47"/>
      <c r="S52" s="47"/>
      <c r="T52" s="47"/>
      <c r="U52" s="47"/>
      <c r="V52" s="47"/>
    </row>
    <row r="53" spans="1:22" ht="81" x14ac:dyDescent="0.3">
      <c r="A53" s="108" t="s">
        <v>9</v>
      </c>
      <c r="B53" s="131" t="s">
        <v>1446</v>
      </c>
      <c r="C53" s="108" t="s">
        <v>10</v>
      </c>
      <c r="D53" s="108">
        <v>1</v>
      </c>
      <c r="E53" s="130" t="s">
        <v>1434</v>
      </c>
      <c r="F53" s="108" t="s">
        <v>23</v>
      </c>
      <c r="G53" s="108" t="s">
        <v>1135</v>
      </c>
      <c r="H53" s="108" t="s">
        <v>1195</v>
      </c>
      <c r="I53" s="108" t="s">
        <v>1136</v>
      </c>
      <c r="J53" s="108">
        <v>1</v>
      </c>
      <c r="K53" s="136" t="s">
        <v>1617</v>
      </c>
      <c r="L53" s="108" t="s">
        <v>175</v>
      </c>
      <c r="M53" s="108" t="s">
        <v>1137</v>
      </c>
      <c r="N53" s="112" t="s">
        <v>600</v>
      </c>
      <c r="O53" s="108"/>
      <c r="P53" s="108" t="s">
        <v>1616</v>
      </c>
      <c r="Q53" s="47"/>
      <c r="R53" s="47"/>
      <c r="S53" s="47"/>
      <c r="T53" s="47"/>
      <c r="U53" s="47"/>
      <c r="V53" s="47"/>
    </row>
    <row r="54" spans="1:22" ht="81" x14ac:dyDescent="0.3">
      <c r="A54" s="108" t="s">
        <v>9</v>
      </c>
      <c r="B54" s="131" t="s">
        <v>1446</v>
      </c>
      <c r="C54" s="108" t="s">
        <v>10</v>
      </c>
      <c r="D54" s="108">
        <v>1</v>
      </c>
      <c r="E54" s="130" t="s">
        <v>1435</v>
      </c>
      <c r="F54" s="108" t="s">
        <v>24</v>
      </c>
      <c r="G54" s="108" t="s">
        <v>1138</v>
      </c>
      <c r="H54" s="108" t="s">
        <v>1188</v>
      </c>
      <c r="I54" s="108" t="s">
        <v>1139</v>
      </c>
      <c r="J54" s="108">
        <v>1</v>
      </c>
      <c r="K54" s="111" t="s">
        <v>1140</v>
      </c>
      <c r="L54" s="108" t="s">
        <v>175</v>
      </c>
      <c r="M54" s="108" t="s">
        <v>1141</v>
      </c>
      <c r="N54" s="112" t="s">
        <v>600</v>
      </c>
      <c r="O54" s="108"/>
      <c r="P54" s="108" t="s">
        <v>466</v>
      </c>
      <c r="Q54" s="47"/>
      <c r="R54" s="47"/>
      <c r="S54" s="47"/>
      <c r="T54" s="47"/>
      <c r="U54" s="47"/>
      <c r="V54" s="47"/>
    </row>
    <row r="55" spans="1:22" ht="148.5" x14ac:dyDescent="0.3">
      <c r="A55" s="108" t="s">
        <v>9</v>
      </c>
      <c r="B55" s="131" t="s">
        <v>1446</v>
      </c>
      <c r="C55" s="108" t="s">
        <v>10</v>
      </c>
      <c r="D55" s="108">
        <v>1</v>
      </c>
      <c r="E55" s="130" t="s">
        <v>1436</v>
      </c>
      <c r="F55" s="108" t="s">
        <v>1142</v>
      </c>
      <c r="G55" s="108" t="s">
        <v>1143</v>
      </c>
      <c r="H55" s="108" t="s">
        <v>1189</v>
      </c>
      <c r="I55" s="108" t="s">
        <v>1144</v>
      </c>
      <c r="J55" s="108">
        <v>0</v>
      </c>
      <c r="K55" s="111" t="s">
        <v>1145</v>
      </c>
      <c r="L55" s="108" t="s">
        <v>1004</v>
      </c>
      <c r="M55" s="108" t="s">
        <v>1146</v>
      </c>
      <c r="N55" s="112" t="s">
        <v>744</v>
      </c>
      <c r="O55" s="108"/>
      <c r="P55" s="108"/>
      <c r="Q55" s="47"/>
      <c r="R55" s="47"/>
      <c r="S55" s="47"/>
      <c r="T55" s="47"/>
      <c r="U55" s="47"/>
      <c r="V55" s="47"/>
    </row>
    <row r="56" spans="1:22" s="58" customFormat="1" ht="122.25" customHeight="1" x14ac:dyDescent="0.3">
      <c r="A56" s="108" t="s">
        <v>9</v>
      </c>
      <c r="B56" s="108" t="s">
        <v>997</v>
      </c>
      <c r="C56" s="108" t="s">
        <v>10</v>
      </c>
      <c r="D56" s="108">
        <v>1</v>
      </c>
      <c r="E56" s="130" t="s">
        <v>1437</v>
      </c>
      <c r="F56" s="108" t="s">
        <v>1277</v>
      </c>
      <c r="G56" s="108" t="s">
        <v>1148</v>
      </c>
      <c r="H56" s="108" t="s">
        <v>1454</v>
      </c>
      <c r="I56" s="108" t="s">
        <v>1149</v>
      </c>
      <c r="J56" s="108">
        <v>0</v>
      </c>
      <c r="K56" s="111" t="s">
        <v>1150</v>
      </c>
      <c r="L56" s="108" t="s">
        <v>1156</v>
      </c>
      <c r="M56" s="108" t="s">
        <v>1151</v>
      </c>
      <c r="N56" s="108"/>
      <c r="O56" s="108"/>
      <c r="P56" s="112"/>
      <c r="Q56" s="57"/>
      <c r="R56" s="57"/>
      <c r="S56" s="57"/>
      <c r="T56" s="57"/>
    </row>
    <row r="57" spans="1:22" s="58" customFormat="1" ht="122.25" customHeight="1" x14ac:dyDescent="0.3">
      <c r="A57" s="108" t="s">
        <v>9</v>
      </c>
      <c r="B57" s="108" t="s">
        <v>1155</v>
      </c>
      <c r="C57" s="108" t="s">
        <v>10</v>
      </c>
      <c r="D57" s="108">
        <v>1</v>
      </c>
      <c r="E57" s="130" t="s">
        <v>1438</v>
      </c>
      <c r="F57" s="108" t="s">
        <v>1278</v>
      </c>
      <c r="G57" s="108" t="s">
        <v>1152</v>
      </c>
      <c r="H57" s="108" t="s">
        <v>495</v>
      </c>
      <c r="I57" s="108" t="s">
        <v>1153</v>
      </c>
      <c r="J57" s="108">
        <v>0</v>
      </c>
      <c r="K57" s="111"/>
      <c r="L57" s="108" t="s">
        <v>103</v>
      </c>
      <c r="M57" s="108" t="s">
        <v>1083</v>
      </c>
      <c r="N57" s="108"/>
      <c r="O57" s="108"/>
      <c r="P57" s="112"/>
      <c r="Q57" s="57"/>
      <c r="R57" s="57"/>
      <c r="S57" s="57"/>
      <c r="T57" s="57"/>
    </row>
    <row r="58" spans="1:22" x14ac:dyDescent="0.3">
      <c r="A58" s="47"/>
      <c r="B58" s="47"/>
      <c r="C58" s="47"/>
      <c r="D58" s="47"/>
      <c r="E58" s="50"/>
      <c r="F58" s="47"/>
      <c r="G58" s="47"/>
      <c r="H58" s="47"/>
      <c r="I58" s="47"/>
      <c r="J58" s="47"/>
      <c r="K58" s="47"/>
      <c r="L58" s="47"/>
      <c r="M58" s="47"/>
      <c r="N58" s="91"/>
      <c r="O58" s="47"/>
      <c r="P58" s="47"/>
      <c r="Q58" s="47"/>
      <c r="R58" s="47"/>
      <c r="S58" s="47"/>
      <c r="T58" s="47"/>
      <c r="U58" s="47"/>
      <c r="V58" s="47"/>
    </row>
    <row r="59" spans="1:22" x14ac:dyDescent="0.3">
      <c r="A59" s="47"/>
      <c r="B59" s="47"/>
      <c r="C59" s="47"/>
      <c r="D59" s="47"/>
      <c r="E59" s="50"/>
      <c r="F59" s="47"/>
      <c r="G59" s="47"/>
      <c r="H59" s="47"/>
      <c r="I59" s="47"/>
      <c r="J59" s="47"/>
      <c r="K59" s="47"/>
      <c r="L59" s="47"/>
      <c r="M59" s="47"/>
      <c r="N59" s="91"/>
      <c r="O59" s="47"/>
      <c r="P59" s="47"/>
      <c r="Q59" s="47"/>
      <c r="R59" s="47"/>
      <c r="S59" s="47"/>
      <c r="T59" s="47"/>
      <c r="U59" s="47"/>
      <c r="V59" s="47"/>
    </row>
    <row r="60" spans="1:22" x14ac:dyDescent="0.3">
      <c r="A60" s="47"/>
      <c r="B60" s="47"/>
      <c r="C60" s="47"/>
      <c r="D60" s="47"/>
      <c r="E60" s="50"/>
      <c r="F60" s="47"/>
      <c r="G60" s="47"/>
      <c r="H60" s="47"/>
      <c r="I60" s="47"/>
      <c r="J60" s="47"/>
      <c r="K60" s="47"/>
      <c r="L60" s="47"/>
      <c r="M60" s="47"/>
      <c r="N60" s="91"/>
      <c r="O60" s="47"/>
      <c r="P60" s="47"/>
      <c r="Q60" s="47"/>
      <c r="R60" s="47"/>
      <c r="S60" s="47"/>
      <c r="T60" s="47"/>
      <c r="U60" s="47"/>
      <c r="V60" s="47"/>
    </row>
    <row r="61" spans="1:22" x14ac:dyDescent="0.3">
      <c r="A61" s="47"/>
      <c r="B61" s="47"/>
      <c r="C61" s="47"/>
      <c r="D61" s="47"/>
      <c r="E61" s="50"/>
      <c r="F61" s="47"/>
      <c r="G61" s="47"/>
      <c r="H61" s="47"/>
      <c r="I61" s="47"/>
      <c r="J61" s="47"/>
      <c r="K61" s="47"/>
      <c r="L61" s="47"/>
      <c r="M61" s="47"/>
      <c r="N61" s="91"/>
      <c r="O61" s="47"/>
      <c r="P61" s="47"/>
      <c r="Q61" s="47"/>
      <c r="R61" s="47"/>
      <c r="S61" s="47"/>
      <c r="T61" s="47"/>
      <c r="U61" s="47"/>
      <c r="V61" s="47"/>
    </row>
    <row r="62" spans="1:22" x14ac:dyDescent="0.3">
      <c r="A62" s="47"/>
      <c r="B62" s="47"/>
      <c r="C62" s="47"/>
      <c r="D62" s="47"/>
      <c r="E62" s="50"/>
      <c r="F62" s="47"/>
      <c r="G62" s="47"/>
      <c r="H62" s="47"/>
      <c r="I62" s="47"/>
      <c r="J62" s="47"/>
      <c r="K62" s="47"/>
      <c r="L62" s="47"/>
      <c r="M62" s="47"/>
      <c r="N62" s="91"/>
      <c r="O62" s="47"/>
      <c r="P62" s="47"/>
      <c r="Q62" s="47"/>
      <c r="R62" s="47"/>
      <c r="S62" s="47"/>
      <c r="T62" s="47"/>
      <c r="U62" s="47"/>
      <c r="V62" s="47"/>
    </row>
    <row r="63" spans="1:22" x14ac:dyDescent="0.3">
      <c r="A63" s="47"/>
      <c r="B63" s="47"/>
      <c r="C63" s="47"/>
      <c r="D63" s="47"/>
      <c r="E63" s="50"/>
      <c r="F63" s="47"/>
      <c r="G63" s="47"/>
      <c r="H63" s="47"/>
      <c r="I63" s="47"/>
      <c r="J63" s="47"/>
      <c r="K63" s="47"/>
      <c r="L63" s="47"/>
      <c r="M63" s="47"/>
      <c r="N63" s="91"/>
      <c r="O63" s="47"/>
      <c r="P63" s="47"/>
      <c r="Q63" s="47"/>
      <c r="R63" s="47"/>
      <c r="S63" s="47"/>
      <c r="T63" s="47"/>
      <c r="U63" s="47"/>
      <c r="V63" s="47"/>
    </row>
    <row r="64" spans="1:22" x14ac:dyDescent="0.3">
      <c r="A64" s="47"/>
      <c r="B64" s="47"/>
      <c r="C64" s="47"/>
      <c r="D64" s="47"/>
      <c r="E64" s="50"/>
      <c r="F64" s="47"/>
      <c r="G64" s="47"/>
      <c r="H64" s="47"/>
      <c r="I64" s="47"/>
      <c r="J64" s="47"/>
      <c r="K64" s="47"/>
      <c r="L64" s="47"/>
      <c r="M64" s="47"/>
      <c r="N64" s="91"/>
      <c r="O64" s="47"/>
      <c r="P64" s="47"/>
      <c r="Q64" s="47"/>
      <c r="R64" s="47"/>
      <c r="S64" s="47"/>
      <c r="T64" s="47"/>
      <c r="U64" s="47"/>
      <c r="V64" s="47"/>
    </row>
    <row r="65" spans="1:22" x14ac:dyDescent="0.3">
      <c r="A65" s="47"/>
      <c r="B65" s="47"/>
      <c r="C65" s="47"/>
      <c r="D65" s="47"/>
      <c r="E65" s="50"/>
      <c r="F65" s="47"/>
      <c r="G65" s="47"/>
      <c r="H65" s="47"/>
      <c r="I65" s="47"/>
      <c r="J65" s="47"/>
      <c r="K65" s="47"/>
      <c r="L65" s="47"/>
      <c r="M65" s="47"/>
      <c r="N65" s="91"/>
      <c r="O65" s="47"/>
      <c r="P65" s="47"/>
      <c r="Q65" s="47"/>
      <c r="R65" s="47"/>
      <c r="S65" s="47"/>
      <c r="T65" s="47"/>
      <c r="U65" s="47"/>
      <c r="V65" s="47"/>
    </row>
    <row r="66" spans="1:22" x14ac:dyDescent="0.3">
      <c r="A66" s="47"/>
      <c r="B66" s="47"/>
      <c r="C66" s="47"/>
      <c r="D66" s="47"/>
      <c r="E66" s="50"/>
      <c r="F66" s="47"/>
      <c r="G66" s="47"/>
      <c r="H66" s="47"/>
      <c r="I66" s="47"/>
      <c r="J66" s="47"/>
      <c r="K66" s="47"/>
      <c r="L66" s="47"/>
      <c r="M66" s="47"/>
      <c r="N66" s="91"/>
      <c r="O66" s="47"/>
      <c r="P66" s="47"/>
      <c r="Q66" s="47"/>
      <c r="R66" s="47"/>
      <c r="S66" s="47"/>
      <c r="T66" s="47"/>
      <c r="U66" s="47"/>
      <c r="V66" s="47"/>
    </row>
    <row r="67" spans="1:22" x14ac:dyDescent="0.3">
      <c r="A67" s="47"/>
      <c r="B67" s="47"/>
      <c r="C67" s="47"/>
      <c r="D67" s="47"/>
      <c r="E67" s="47"/>
      <c r="F67" s="47"/>
      <c r="G67" s="47"/>
      <c r="H67" s="47"/>
      <c r="I67" s="47"/>
      <c r="J67" s="47"/>
      <c r="K67" s="47"/>
      <c r="L67" s="47"/>
      <c r="M67" s="47"/>
      <c r="N67" s="91"/>
      <c r="O67" s="47"/>
      <c r="P67" s="47"/>
      <c r="Q67" s="47"/>
      <c r="R67" s="47"/>
      <c r="S67" s="47"/>
      <c r="T67" s="47"/>
      <c r="U67" s="47"/>
      <c r="V67" s="47"/>
    </row>
    <row r="68" spans="1:22" x14ac:dyDescent="0.3">
      <c r="A68" s="47"/>
      <c r="B68" s="47"/>
      <c r="C68" s="47"/>
      <c r="D68" s="47"/>
      <c r="E68" s="47"/>
      <c r="F68" s="47"/>
      <c r="G68" s="47"/>
      <c r="H68" s="47"/>
      <c r="I68" s="47"/>
      <c r="J68" s="47"/>
      <c r="K68" s="47"/>
      <c r="L68" s="47"/>
      <c r="M68" s="47"/>
      <c r="N68" s="91"/>
      <c r="O68" s="47"/>
      <c r="P68" s="47"/>
      <c r="Q68" s="47"/>
      <c r="R68" s="47"/>
      <c r="S68" s="47"/>
      <c r="T68" s="47"/>
      <c r="U68" s="47"/>
      <c r="V68" s="47"/>
    </row>
    <row r="69" spans="1:22" x14ac:dyDescent="0.3">
      <c r="A69" s="47"/>
      <c r="B69" s="47"/>
      <c r="C69" s="47"/>
      <c r="D69" s="47"/>
      <c r="E69" s="47"/>
      <c r="F69" s="47"/>
      <c r="G69" s="47"/>
      <c r="H69" s="47"/>
      <c r="I69" s="47"/>
      <c r="J69" s="47"/>
      <c r="K69" s="47"/>
      <c r="L69" s="47"/>
      <c r="M69" s="47"/>
      <c r="N69" s="91"/>
      <c r="O69" s="47"/>
      <c r="P69" s="47"/>
      <c r="Q69" s="47"/>
      <c r="R69" s="47"/>
      <c r="S69" s="47"/>
      <c r="T69" s="47"/>
      <c r="U69" s="47"/>
      <c r="V69" s="47"/>
    </row>
    <row r="70" spans="1:22" x14ac:dyDescent="0.3">
      <c r="A70" s="47"/>
      <c r="B70" s="47"/>
      <c r="C70" s="47"/>
      <c r="D70" s="47"/>
      <c r="E70" s="47"/>
      <c r="F70" s="47"/>
      <c r="G70" s="47"/>
      <c r="H70" s="47"/>
      <c r="I70" s="47"/>
      <c r="J70" s="47"/>
      <c r="K70" s="47"/>
      <c r="L70" s="47"/>
      <c r="M70" s="47"/>
      <c r="N70" s="91"/>
      <c r="O70" s="47"/>
      <c r="P70" s="47"/>
      <c r="Q70" s="47"/>
      <c r="R70" s="47"/>
      <c r="S70" s="47"/>
      <c r="T70" s="47"/>
      <c r="U70" s="47"/>
      <c r="V70" s="47"/>
    </row>
    <row r="71" spans="1:22" x14ac:dyDescent="0.3">
      <c r="A71" s="47"/>
      <c r="B71" s="47"/>
      <c r="C71" s="47"/>
      <c r="D71" s="47"/>
      <c r="E71" s="47"/>
      <c r="F71" s="47"/>
      <c r="G71" s="47"/>
      <c r="H71" s="47"/>
      <c r="I71" s="47"/>
      <c r="J71" s="47"/>
      <c r="K71" s="47"/>
      <c r="L71" s="47"/>
      <c r="M71" s="47"/>
      <c r="N71" s="91"/>
      <c r="O71" s="47"/>
      <c r="P71" s="47"/>
      <c r="Q71" s="47"/>
      <c r="R71" s="47"/>
      <c r="S71" s="47"/>
      <c r="T71" s="47"/>
      <c r="U71" s="47"/>
      <c r="V71" s="47"/>
    </row>
    <row r="72" spans="1:22" x14ac:dyDescent="0.3">
      <c r="A72" s="47"/>
      <c r="B72" s="47"/>
      <c r="C72" s="47"/>
      <c r="D72" s="47"/>
      <c r="E72" s="47"/>
      <c r="F72" s="47"/>
      <c r="G72" s="47"/>
      <c r="H72" s="47"/>
      <c r="I72" s="47"/>
      <c r="J72" s="47"/>
      <c r="K72" s="47"/>
      <c r="L72" s="47"/>
      <c r="M72" s="47"/>
      <c r="N72" s="91"/>
      <c r="O72" s="47"/>
      <c r="P72" s="47"/>
      <c r="Q72" s="47"/>
      <c r="R72" s="47"/>
      <c r="S72" s="47"/>
      <c r="T72" s="47"/>
      <c r="U72" s="47"/>
      <c r="V72" s="47"/>
    </row>
    <row r="73" spans="1:22" x14ac:dyDescent="0.3">
      <c r="A73" s="47"/>
      <c r="B73" s="47"/>
      <c r="C73" s="47"/>
      <c r="D73" s="47"/>
      <c r="E73" s="47"/>
      <c r="F73" s="47"/>
      <c r="G73" s="47"/>
      <c r="H73" s="47"/>
      <c r="I73" s="47"/>
      <c r="J73" s="47"/>
      <c r="K73" s="47"/>
      <c r="L73" s="47"/>
      <c r="M73" s="47"/>
      <c r="N73" s="91"/>
      <c r="O73" s="47"/>
      <c r="P73" s="47"/>
      <c r="Q73" s="47"/>
      <c r="R73" s="47"/>
      <c r="S73" s="47"/>
      <c r="T73" s="47"/>
      <c r="U73" s="47"/>
      <c r="V73" s="47"/>
    </row>
    <row r="74" spans="1:22" x14ac:dyDescent="0.3">
      <c r="A74" s="47"/>
      <c r="B74" s="47"/>
      <c r="C74" s="47"/>
      <c r="D74" s="47"/>
      <c r="E74" s="47"/>
      <c r="F74" s="47"/>
      <c r="G74" s="47"/>
      <c r="H74" s="47"/>
      <c r="I74" s="47"/>
      <c r="J74" s="47"/>
      <c r="K74" s="47"/>
      <c r="L74" s="47"/>
      <c r="M74" s="47"/>
      <c r="N74" s="91"/>
      <c r="O74" s="47"/>
      <c r="P74" s="47"/>
      <c r="Q74" s="47"/>
      <c r="R74" s="47"/>
      <c r="S74" s="47"/>
      <c r="T74" s="47"/>
      <c r="U74" s="47"/>
      <c r="V74" s="47"/>
    </row>
    <row r="75" spans="1:22" x14ac:dyDescent="0.3">
      <c r="A75" s="47"/>
      <c r="B75" s="47"/>
      <c r="C75" s="47"/>
      <c r="D75" s="47"/>
      <c r="E75" s="47"/>
      <c r="F75" s="47"/>
      <c r="G75" s="47"/>
      <c r="H75" s="47"/>
      <c r="I75" s="47"/>
      <c r="J75" s="47"/>
      <c r="K75" s="47"/>
      <c r="L75" s="47"/>
      <c r="M75" s="47"/>
      <c r="N75" s="91"/>
      <c r="O75" s="47"/>
      <c r="P75" s="47"/>
      <c r="Q75" s="47"/>
      <c r="R75" s="47"/>
      <c r="S75" s="47"/>
      <c r="T75" s="47"/>
      <c r="U75" s="47"/>
      <c r="V75" s="47"/>
    </row>
    <row r="76" spans="1:22" x14ac:dyDescent="0.3">
      <c r="A76" s="47"/>
      <c r="B76" s="47"/>
      <c r="C76" s="47"/>
      <c r="D76" s="47"/>
      <c r="E76" s="47"/>
      <c r="F76" s="47"/>
      <c r="G76" s="47"/>
      <c r="H76" s="47"/>
      <c r="I76" s="47"/>
      <c r="J76" s="47"/>
      <c r="K76" s="47"/>
      <c r="L76" s="47"/>
      <c r="M76" s="47"/>
      <c r="N76" s="91"/>
      <c r="O76" s="47"/>
      <c r="P76" s="47"/>
      <c r="Q76" s="47"/>
      <c r="R76" s="47"/>
      <c r="S76" s="47"/>
      <c r="T76" s="47"/>
      <c r="U76" s="47"/>
      <c r="V76" s="47"/>
    </row>
    <row r="77" spans="1:22" x14ac:dyDescent="0.3">
      <c r="A77" s="47"/>
      <c r="B77" s="47"/>
      <c r="C77" s="47"/>
      <c r="D77" s="47"/>
      <c r="E77" s="47"/>
      <c r="F77" s="47"/>
      <c r="G77" s="47"/>
      <c r="H77" s="47"/>
      <c r="I77" s="47"/>
      <c r="J77" s="47"/>
      <c r="K77" s="47"/>
      <c r="L77" s="47"/>
      <c r="M77" s="47"/>
      <c r="N77" s="91"/>
      <c r="O77" s="47"/>
      <c r="P77" s="47"/>
      <c r="Q77" s="47"/>
      <c r="R77" s="47"/>
      <c r="S77" s="47"/>
      <c r="T77" s="47"/>
      <c r="U77" s="47"/>
      <c r="V77" s="47"/>
    </row>
    <row r="78" spans="1:22" x14ac:dyDescent="0.3">
      <c r="A78" s="47"/>
      <c r="B78" s="47"/>
      <c r="C78" s="47"/>
      <c r="D78" s="47"/>
      <c r="E78" s="47"/>
      <c r="F78" s="47"/>
      <c r="G78" s="47"/>
      <c r="H78" s="47"/>
      <c r="I78" s="47"/>
      <c r="J78" s="47"/>
      <c r="K78" s="47"/>
      <c r="L78" s="47"/>
      <c r="M78" s="47"/>
      <c r="N78" s="91"/>
      <c r="O78" s="47"/>
      <c r="P78" s="47"/>
      <c r="Q78" s="47"/>
      <c r="R78" s="47"/>
      <c r="S78" s="47"/>
      <c r="T78" s="47"/>
      <c r="U78" s="47"/>
      <c r="V78" s="47"/>
    </row>
    <row r="79" spans="1:22" x14ac:dyDescent="0.3">
      <c r="A79" s="47"/>
      <c r="B79" s="47"/>
      <c r="C79" s="47"/>
      <c r="D79" s="47"/>
      <c r="E79" s="47"/>
      <c r="F79" s="47"/>
      <c r="G79" s="47"/>
      <c r="H79" s="47"/>
      <c r="I79" s="47"/>
      <c r="J79" s="47"/>
      <c r="K79" s="47"/>
      <c r="L79" s="47"/>
      <c r="M79" s="47"/>
      <c r="N79" s="91"/>
      <c r="O79" s="47"/>
      <c r="P79" s="47"/>
      <c r="Q79" s="47"/>
      <c r="R79" s="47"/>
      <c r="S79" s="47"/>
      <c r="T79" s="47"/>
      <c r="U79" s="47"/>
      <c r="V79" s="47"/>
    </row>
    <row r="80" spans="1:22" x14ac:dyDescent="0.3">
      <c r="A80" s="47"/>
      <c r="B80" s="47"/>
      <c r="C80" s="47"/>
      <c r="D80" s="47"/>
      <c r="E80" s="47"/>
      <c r="F80" s="47"/>
      <c r="G80" s="47"/>
      <c r="H80" s="47"/>
      <c r="I80" s="47"/>
      <c r="J80" s="47"/>
      <c r="K80" s="47"/>
      <c r="L80" s="47"/>
      <c r="M80" s="47"/>
      <c r="N80" s="91"/>
      <c r="O80" s="47"/>
      <c r="P80" s="47"/>
      <c r="Q80" s="47"/>
      <c r="R80" s="47"/>
      <c r="S80" s="47"/>
      <c r="T80" s="47"/>
      <c r="U80" s="47"/>
      <c r="V80" s="47"/>
    </row>
    <row r="81" spans="1:22" x14ac:dyDescent="0.3">
      <c r="A81" s="47"/>
      <c r="B81" s="47"/>
      <c r="C81" s="47"/>
      <c r="D81" s="47"/>
      <c r="E81" s="47"/>
      <c r="F81" s="47"/>
      <c r="G81" s="47"/>
      <c r="H81" s="47"/>
      <c r="I81" s="47"/>
      <c r="J81" s="47"/>
      <c r="K81" s="47"/>
      <c r="L81" s="47"/>
      <c r="M81" s="47"/>
      <c r="N81" s="91"/>
      <c r="O81" s="47"/>
      <c r="P81" s="47"/>
      <c r="Q81" s="47"/>
      <c r="R81" s="47"/>
      <c r="S81" s="47"/>
      <c r="T81" s="47"/>
      <c r="U81" s="47"/>
      <c r="V81" s="47"/>
    </row>
    <row r="82" spans="1:22" x14ac:dyDescent="0.3">
      <c r="A82" s="47"/>
      <c r="B82" s="47"/>
      <c r="C82" s="47"/>
      <c r="D82" s="47"/>
      <c r="E82" s="47"/>
      <c r="F82" s="47"/>
      <c r="G82" s="47"/>
      <c r="H82" s="47"/>
      <c r="I82" s="47"/>
      <c r="J82" s="47"/>
      <c r="K82" s="47"/>
      <c r="L82" s="47"/>
      <c r="M82" s="47"/>
      <c r="N82" s="91"/>
      <c r="O82" s="47"/>
      <c r="P82" s="47"/>
      <c r="Q82" s="47"/>
      <c r="R82" s="47"/>
      <c r="S82" s="47"/>
      <c r="T82" s="47"/>
      <c r="U82" s="47"/>
      <c r="V82" s="47"/>
    </row>
    <row r="83" spans="1:22" x14ac:dyDescent="0.3">
      <c r="A83" s="47"/>
      <c r="B83" s="47"/>
      <c r="C83" s="47"/>
      <c r="D83" s="47"/>
      <c r="E83" s="47"/>
      <c r="F83" s="47"/>
      <c r="G83" s="47"/>
      <c r="H83" s="47"/>
      <c r="I83" s="47"/>
      <c r="J83" s="47"/>
      <c r="K83" s="47"/>
      <c r="L83" s="47"/>
      <c r="M83" s="47"/>
      <c r="N83" s="91"/>
      <c r="O83" s="47"/>
      <c r="P83" s="47"/>
      <c r="Q83" s="47"/>
      <c r="R83" s="47"/>
      <c r="S83" s="47"/>
      <c r="T83" s="47"/>
      <c r="U83" s="47"/>
      <c r="V83" s="47"/>
    </row>
    <row r="84" spans="1:22" x14ac:dyDescent="0.3">
      <c r="A84" s="47"/>
      <c r="B84" s="47"/>
      <c r="C84" s="47"/>
      <c r="D84" s="47"/>
      <c r="E84" s="47"/>
      <c r="F84" s="47"/>
      <c r="G84" s="47"/>
      <c r="H84" s="47"/>
      <c r="I84" s="47"/>
      <c r="J84" s="47"/>
      <c r="K84" s="47"/>
      <c r="L84" s="47"/>
      <c r="M84" s="47"/>
      <c r="N84" s="91"/>
      <c r="O84" s="47"/>
      <c r="P84" s="47"/>
      <c r="Q84" s="47"/>
      <c r="R84" s="47"/>
      <c r="S84" s="47"/>
      <c r="T84" s="47"/>
      <c r="U84" s="47"/>
      <c r="V84" s="47"/>
    </row>
    <row r="85" spans="1:22" x14ac:dyDescent="0.3">
      <c r="A85" s="47"/>
      <c r="B85" s="47"/>
      <c r="C85" s="47"/>
      <c r="D85" s="47"/>
      <c r="E85" s="47"/>
      <c r="F85" s="47"/>
      <c r="G85" s="47"/>
      <c r="H85" s="47"/>
      <c r="I85" s="47"/>
      <c r="J85" s="47"/>
      <c r="K85" s="47"/>
      <c r="L85" s="47"/>
      <c r="M85" s="47"/>
      <c r="N85" s="91"/>
      <c r="O85" s="47"/>
      <c r="P85" s="47"/>
      <c r="Q85" s="47"/>
      <c r="R85" s="47"/>
      <c r="S85" s="47"/>
      <c r="T85" s="47"/>
      <c r="U85" s="47"/>
      <c r="V85" s="47"/>
    </row>
    <row r="86" spans="1:22" x14ac:dyDescent="0.3">
      <c r="A86" s="47"/>
      <c r="B86" s="47"/>
      <c r="C86" s="47"/>
      <c r="D86" s="47"/>
      <c r="E86" s="47"/>
      <c r="F86" s="47"/>
      <c r="G86" s="47"/>
      <c r="H86" s="47"/>
      <c r="I86" s="47"/>
      <c r="J86" s="47"/>
      <c r="K86" s="47"/>
      <c r="L86" s="47"/>
      <c r="M86" s="47"/>
      <c r="N86" s="91"/>
      <c r="O86" s="47"/>
      <c r="P86" s="47"/>
      <c r="Q86" s="47"/>
      <c r="R86" s="47"/>
      <c r="S86" s="47"/>
      <c r="T86" s="47"/>
      <c r="U86" s="47"/>
      <c r="V86" s="47"/>
    </row>
    <row r="87" spans="1:22" x14ac:dyDescent="0.3">
      <c r="A87" s="47"/>
      <c r="B87" s="47"/>
      <c r="C87" s="47"/>
      <c r="D87" s="47"/>
      <c r="E87" s="47"/>
      <c r="F87" s="47"/>
      <c r="G87" s="47"/>
      <c r="H87" s="47"/>
      <c r="I87" s="47"/>
      <c r="J87" s="47"/>
      <c r="K87" s="47"/>
      <c r="L87" s="47"/>
      <c r="M87" s="47"/>
      <c r="N87" s="91"/>
      <c r="O87" s="47"/>
      <c r="P87" s="47"/>
      <c r="Q87" s="47"/>
      <c r="R87" s="47"/>
      <c r="S87" s="47"/>
      <c r="T87" s="47"/>
      <c r="U87" s="47"/>
      <c r="V87" s="47"/>
    </row>
    <row r="88" spans="1:22" x14ac:dyDescent="0.3">
      <c r="A88" s="47"/>
      <c r="B88" s="47"/>
      <c r="C88" s="47"/>
      <c r="D88" s="47"/>
      <c r="E88" s="47"/>
      <c r="F88" s="47"/>
      <c r="G88" s="47"/>
      <c r="H88" s="47"/>
      <c r="I88" s="47"/>
      <c r="J88" s="47"/>
      <c r="K88" s="47"/>
      <c r="L88" s="47"/>
      <c r="M88" s="47"/>
      <c r="N88" s="91"/>
      <c r="O88" s="47"/>
      <c r="P88" s="47"/>
      <c r="Q88" s="47"/>
      <c r="R88" s="47"/>
      <c r="S88" s="47"/>
      <c r="T88" s="47"/>
      <c r="U88" s="47"/>
      <c r="V88" s="47"/>
    </row>
    <row r="89" spans="1:22" x14ac:dyDescent="0.3">
      <c r="A89" s="47"/>
      <c r="B89" s="47"/>
      <c r="C89" s="47"/>
      <c r="D89" s="47"/>
      <c r="E89" s="47"/>
      <c r="F89" s="47"/>
      <c r="G89" s="47"/>
      <c r="H89" s="47"/>
      <c r="I89" s="47"/>
      <c r="J89" s="47"/>
      <c r="K89" s="47"/>
      <c r="L89" s="47"/>
      <c r="M89" s="47"/>
      <c r="N89" s="91"/>
      <c r="O89" s="47"/>
      <c r="P89" s="47"/>
      <c r="Q89" s="47"/>
      <c r="R89" s="47"/>
      <c r="S89" s="47"/>
      <c r="T89" s="47"/>
      <c r="U89" s="47"/>
      <c r="V89" s="47"/>
    </row>
    <row r="90" spans="1:22" x14ac:dyDescent="0.3">
      <c r="A90" s="47"/>
      <c r="B90" s="47"/>
      <c r="C90" s="47"/>
      <c r="D90" s="47"/>
      <c r="E90" s="47"/>
      <c r="F90" s="47"/>
      <c r="G90" s="47"/>
      <c r="H90" s="47"/>
      <c r="I90" s="47"/>
      <c r="J90" s="47"/>
      <c r="K90" s="47"/>
      <c r="L90" s="47"/>
      <c r="M90" s="47"/>
      <c r="N90" s="91"/>
      <c r="O90" s="47"/>
      <c r="P90" s="47"/>
      <c r="Q90" s="47"/>
      <c r="R90" s="47"/>
      <c r="S90" s="47"/>
      <c r="T90" s="47"/>
      <c r="U90" s="47"/>
      <c r="V90" s="47"/>
    </row>
    <row r="91" spans="1:22" x14ac:dyDescent="0.3">
      <c r="A91" s="47"/>
      <c r="B91" s="47"/>
      <c r="C91" s="47"/>
      <c r="D91" s="47"/>
      <c r="E91" s="47"/>
      <c r="F91" s="47"/>
      <c r="G91" s="47"/>
      <c r="H91" s="47"/>
      <c r="I91" s="47"/>
      <c r="J91" s="47"/>
      <c r="K91" s="47"/>
      <c r="L91" s="47"/>
      <c r="M91" s="47"/>
      <c r="N91" s="91"/>
      <c r="O91" s="47"/>
      <c r="P91" s="47"/>
      <c r="Q91" s="47"/>
      <c r="R91" s="47"/>
      <c r="S91" s="47"/>
      <c r="T91" s="47"/>
      <c r="U91" s="47"/>
      <c r="V91" s="47"/>
    </row>
    <row r="92" spans="1:22" x14ac:dyDescent="0.3">
      <c r="A92" s="47"/>
      <c r="B92" s="47"/>
      <c r="C92" s="47"/>
      <c r="D92" s="47"/>
      <c r="E92" s="47"/>
      <c r="F92" s="47"/>
      <c r="G92" s="47"/>
      <c r="H92" s="47"/>
      <c r="I92" s="47"/>
      <c r="J92" s="47"/>
      <c r="K92" s="47"/>
      <c r="L92" s="47"/>
      <c r="M92" s="47"/>
      <c r="N92" s="91"/>
      <c r="O92" s="47"/>
      <c r="P92" s="47"/>
      <c r="Q92" s="47"/>
      <c r="R92" s="47"/>
      <c r="S92" s="47"/>
      <c r="T92" s="47"/>
      <c r="U92" s="47"/>
      <c r="V92" s="47"/>
    </row>
    <row r="93" spans="1:22" x14ac:dyDescent="0.3">
      <c r="A93" s="47"/>
      <c r="B93" s="47"/>
      <c r="C93" s="47"/>
      <c r="D93" s="47"/>
      <c r="E93" s="47"/>
      <c r="F93" s="47"/>
      <c r="G93" s="47"/>
      <c r="H93" s="47"/>
      <c r="I93" s="47"/>
      <c r="J93" s="47"/>
      <c r="K93" s="47"/>
      <c r="L93" s="47"/>
      <c r="M93" s="47"/>
      <c r="N93" s="91"/>
      <c r="O93" s="47"/>
      <c r="P93" s="47"/>
      <c r="Q93" s="47"/>
      <c r="R93" s="47"/>
      <c r="S93" s="47"/>
      <c r="T93" s="47"/>
      <c r="U93" s="47"/>
      <c r="V93" s="47"/>
    </row>
    <row r="94" spans="1:22" x14ac:dyDescent="0.3">
      <c r="A94" s="47"/>
      <c r="B94" s="47"/>
      <c r="C94" s="47"/>
      <c r="D94" s="47"/>
      <c r="E94" s="47"/>
      <c r="F94" s="47"/>
      <c r="G94" s="47"/>
      <c r="H94" s="47"/>
      <c r="I94" s="47"/>
      <c r="J94" s="47"/>
      <c r="K94" s="47"/>
      <c r="L94" s="47"/>
      <c r="M94" s="47"/>
      <c r="N94" s="91"/>
      <c r="O94" s="47"/>
      <c r="P94" s="47"/>
      <c r="Q94" s="47"/>
      <c r="R94" s="47"/>
      <c r="S94" s="47"/>
      <c r="T94" s="47"/>
      <c r="U94" s="47"/>
      <c r="V94" s="47"/>
    </row>
    <row r="95" spans="1:22" x14ac:dyDescent="0.3">
      <c r="A95" s="47"/>
      <c r="B95" s="47"/>
      <c r="C95" s="47"/>
      <c r="D95" s="47"/>
      <c r="E95" s="47"/>
      <c r="F95" s="47"/>
      <c r="G95" s="47"/>
      <c r="H95" s="47"/>
      <c r="I95" s="47"/>
      <c r="J95" s="47"/>
      <c r="K95" s="47"/>
      <c r="L95" s="47"/>
      <c r="M95" s="47"/>
      <c r="N95" s="91"/>
      <c r="O95" s="47"/>
      <c r="P95" s="47"/>
      <c r="Q95" s="47"/>
      <c r="R95" s="47"/>
      <c r="S95" s="47"/>
      <c r="T95" s="47"/>
      <c r="U95" s="47"/>
      <c r="V95" s="47"/>
    </row>
    <row r="96" spans="1:22" x14ac:dyDescent="0.3">
      <c r="A96" s="47"/>
      <c r="B96" s="47"/>
      <c r="C96" s="47"/>
      <c r="D96" s="47"/>
      <c r="E96" s="47"/>
      <c r="F96" s="47"/>
      <c r="G96" s="47"/>
      <c r="H96" s="47"/>
      <c r="I96" s="47"/>
      <c r="J96" s="47"/>
      <c r="K96" s="47"/>
      <c r="L96" s="47"/>
      <c r="M96" s="47"/>
      <c r="N96" s="91"/>
      <c r="O96" s="47"/>
      <c r="P96" s="47"/>
      <c r="Q96" s="47"/>
      <c r="R96" s="47"/>
      <c r="S96" s="47"/>
      <c r="T96" s="47"/>
      <c r="U96" s="47"/>
      <c r="V96" s="47"/>
    </row>
    <row r="97" spans="1:22" x14ac:dyDescent="0.3">
      <c r="A97" s="47"/>
      <c r="B97" s="47"/>
      <c r="C97" s="47"/>
      <c r="D97" s="47"/>
      <c r="E97" s="47"/>
      <c r="F97" s="47"/>
      <c r="G97" s="47"/>
      <c r="H97" s="47"/>
      <c r="I97" s="47"/>
      <c r="J97" s="47"/>
      <c r="K97" s="47"/>
      <c r="L97" s="47"/>
      <c r="M97" s="47"/>
      <c r="N97" s="91"/>
      <c r="O97" s="47"/>
      <c r="P97" s="47"/>
      <c r="Q97" s="47"/>
      <c r="R97" s="47"/>
      <c r="S97" s="47"/>
      <c r="T97" s="47"/>
      <c r="U97" s="47"/>
      <c r="V97" s="47"/>
    </row>
    <row r="98" spans="1:22" x14ac:dyDescent="0.3">
      <c r="A98" s="47"/>
      <c r="B98" s="47"/>
      <c r="C98" s="47"/>
      <c r="D98" s="47"/>
      <c r="E98" s="47"/>
      <c r="F98" s="47"/>
      <c r="G98" s="47"/>
      <c r="H98" s="47"/>
      <c r="I98" s="47"/>
      <c r="J98" s="47"/>
      <c r="K98" s="47"/>
      <c r="L98" s="47"/>
      <c r="M98" s="47"/>
      <c r="N98" s="91"/>
      <c r="O98" s="47"/>
      <c r="P98" s="47"/>
      <c r="Q98" s="47"/>
      <c r="R98" s="47"/>
      <c r="S98" s="47"/>
      <c r="T98" s="47"/>
      <c r="U98" s="47"/>
      <c r="V98" s="47"/>
    </row>
    <row r="99" spans="1:22" x14ac:dyDescent="0.3">
      <c r="A99" s="47"/>
      <c r="B99" s="47"/>
      <c r="C99" s="47"/>
      <c r="D99" s="47"/>
      <c r="E99" s="47"/>
      <c r="F99" s="47"/>
      <c r="G99" s="47"/>
      <c r="H99" s="47"/>
      <c r="I99" s="47"/>
      <c r="J99" s="47"/>
      <c r="K99" s="47"/>
      <c r="L99" s="47"/>
      <c r="M99" s="47"/>
      <c r="N99" s="91"/>
      <c r="O99" s="47"/>
      <c r="P99" s="47"/>
      <c r="Q99" s="47"/>
      <c r="R99" s="47"/>
      <c r="S99" s="47"/>
      <c r="T99" s="47"/>
      <c r="U99" s="47"/>
      <c r="V99" s="47"/>
    </row>
    <row r="100" spans="1:22" x14ac:dyDescent="0.3">
      <c r="A100" s="47"/>
      <c r="B100" s="47"/>
      <c r="C100" s="47"/>
      <c r="D100" s="47"/>
      <c r="E100" s="47"/>
      <c r="F100" s="47"/>
      <c r="G100" s="47"/>
      <c r="H100" s="47"/>
      <c r="I100" s="47"/>
      <c r="J100" s="47"/>
      <c r="K100" s="47"/>
      <c r="L100" s="47"/>
      <c r="M100" s="47"/>
      <c r="N100" s="91"/>
      <c r="O100" s="47"/>
      <c r="P100" s="47"/>
      <c r="Q100" s="47"/>
      <c r="R100" s="47"/>
      <c r="S100" s="47"/>
      <c r="T100" s="47"/>
      <c r="U100" s="47"/>
      <c r="V100" s="47"/>
    </row>
    <row r="101" spans="1:22" x14ac:dyDescent="0.3">
      <c r="A101" s="47"/>
      <c r="B101" s="47"/>
      <c r="C101" s="47"/>
      <c r="D101" s="47"/>
      <c r="E101" s="47"/>
      <c r="F101" s="47"/>
      <c r="G101" s="47"/>
      <c r="H101" s="47"/>
      <c r="I101" s="47"/>
      <c r="J101" s="47"/>
      <c r="K101" s="47"/>
      <c r="L101" s="47"/>
      <c r="M101" s="47"/>
      <c r="N101" s="91"/>
      <c r="O101" s="47"/>
      <c r="P101" s="47"/>
      <c r="Q101" s="47"/>
      <c r="R101" s="47"/>
      <c r="S101" s="47"/>
      <c r="T101" s="47"/>
      <c r="U101" s="47"/>
      <c r="V101" s="47"/>
    </row>
    <row r="102" spans="1:22" x14ac:dyDescent="0.3">
      <c r="A102" s="47"/>
      <c r="B102" s="47"/>
      <c r="C102" s="47"/>
      <c r="D102" s="47"/>
      <c r="E102" s="47"/>
      <c r="F102" s="47"/>
      <c r="G102" s="47"/>
      <c r="H102" s="47"/>
      <c r="I102" s="47"/>
      <c r="J102" s="47"/>
      <c r="K102" s="47"/>
      <c r="L102" s="47"/>
      <c r="M102" s="47"/>
      <c r="N102" s="91"/>
      <c r="O102" s="47"/>
      <c r="P102" s="47"/>
      <c r="Q102" s="47"/>
      <c r="R102" s="47"/>
      <c r="S102" s="47"/>
      <c r="T102" s="47"/>
      <c r="U102" s="47"/>
      <c r="V102" s="47"/>
    </row>
    <row r="103" spans="1:22" x14ac:dyDescent="0.3">
      <c r="A103" s="47"/>
      <c r="B103" s="47"/>
      <c r="C103" s="47"/>
      <c r="D103" s="47"/>
      <c r="E103" s="47"/>
      <c r="F103" s="47"/>
      <c r="G103" s="47"/>
      <c r="H103" s="47"/>
      <c r="I103" s="47"/>
      <c r="J103" s="47"/>
      <c r="K103" s="47"/>
      <c r="L103" s="47"/>
      <c r="M103" s="47"/>
      <c r="N103" s="91"/>
      <c r="O103" s="47"/>
      <c r="P103" s="47"/>
      <c r="Q103" s="47"/>
      <c r="R103" s="47"/>
      <c r="S103" s="47"/>
      <c r="T103" s="47"/>
      <c r="U103" s="47"/>
      <c r="V103" s="47"/>
    </row>
    <row r="104" spans="1:22" x14ac:dyDescent="0.3">
      <c r="A104" s="47"/>
      <c r="B104" s="47"/>
      <c r="C104" s="47"/>
      <c r="D104" s="47"/>
      <c r="E104" s="47"/>
      <c r="F104" s="47"/>
      <c r="G104" s="47"/>
      <c r="H104" s="47"/>
      <c r="I104" s="47"/>
      <c r="J104" s="47"/>
      <c r="K104" s="47"/>
      <c r="L104" s="47"/>
      <c r="M104" s="47"/>
      <c r="N104" s="91"/>
      <c r="O104" s="47"/>
      <c r="P104" s="47"/>
      <c r="Q104" s="47"/>
      <c r="R104" s="47"/>
      <c r="S104" s="47"/>
      <c r="T104" s="47"/>
      <c r="U104" s="47"/>
      <c r="V104" s="47"/>
    </row>
    <row r="105" spans="1:22" x14ac:dyDescent="0.3">
      <c r="A105" s="47"/>
      <c r="B105" s="47"/>
      <c r="C105" s="47"/>
      <c r="D105" s="47"/>
      <c r="E105" s="47"/>
      <c r="F105" s="47"/>
      <c r="G105" s="47"/>
      <c r="H105" s="47"/>
      <c r="I105" s="47"/>
      <c r="J105" s="47"/>
      <c r="K105" s="47"/>
      <c r="L105" s="47"/>
      <c r="M105" s="47"/>
      <c r="N105" s="91"/>
      <c r="O105" s="47"/>
      <c r="P105" s="47"/>
      <c r="Q105" s="47"/>
      <c r="R105" s="47"/>
      <c r="S105" s="47"/>
      <c r="T105" s="47"/>
      <c r="U105" s="47"/>
      <c r="V105" s="47"/>
    </row>
    <row r="106" spans="1:22" x14ac:dyDescent="0.3">
      <c r="A106" s="47"/>
      <c r="B106" s="47"/>
      <c r="C106" s="47"/>
      <c r="D106" s="47"/>
      <c r="E106" s="47"/>
      <c r="F106" s="47"/>
      <c r="G106" s="47"/>
      <c r="H106" s="47"/>
      <c r="I106" s="47"/>
      <c r="J106" s="47"/>
      <c r="K106" s="47"/>
      <c r="L106" s="47"/>
      <c r="M106" s="47"/>
      <c r="N106" s="91"/>
      <c r="O106" s="47"/>
      <c r="P106" s="47"/>
      <c r="Q106" s="47"/>
      <c r="R106" s="47"/>
      <c r="S106" s="47"/>
      <c r="T106" s="47"/>
      <c r="U106" s="47"/>
      <c r="V106" s="47"/>
    </row>
    <row r="107" spans="1:22" x14ac:dyDescent="0.3">
      <c r="A107" s="47"/>
      <c r="B107" s="47"/>
      <c r="C107" s="47"/>
      <c r="D107" s="47"/>
      <c r="E107" s="47"/>
      <c r="F107" s="47"/>
      <c r="G107" s="47"/>
      <c r="H107" s="47"/>
      <c r="I107" s="47"/>
      <c r="J107" s="47"/>
      <c r="K107" s="47"/>
      <c r="L107" s="47"/>
      <c r="M107" s="47"/>
      <c r="N107" s="91"/>
      <c r="O107" s="47"/>
      <c r="P107" s="47"/>
      <c r="Q107" s="47"/>
      <c r="R107" s="47"/>
      <c r="S107" s="47"/>
      <c r="T107" s="47"/>
      <c r="U107" s="47"/>
      <c r="V107" s="47"/>
    </row>
    <row r="108" spans="1:22" x14ac:dyDescent="0.3">
      <c r="A108" s="47"/>
      <c r="B108" s="47"/>
      <c r="C108" s="47"/>
      <c r="D108" s="47"/>
      <c r="E108" s="47"/>
      <c r="F108" s="47"/>
      <c r="G108" s="47"/>
      <c r="H108" s="47"/>
      <c r="I108" s="47"/>
      <c r="J108" s="47"/>
      <c r="K108" s="47"/>
      <c r="L108" s="47"/>
      <c r="M108" s="47"/>
      <c r="N108" s="91"/>
      <c r="O108" s="47"/>
      <c r="P108" s="47"/>
      <c r="Q108" s="47"/>
      <c r="R108" s="47"/>
      <c r="S108" s="47"/>
      <c r="T108" s="47"/>
      <c r="U108" s="47"/>
      <c r="V108" s="47"/>
    </row>
    <row r="109" spans="1:22" x14ac:dyDescent="0.3">
      <c r="A109" s="47"/>
      <c r="B109" s="47"/>
      <c r="C109" s="47"/>
      <c r="D109" s="47"/>
      <c r="E109" s="47"/>
      <c r="F109" s="47"/>
      <c r="G109" s="47"/>
      <c r="H109" s="47"/>
      <c r="I109" s="47"/>
      <c r="J109" s="47"/>
      <c r="K109" s="47"/>
      <c r="L109" s="47"/>
      <c r="M109" s="47"/>
      <c r="N109" s="91"/>
      <c r="O109" s="47"/>
      <c r="P109" s="47"/>
      <c r="Q109" s="47"/>
      <c r="R109" s="47"/>
      <c r="S109" s="47"/>
      <c r="T109" s="47"/>
      <c r="U109" s="47"/>
      <c r="V109" s="47"/>
    </row>
    <row r="110" spans="1:22" x14ac:dyDescent="0.3">
      <c r="A110" s="47"/>
      <c r="B110" s="47"/>
      <c r="C110" s="47"/>
      <c r="D110" s="47"/>
      <c r="E110" s="47"/>
      <c r="F110" s="47"/>
      <c r="G110" s="47"/>
      <c r="H110" s="47"/>
      <c r="I110" s="47"/>
      <c r="J110" s="47"/>
      <c r="K110" s="47"/>
      <c r="L110" s="47"/>
      <c r="M110" s="47"/>
      <c r="N110" s="91"/>
      <c r="O110" s="47"/>
      <c r="P110" s="47"/>
      <c r="Q110" s="47"/>
      <c r="R110" s="47"/>
      <c r="S110" s="47"/>
      <c r="T110" s="47"/>
      <c r="U110" s="47"/>
      <c r="V110" s="47"/>
    </row>
    <row r="111" spans="1:22" x14ac:dyDescent="0.3">
      <c r="A111" s="47"/>
      <c r="B111" s="47"/>
      <c r="C111" s="47"/>
      <c r="D111" s="47"/>
      <c r="E111" s="47"/>
      <c r="F111" s="47"/>
      <c r="G111" s="47"/>
      <c r="H111" s="47"/>
      <c r="I111" s="47"/>
      <c r="J111" s="47"/>
      <c r="K111" s="47"/>
      <c r="L111" s="47"/>
      <c r="M111" s="47"/>
      <c r="N111" s="91"/>
      <c r="O111" s="47"/>
      <c r="P111" s="47"/>
      <c r="Q111" s="47"/>
      <c r="R111" s="47"/>
      <c r="S111" s="47"/>
      <c r="T111" s="47"/>
      <c r="U111" s="47"/>
      <c r="V111" s="47"/>
    </row>
    <row r="112" spans="1:22" x14ac:dyDescent="0.3">
      <c r="A112" s="47"/>
      <c r="B112" s="47"/>
      <c r="C112" s="47"/>
      <c r="D112" s="47"/>
      <c r="E112" s="47"/>
      <c r="F112" s="47"/>
      <c r="G112" s="47"/>
      <c r="H112" s="47"/>
      <c r="I112" s="47"/>
      <c r="J112" s="47"/>
      <c r="K112" s="47"/>
      <c r="L112" s="47"/>
      <c r="M112" s="47"/>
      <c r="N112" s="91"/>
      <c r="O112" s="47"/>
      <c r="P112" s="47"/>
      <c r="Q112" s="47"/>
      <c r="R112" s="47"/>
      <c r="S112" s="47"/>
      <c r="T112" s="47"/>
      <c r="U112" s="47"/>
      <c r="V112" s="47"/>
    </row>
    <row r="113" spans="1:22" x14ac:dyDescent="0.3">
      <c r="A113" s="47"/>
      <c r="B113" s="47"/>
      <c r="C113" s="47"/>
      <c r="D113" s="47"/>
      <c r="E113" s="47"/>
      <c r="F113" s="47"/>
      <c r="G113" s="47"/>
      <c r="H113" s="47"/>
      <c r="I113" s="47"/>
      <c r="J113" s="47"/>
      <c r="K113" s="47"/>
      <c r="L113" s="47"/>
      <c r="M113" s="47"/>
      <c r="N113" s="91"/>
      <c r="O113" s="47"/>
      <c r="P113" s="47"/>
      <c r="Q113" s="47"/>
      <c r="R113" s="47"/>
      <c r="S113" s="47"/>
      <c r="T113" s="47"/>
      <c r="U113" s="47"/>
      <c r="V113" s="47"/>
    </row>
    <row r="114" spans="1:22" x14ac:dyDescent="0.3">
      <c r="A114" s="47"/>
      <c r="B114" s="47"/>
      <c r="C114" s="47"/>
      <c r="D114" s="47"/>
      <c r="E114" s="47"/>
      <c r="F114" s="47"/>
      <c r="G114" s="47"/>
      <c r="H114" s="47"/>
      <c r="I114" s="47"/>
      <c r="J114" s="47"/>
      <c r="K114" s="47"/>
      <c r="L114" s="47"/>
      <c r="M114" s="47"/>
      <c r="N114" s="91"/>
      <c r="O114" s="47"/>
      <c r="P114" s="47"/>
      <c r="Q114" s="47"/>
      <c r="R114" s="47"/>
      <c r="S114" s="47"/>
      <c r="T114" s="47"/>
      <c r="U114" s="47"/>
      <c r="V114" s="47"/>
    </row>
    <row r="115" spans="1:22" x14ac:dyDescent="0.3">
      <c r="A115" s="47"/>
      <c r="B115" s="47"/>
      <c r="C115" s="47"/>
      <c r="D115" s="47"/>
      <c r="E115" s="47"/>
      <c r="F115" s="47"/>
      <c r="G115" s="47"/>
      <c r="H115" s="47"/>
      <c r="I115" s="47"/>
      <c r="J115" s="47"/>
      <c r="K115" s="47"/>
      <c r="L115" s="47"/>
      <c r="M115" s="47"/>
      <c r="N115" s="91"/>
      <c r="O115" s="47"/>
      <c r="P115" s="47"/>
      <c r="Q115" s="47"/>
      <c r="R115" s="47"/>
      <c r="S115" s="47"/>
      <c r="T115" s="47"/>
      <c r="U115" s="47"/>
      <c r="V115" s="47"/>
    </row>
    <row r="116" spans="1:22" x14ac:dyDescent="0.3">
      <c r="A116" s="47"/>
      <c r="B116" s="47"/>
      <c r="C116" s="47"/>
      <c r="D116" s="47"/>
      <c r="E116" s="47"/>
      <c r="F116" s="47"/>
      <c r="G116" s="47"/>
      <c r="H116" s="47"/>
      <c r="I116" s="47"/>
      <c r="J116" s="47"/>
      <c r="K116" s="47"/>
      <c r="L116" s="47"/>
      <c r="M116" s="47"/>
      <c r="N116" s="91"/>
      <c r="O116" s="47"/>
      <c r="P116" s="47"/>
      <c r="Q116" s="47"/>
      <c r="R116" s="47"/>
      <c r="S116" s="47"/>
      <c r="T116" s="47"/>
      <c r="U116" s="47"/>
      <c r="V116" s="47"/>
    </row>
    <row r="117" spans="1:22" x14ac:dyDescent="0.3">
      <c r="A117" s="47"/>
      <c r="B117" s="47"/>
      <c r="C117" s="47"/>
      <c r="D117" s="47"/>
      <c r="E117" s="47"/>
      <c r="F117" s="47"/>
      <c r="G117" s="47"/>
      <c r="H117" s="47"/>
      <c r="I117" s="47"/>
      <c r="J117" s="47"/>
      <c r="K117" s="47"/>
      <c r="L117" s="47"/>
      <c r="M117" s="47"/>
      <c r="N117" s="91"/>
      <c r="O117" s="47"/>
      <c r="P117" s="47"/>
      <c r="Q117" s="47"/>
      <c r="R117" s="47"/>
      <c r="S117" s="47"/>
      <c r="T117" s="47"/>
      <c r="U117" s="47"/>
      <c r="V117" s="47"/>
    </row>
    <row r="118" spans="1:22" x14ac:dyDescent="0.3">
      <c r="A118" s="47"/>
      <c r="B118" s="47"/>
      <c r="C118" s="47"/>
      <c r="D118" s="47"/>
      <c r="E118" s="47"/>
      <c r="F118" s="47"/>
      <c r="G118" s="47"/>
      <c r="H118" s="47"/>
      <c r="I118" s="47"/>
      <c r="J118" s="47"/>
      <c r="K118" s="47"/>
      <c r="L118" s="47"/>
      <c r="M118" s="47"/>
      <c r="N118" s="91"/>
      <c r="O118" s="47"/>
      <c r="P118" s="47"/>
      <c r="Q118" s="47"/>
      <c r="R118" s="47"/>
      <c r="S118" s="47"/>
      <c r="T118" s="47"/>
      <c r="U118" s="47"/>
      <c r="V118" s="47"/>
    </row>
    <row r="119" spans="1:22" x14ac:dyDescent="0.3">
      <c r="A119" s="47"/>
      <c r="B119" s="47"/>
      <c r="C119" s="47"/>
      <c r="D119" s="47"/>
      <c r="E119" s="47"/>
      <c r="F119" s="47"/>
      <c r="G119" s="47"/>
      <c r="H119" s="47"/>
      <c r="I119" s="47"/>
      <c r="J119" s="47"/>
      <c r="K119" s="47"/>
      <c r="L119" s="47"/>
      <c r="M119" s="47"/>
      <c r="N119" s="91"/>
      <c r="O119" s="47"/>
      <c r="P119" s="47"/>
      <c r="Q119" s="47"/>
      <c r="R119" s="47"/>
      <c r="S119" s="47"/>
      <c r="T119" s="47"/>
      <c r="U119" s="47"/>
      <c r="V119" s="47"/>
    </row>
    <row r="120" spans="1:22" x14ac:dyDescent="0.3">
      <c r="A120" s="47"/>
      <c r="B120" s="47"/>
      <c r="C120" s="47"/>
      <c r="D120" s="47"/>
      <c r="E120" s="47"/>
      <c r="F120" s="47"/>
      <c r="G120" s="47"/>
      <c r="H120" s="47"/>
      <c r="I120" s="47"/>
      <c r="J120" s="47"/>
      <c r="K120" s="47"/>
      <c r="L120" s="47"/>
      <c r="M120" s="47"/>
      <c r="N120" s="91"/>
      <c r="O120" s="47"/>
      <c r="P120" s="47"/>
      <c r="Q120" s="47"/>
      <c r="R120" s="47"/>
      <c r="S120" s="47"/>
      <c r="T120" s="47"/>
      <c r="U120" s="47"/>
      <c r="V120" s="47"/>
    </row>
    <row r="121" spans="1:22" x14ac:dyDescent="0.3">
      <c r="A121" s="47"/>
      <c r="B121" s="47"/>
      <c r="C121" s="47"/>
      <c r="D121" s="47"/>
      <c r="E121" s="47"/>
      <c r="F121" s="47"/>
      <c r="G121" s="47"/>
      <c r="H121" s="47"/>
      <c r="I121" s="47"/>
      <c r="J121" s="47"/>
      <c r="K121" s="47"/>
      <c r="L121" s="47"/>
      <c r="M121" s="47"/>
      <c r="N121" s="91"/>
      <c r="O121" s="47"/>
      <c r="P121" s="47"/>
      <c r="Q121" s="47"/>
      <c r="R121" s="47"/>
      <c r="S121" s="47"/>
      <c r="T121" s="47"/>
      <c r="U121" s="47"/>
      <c r="V121" s="47"/>
    </row>
    <row r="122" spans="1:22" x14ac:dyDescent="0.3">
      <c r="A122" s="47"/>
      <c r="B122" s="47"/>
      <c r="C122" s="47"/>
      <c r="D122" s="47"/>
      <c r="E122" s="47"/>
      <c r="F122" s="47"/>
      <c r="G122" s="47"/>
      <c r="H122" s="47"/>
      <c r="I122" s="47"/>
      <c r="J122" s="47"/>
      <c r="K122" s="47"/>
      <c r="L122" s="47"/>
      <c r="M122" s="47"/>
      <c r="N122" s="91"/>
      <c r="O122" s="47"/>
      <c r="P122" s="47"/>
      <c r="Q122" s="47"/>
      <c r="R122" s="47"/>
      <c r="S122" s="47"/>
      <c r="T122" s="47"/>
      <c r="U122" s="47"/>
      <c r="V122" s="47"/>
    </row>
    <row r="123" spans="1:22" x14ac:dyDescent="0.3">
      <c r="A123" s="47"/>
      <c r="B123" s="47"/>
      <c r="C123" s="47"/>
      <c r="D123" s="47"/>
      <c r="E123" s="47"/>
      <c r="F123" s="47"/>
      <c r="G123" s="47"/>
      <c r="H123" s="47"/>
      <c r="I123" s="47"/>
      <c r="J123" s="47"/>
      <c r="K123" s="47"/>
      <c r="L123" s="47"/>
      <c r="M123" s="47"/>
      <c r="N123" s="91"/>
      <c r="O123" s="47"/>
      <c r="P123" s="47"/>
      <c r="Q123" s="47"/>
      <c r="R123" s="47"/>
      <c r="S123" s="47"/>
      <c r="T123" s="47"/>
      <c r="U123" s="47"/>
      <c r="V123" s="47"/>
    </row>
    <row r="124" spans="1:22" x14ac:dyDescent="0.3">
      <c r="A124" s="47"/>
      <c r="B124" s="47"/>
      <c r="C124" s="47"/>
      <c r="D124" s="47"/>
      <c r="E124" s="47"/>
      <c r="F124" s="47"/>
      <c r="G124" s="47"/>
      <c r="H124" s="47"/>
      <c r="I124" s="47"/>
      <c r="J124" s="47"/>
      <c r="K124" s="47"/>
      <c r="L124" s="47"/>
      <c r="M124" s="47"/>
      <c r="N124" s="91"/>
      <c r="O124" s="47"/>
      <c r="P124" s="47"/>
      <c r="Q124" s="47"/>
      <c r="R124" s="47"/>
      <c r="S124" s="47"/>
      <c r="T124" s="47"/>
      <c r="U124" s="47"/>
      <c r="V124" s="47"/>
    </row>
    <row r="125" spans="1:22" x14ac:dyDescent="0.3">
      <c r="A125" s="47"/>
      <c r="B125" s="47"/>
      <c r="C125" s="47"/>
      <c r="D125" s="47"/>
      <c r="E125" s="47"/>
      <c r="F125" s="47"/>
      <c r="G125" s="47"/>
      <c r="H125" s="47"/>
      <c r="I125" s="47"/>
      <c r="J125" s="47"/>
      <c r="K125" s="47"/>
      <c r="L125" s="47"/>
      <c r="M125" s="47"/>
      <c r="N125" s="91"/>
      <c r="O125" s="47"/>
      <c r="P125" s="47"/>
      <c r="Q125" s="47"/>
      <c r="R125" s="47"/>
      <c r="S125" s="47"/>
      <c r="T125" s="47"/>
      <c r="U125" s="47"/>
      <c r="V125" s="47"/>
    </row>
    <row r="126" spans="1:22" x14ac:dyDescent="0.3">
      <c r="A126" s="47"/>
      <c r="B126" s="47"/>
      <c r="C126" s="47"/>
      <c r="D126" s="47"/>
      <c r="E126" s="47"/>
      <c r="F126" s="47"/>
      <c r="G126" s="47"/>
      <c r="H126" s="47"/>
      <c r="I126" s="47"/>
      <c r="J126" s="47"/>
      <c r="K126" s="47"/>
      <c r="L126" s="47"/>
      <c r="M126" s="47"/>
      <c r="N126" s="91"/>
      <c r="O126" s="47"/>
      <c r="P126" s="47"/>
      <c r="Q126" s="47"/>
      <c r="R126" s="47"/>
      <c r="S126" s="47"/>
      <c r="T126" s="47"/>
      <c r="U126" s="47"/>
      <c r="V126" s="47"/>
    </row>
    <row r="127" spans="1:22" x14ac:dyDescent="0.3">
      <c r="A127" s="47"/>
      <c r="B127" s="47"/>
      <c r="C127" s="47"/>
      <c r="D127" s="47"/>
      <c r="E127" s="47"/>
      <c r="F127" s="47"/>
      <c r="G127" s="47"/>
      <c r="H127" s="47"/>
      <c r="I127" s="47"/>
      <c r="J127" s="47"/>
      <c r="K127" s="47"/>
      <c r="L127" s="47"/>
      <c r="M127" s="47"/>
      <c r="N127" s="91"/>
      <c r="O127" s="47"/>
      <c r="P127" s="47"/>
      <c r="Q127" s="47"/>
      <c r="R127" s="47"/>
      <c r="S127" s="47"/>
      <c r="T127" s="47"/>
      <c r="U127" s="47"/>
      <c r="V127" s="47"/>
    </row>
    <row r="128" spans="1:22" x14ac:dyDescent="0.3">
      <c r="A128" s="47"/>
      <c r="B128" s="47"/>
      <c r="C128" s="47"/>
      <c r="D128" s="47"/>
      <c r="E128" s="47"/>
      <c r="F128" s="47"/>
      <c r="G128" s="47"/>
      <c r="H128" s="47"/>
      <c r="I128" s="47"/>
      <c r="J128" s="47"/>
      <c r="K128" s="47"/>
      <c r="L128" s="47"/>
      <c r="M128" s="47"/>
      <c r="N128" s="91"/>
      <c r="O128" s="47"/>
      <c r="P128" s="47"/>
      <c r="Q128" s="47"/>
      <c r="R128" s="47"/>
      <c r="S128" s="47"/>
      <c r="T128" s="47"/>
      <c r="U128" s="47"/>
      <c r="V128" s="47"/>
    </row>
    <row r="129" spans="1:22" x14ac:dyDescent="0.3">
      <c r="A129" s="47"/>
      <c r="B129" s="47"/>
      <c r="C129" s="47"/>
      <c r="D129" s="47"/>
      <c r="E129" s="47"/>
      <c r="F129" s="47"/>
      <c r="G129" s="47"/>
      <c r="H129" s="47"/>
      <c r="I129" s="47"/>
      <c r="J129" s="47"/>
      <c r="K129" s="47"/>
      <c r="L129" s="47"/>
      <c r="M129" s="47"/>
      <c r="N129" s="91"/>
      <c r="O129" s="47"/>
      <c r="P129" s="47"/>
      <c r="Q129" s="47"/>
      <c r="R129" s="47"/>
      <c r="S129" s="47"/>
      <c r="T129" s="47"/>
      <c r="U129" s="47"/>
      <c r="V129" s="47"/>
    </row>
    <row r="130" spans="1:22" x14ac:dyDescent="0.3">
      <c r="A130" s="47"/>
      <c r="B130" s="47"/>
      <c r="C130" s="47"/>
      <c r="D130" s="47"/>
      <c r="E130" s="47"/>
      <c r="F130" s="47"/>
      <c r="G130" s="47"/>
      <c r="H130" s="47"/>
      <c r="I130" s="47"/>
      <c r="J130" s="47"/>
      <c r="K130" s="47"/>
      <c r="L130" s="47"/>
      <c r="M130" s="47"/>
      <c r="N130" s="91"/>
      <c r="O130" s="47"/>
      <c r="P130" s="47"/>
      <c r="Q130" s="47"/>
      <c r="R130" s="47"/>
      <c r="S130" s="47"/>
      <c r="T130" s="47"/>
      <c r="U130" s="47"/>
      <c r="V130" s="47"/>
    </row>
    <row r="131" spans="1:22" x14ac:dyDescent="0.3">
      <c r="A131" s="47"/>
      <c r="B131" s="47"/>
      <c r="C131" s="47"/>
      <c r="D131" s="47"/>
      <c r="E131" s="47"/>
      <c r="F131" s="47"/>
      <c r="G131" s="47"/>
      <c r="H131" s="47"/>
      <c r="I131" s="47"/>
      <c r="J131" s="47"/>
      <c r="K131" s="47"/>
      <c r="L131" s="47"/>
      <c r="M131" s="47"/>
      <c r="N131" s="91"/>
      <c r="O131" s="47"/>
      <c r="P131" s="47"/>
      <c r="Q131" s="47"/>
      <c r="R131" s="47"/>
      <c r="S131" s="47"/>
      <c r="T131" s="47"/>
      <c r="U131" s="47"/>
      <c r="V131" s="47"/>
    </row>
    <row r="132" spans="1:22" x14ac:dyDescent="0.3">
      <c r="A132" s="47"/>
      <c r="B132" s="47"/>
      <c r="C132" s="47"/>
      <c r="D132" s="47"/>
      <c r="E132" s="47"/>
      <c r="F132" s="47"/>
      <c r="G132" s="47"/>
      <c r="H132" s="47"/>
      <c r="I132" s="47"/>
      <c r="J132" s="47"/>
      <c r="K132" s="47"/>
      <c r="L132" s="47"/>
      <c r="M132" s="47"/>
      <c r="N132" s="91"/>
      <c r="O132" s="47"/>
      <c r="P132" s="47"/>
      <c r="Q132" s="47"/>
      <c r="R132" s="47"/>
      <c r="S132" s="47"/>
      <c r="T132" s="47"/>
      <c r="U132" s="47"/>
      <c r="V132" s="47"/>
    </row>
    <row r="133" spans="1:22" x14ac:dyDescent="0.3">
      <c r="A133" s="47"/>
      <c r="B133" s="47"/>
      <c r="C133" s="47"/>
      <c r="D133" s="47"/>
      <c r="E133" s="47"/>
      <c r="F133" s="47"/>
      <c r="G133" s="47"/>
      <c r="H133" s="47"/>
      <c r="I133" s="47"/>
      <c r="J133" s="47"/>
      <c r="K133" s="47"/>
      <c r="L133" s="47"/>
      <c r="M133" s="47"/>
      <c r="N133" s="91"/>
      <c r="O133" s="47"/>
      <c r="P133" s="47"/>
      <c r="Q133" s="47"/>
      <c r="R133" s="47"/>
      <c r="S133" s="47"/>
      <c r="T133" s="47"/>
      <c r="U133" s="47"/>
      <c r="V133" s="47"/>
    </row>
    <row r="134" spans="1:22" x14ac:dyDescent="0.3">
      <c r="A134" s="47"/>
      <c r="B134" s="47"/>
      <c r="C134" s="47"/>
      <c r="D134" s="47"/>
      <c r="E134" s="47"/>
      <c r="F134" s="47"/>
      <c r="G134" s="47"/>
      <c r="H134" s="47"/>
      <c r="I134" s="47"/>
      <c r="J134" s="47"/>
      <c r="K134" s="47"/>
      <c r="L134" s="47"/>
      <c r="M134" s="47"/>
      <c r="N134" s="91"/>
      <c r="O134" s="47"/>
      <c r="P134" s="47"/>
      <c r="Q134" s="47"/>
      <c r="R134" s="47"/>
      <c r="S134" s="47"/>
      <c r="T134" s="47"/>
      <c r="U134" s="47"/>
      <c r="V134" s="47"/>
    </row>
    <row r="135" spans="1:22" x14ac:dyDescent="0.3">
      <c r="A135" s="47"/>
      <c r="B135" s="47"/>
      <c r="C135" s="47"/>
      <c r="D135" s="47"/>
      <c r="E135" s="47"/>
      <c r="F135" s="47"/>
      <c r="G135" s="47"/>
      <c r="H135" s="47"/>
      <c r="I135" s="47"/>
      <c r="J135" s="47"/>
      <c r="K135" s="47"/>
      <c r="L135" s="47"/>
      <c r="M135" s="47"/>
      <c r="N135" s="91"/>
      <c r="O135" s="47"/>
      <c r="P135" s="47"/>
      <c r="Q135" s="47"/>
      <c r="R135" s="47"/>
      <c r="S135" s="47"/>
      <c r="T135" s="47"/>
      <c r="U135" s="47"/>
      <c r="V135" s="47"/>
    </row>
    <row r="136" spans="1:22" x14ac:dyDescent="0.3">
      <c r="A136" s="47"/>
      <c r="B136" s="47"/>
      <c r="C136" s="47"/>
      <c r="D136" s="47"/>
      <c r="E136" s="47"/>
      <c r="F136" s="47"/>
      <c r="G136" s="47"/>
      <c r="H136" s="47"/>
      <c r="I136" s="47"/>
      <c r="J136" s="47"/>
      <c r="K136" s="47"/>
      <c r="L136" s="47"/>
      <c r="M136" s="47"/>
      <c r="N136" s="91"/>
      <c r="O136" s="47"/>
      <c r="P136" s="47"/>
      <c r="Q136" s="47"/>
      <c r="R136" s="47"/>
      <c r="S136" s="47"/>
      <c r="T136" s="47"/>
      <c r="U136" s="47"/>
      <c r="V136" s="47"/>
    </row>
    <row r="137" spans="1:22" x14ac:dyDescent="0.3">
      <c r="A137" s="47"/>
      <c r="B137" s="47"/>
      <c r="C137" s="47"/>
      <c r="D137" s="47"/>
      <c r="E137" s="47"/>
      <c r="F137" s="47"/>
      <c r="G137" s="47"/>
      <c r="H137" s="47"/>
      <c r="I137" s="47"/>
      <c r="J137" s="47"/>
      <c r="K137" s="47"/>
      <c r="L137" s="47"/>
      <c r="M137" s="47"/>
      <c r="N137" s="91"/>
      <c r="O137" s="47"/>
      <c r="P137" s="47"/>
      <c r="Q137" s="47"/>
      <c r="R137" s="47"/>
      <c r="S137" s="47"/>
      <c r="T137" s="47"/>
      <c r="U137" s="47"/>
      <c r="V137" s="47"/>
    </row>
    <row r="138" spans="1:22" x14ac:dyDescent="0.3">
      <c r="A138" s="47"/>
      <c r="B138" s="47"/>
      <c r="C138" s="47"/>
      <c r="D138" s="47"/>
      <c r="E138" s="47"/>
      <c r="F138" s="47"/>
      <c r="G138" s="47"/>
      <c r="H138" s="47"/>
      <c r="I138" s="47"/>
      <c r="J138" s="47"/>
      <c r="K138" s="47"/>
      <c r="L138" s="47"/>
      <c r="M138" s="47"/>
      <c r="N138" s="91"/>
      <c r="O138" s="47"/>
      <c r="P138" s="47"/>
      <c r="Q138" s="47"/>
      <c r="R138" s="47"/>
      <c r="S138" s="47"/>
      <c r="T138" s="47"/>
      <c r="U138" s="47"/>
      <c r="V138" s="47"/>
    </row>
    <row r="139" spans="1:22" x14ac:dyDescent="0.3">
      <c r="A139" s="47"/>
      <c r="B139" s="47"/>
      <c r="C139" s="47"/>
      <c r="D139" s="47"/>
      <c r="E139" s="47"/>
      <c r="F139" s="47"/>
      <c r="G139" s="47"/>
      <c r="H139" s="47"/>
      <c r="I139" s="47"/>
      <c r="J139" s="47"/>
      <c r="K139" s="47"/>
      <c r="L139" s="47"/>
      <c r="M139" s="47"/>
      <c r="N139" s="91"/>
      <c r="O139" s="47"/>
      <c r="P139" s="47"/>
      <c r="Q139" s="47"/>
      <c r="R139" s="47"/>
      <c r="S139" s="47"/>
      <c r="T139" s="47"/>
      <c r="U139" s="47"/>
      <c r="V139" s="47"/>
    </row>
    <row r="140" spans="1:22" x14ac:dyDescent="0.3">
      <c r="A140" s="47"/>
      <c r="B140" s="47"/>
      <c r="C140" s="47"/>
      <c r="D140" s="47"/>
      <c r="E140" s="47"/>
      <c r="F140" s="47"/>
      <c r="G140" s="47"/>
      <c r="H140" s="47"/>
      <c r="I140" s="47"/>
      <c r="J140" s="47"/>
      <c r="K140" s="47"/>
      <c r="L140" s="47"/>
      <c r="M140" s="47"/>
      <c r="N140" s="91"/>
      <c r="O140" s="47"/>
      <c r="P140" s="47"/>
      <c r="Q140" s="47"/>
      <c r="R140" s="47"/>
      <c r="S140" s="47"/>
      <c r="T140" s="47"/>
      <c r="U140" s="47"/>
      <c r="V140" s="47"/>
    </row>
    <row r="141" spans="1:22" x14ac:dyDescent="0.3">
      <c r="A141" s="47"/>
      <c r="B141" s="47"/>
      <c r="C141" s="47"/>
      <c r="D141" s="47"/>
      <c r="E141" s="47"/>
      <c r="F141" s="47"/>
      <c r="G141" s="47"/>
      <c r="H141" s="47"/>
      <c r="I141" s="47"/>
      <c r="J141" s="47"/>
      <c r="K141" s="47"/>
      <c r="L141" s="47"/>
      <c r="M141" s="47"/>
      <c r="N141" s="91"/>
      <c r="O141" s="47"/>
      <c r="P141" s="47"/>
      <c r="Q141" s="47"/>
      <c r="R141" s="47"/>
      <c r="S141" s="47"/>
      <c r="T141" s="47"/>
      <c r="U141" s="47"/>
      <c r="V141" s="47"/>
    </row>
    <row r="142" spans="1:22" x14ac:dyDescent="0.3">
      <c r="A142" s="47"/>
      <c r="B142" s="47"/>
      <c r="C142" s="47"/>
      <c r="D142" s="47"/>
      <c r="E142" s="47"/>
      <c r="F142" s="47"/>
      <c r="G142" s="47"/>
      <c r="H142" s="47"/>
      <c r="I142" s="47"/>
      <c r="J142" s="47"/>
      <c r="K142" s="47"/>
      <c r="L142" s="47"/>
      <c r="M142" s="47"/>
      <c r="N142" s="91"/>
      <c r="O142" s="47"/>
      <c r="P142" s="47"/>
      <c r="Q142" s="47"/>
      <c r="R142" s="47"/>
      <c r="S142" s="47"/>
      <c r="T142" s="47"/>
      <c r="U142" s="47"/>
      <c r="V142" s="47"/>
    </row>
    <row r="143" spans="1:22" x14ac:dyDescent="0.3">
      <c r="A143" s="47"/>
      <c r="B143" s="47"/>
      <c r="C143" s="47"/>
      <c r="D143" s="47"/>
      <c r="E143" s="47"/>
      <c r="F143" s="47"/>
      <c r="G143" s="47"/>
      <c r="H143" s="47"/>
      <c r="I143" s="47"/>
      <c r="J143" s="47"/>
      <c r="K143" s="47"/>
      <c r="L143" s="47"/>
      <c r="M143" s="47"/>
      <c r="N143" s="91"/>
      <c r="O143" s="47"/>
      <c r="P143" s="47"/>
      <c r="Q143" s="47"/>
      <c r="R143" s="47"/>
      <c r="S143" s="47"/>
      <c r="T143" s="47"/>
      <c r="U143" s="47"/>
      <c r="V143" s="47"/>
    </row>
    <row r="144" spans="1:22" x14ac:dyDescent="0.3">
      <c r="A144" s="47"/>
      <c r="B144" s="47"/>
      <c r="C144" s="47"/>
      <c r="D144" s="47"/>
      <c r="E144" s="47"/>
      <c r="F144" s="47"/>
      <c r="G144" s="47"/>
      <c r="H144" s="47"/>
      <c r="I144" s="47"/>
      <c r="J144" s="47"/>
      <c r="K144" s="47"/>
      <c r="L144" s="47"/>
      <c r="M144" s="47"/>
      <c r="N144" s="91"/>
      <c r="O144" s="47"/>
      <c r="P144" s="47"/>
      <c r="Q144" s="47"/>
      <c r="R144" s="47"/>
      <c r="S144" s="47"/>
      <c r="T144" s="47"/>
      <c r="U144" s="47"/>
      <c r="V144" s="47"/>
    </row>
    <row r="145" spans="1:22" x14ac:dyDescent="0.3">
      <c r="A145" s="47"/>
      <c r="B145" s="47"/>
      <c r="C145" s="47"/>
      <c r="D145" s="47"/>
      <c r="E145" s="47"/>
      <c r="F145" s="47"/>
      <c r="G145" s="47"/>
      <c r="H145" s="47"/>
      <c r="I145" s="47"/>
      <c r="J145" s="47"/>
      <c r="K145" s="47"/>
      <c r="L145" s="47"/>
      <c r="M145" s="47"/>
      <c r="N145" s="91"/>
      <c r="O145" s="47"/>
      <c r="P145" s="47"/>
      <c r="Q145" s="47"/>
      <c r="R145" s="47"/>
      <c r="S145" s="47"/>
      <c r="T145" s="47"/>
      <c r="U145" s="47"/>
      <c r="V145" s="47"/>
    </row>
    <row r="146" spans="1:22" x14ac:dyDescent="0.3">
      <c r="A146" s="47"/>
      <c r="B146" s="47"/>
      <c r="C146" s="47"/>
      <c r="D146" s="47"/>
      <c r="E146" s="47"/>
      <c r="F146" s="47"/>
      <c r="G146" s="47"/>
      <c r="H146" s="47"/>
      <c r="I146" s="47"/>
      <c r="J146" s="47"/>
      <c r="K146" s="47"/>
      <c r="L146" s="47"/>
      <c r="M146" s="47"/>
      <c r="N146" s="91"/>
      <c r="O146" s="47"/>
      <c r="P146" s="47"/>
      <c r="Q146" s="47"/>
      <c r="R146" s="47"/>
      <c r="S146" s="47"/>
      <c r="T146" s="47"/>
      <c r="U146" s="47"/>
      <c r="V146" s="47"/>
    </row>
    <row r="147" spans="1:22" x14ac:dyDescent="0.3">
      <c r="A147" s="47"/>
      <c r="B147" s="47"/>
      <c r="C147" s="47"/>
      <c r="D147" s="47"/>
      <c r="E147" s="47"/>
      <c r="F147" s="47"/>
      <c r="G147" s="47"/>
      <c r="H147" s="47"/>
      <c r="I147" s="47"/>
      <c r="J147" s="47"/>
      <c r="K147" s="47"/>
      <c r="L147" s="47"/>
      <c r="M147" s="47"/>
      <c r="N147" s="91"/>
      <c r="O147" s="47"/>
      <c r="P147" s="47"/>
      <c r="Q147" s="47"/>
      <c r="R147" s="47"/>
      <c r="S147" s="47"/>
      <c r="T147" s="47"/>
      <c r="U147" s="47"/>
      <c r="V147" s="47"/>
    </row>
    <row r="148" spans="1:22" x14ac:dyDescent="0.3">
      <c r="A148" s="47"/>
      <c r="B148" s="47"/>
      <c r="C148" s="47"/>
      <c r="D148" s="47"/>
      <c r="E148" s="47"/>
      <c r="F148" s="47"/>
      <c r="G148" s="47"/>
      <c r="H148" s="47"/>
      <c r="I148" s="47"/>
      <c r="J148" s="47"/>
      <c r="K148" s="47"/>
      <c r="L148" s="47"/>
      <c r="M148" s="47"/>
      <c r="N148" s="91"/>
      <c r="O148" s="47"/>
      <c r="P148" s="47"/>
      <c r="Q148" s="47"/>
      <c r="R148" s="47"/>
      <c r="S148" s="47"/>
      <c r="T148" s="47"/>
      <c r="U148" s="47"/>
      <c r="V148" s="47"/>
    </row>
    <row r="149" spans="1:22" x14ac:dyDescent="0.3">
      <c r="A149" s="47"/>
      <c r="B149" s="47"/>
      <c r="C149" s="47"/>
      <c r="D149" s="47"/>
      <c r="E149" s="47"/>
      <c r="F149" s="47"/>
      <c r="G149" s="47"/>
      <c r="H149" s="47"/>
      <c r="I149" s="47"/>
      <c r="J149" s="47"/>
      <c r="K149" s="47"/>
      <c r="L149" s="47"/>
      <c r="M149" s="47"/>
      <c r="N149" s="91"/>
      <c r="O149" s="47"/>
      <c r="P149" s="47"/>
      <c r="Q149" s="47"/>
      <c r="R149" s="47"/>
      <c r="S149" s="47"/>
      <c r="T149" s="47"/>
      <c r="U149" s="47"/>
      <c r="V149" s="47"/>
    </row>
    <row r="150" spans="1:22" x14ac:dyDescent="0.3">
      <c r="A150" s="47"/>
      <c r="B150" s="47"/>
      <c r="C150" s="47"/>
      <c r="D150" s="47"/>
      <c r="E150" s="47"/>
      <c r="F150" s="47"/>
      <c r="G150" s="47"/>
      <c r="H150" s="47"/>
      <c r="I150" s="47"/>
      <c r="J150" s="47"/>
      <c r="K150" s="47"/>
      <c r="L150" s="47"/>
      <c r="M150" s="47"/>
      <c r="N150" s="91"/>
      <c r="O150" s="47"/>
      <c r="P150" s="47"/>
      <c r="Q150" s="47"/>
      <c r="R150" s="47"/>
      <c r="S150" s="47"/>
      <c r="T150" s="47"/>
      <c r="U150" s="47"/>
      <c r="V150" s="47"/>
    </row>
    <row r="151" spans="1:22" x14ac:dyDescent="0.3">
      <c r="A151" s="47"/>
      <c r="B151" s="47"/>
      <c r="C151" s="47"/>
      <c r="D151" s="47"/>
      <c r="E151" s="47"/>
      <c r="F151" s="47"/>
      <c r="G151" s="47"/>
      <c r="H151" s="47"/>
      <c r="I151" s="47"/>
      <c r="J151" s="47"/>
      <c r="K151" s="47"/>
      <c r="L151" s="47"/>
      <c r="M151" s="47"/>
      <c r="N151" s="91"/>
      <c r="O151" s="47"/>
      <c r="P151" s="47"/>
      <c r="Q151" s="47"/>
      <c r="R151" s="47"/>
      <c r="S151" s="47"/>
      <c r="T151" s="47"/>
      <c r="U151" s="47"/>
      <c r="V151" s="47"/>
    </row>
    <row r="152" spans="1:22" x14ac:dyDescent="0.3">
      <c r="A152" s="47"/>
      <c r="B152" s="47"/>
      <c r="C152" s="47"/>
      <c r="D152" s="47"/>
      <c r="E152" s="47"/>
      <c r="F152" s="47"/>
      <c r="G152" s="47"/>
      <c r="H152" s="47"/>
      <c r="I152" s="47"/>
      <c r="J152" s="47"/>
      <c r="K152" s="47"/>
      <c r="L152" s="47"/>
      <c r="M152" s="47"/>
      <c r="N152" s="91"/>
      <c r="O152" s="47"/>
      <c r="P152" s="47"/>
      <c r="Q152" s="47"/>
      <c r="R152" s="47"/>
      <c r="S152" s="47"/>
      <c r="T152" s="47"/>
      <c r="U152" s="47"/>
      <c r="V152" s="47"/>
    </row>
    <row r="153" spans="1:22" x14ac:dyDescent="0.3">
      <c r="A153" s="47"/>
      <c r="B153" s="47"/>
      <c r="C153" s="47"/>
      <c r="D153" s="47"/>
      <c r="E153" s="47"/>
      <c r="F153" s="47"/>
      <c r="G153" s="47"/>
      <c r="H153" s="47"/>
      <c r="I153" s="47"/>
      <c r="J153" s="47"/>
      <c r="K153" s="47"/>
      <c r="L153" s="47"/>
      <c r="M153" s="47"/>
      <c r="N153" s="91"/>
      <c r="O153" s="47"/>
      <c r="P153" s="47"/>
      <c r="Q153" s="47"/>
      <c r="R153" s="47"/>
      <c r="S153" s="47"/>
      <c r="T153" s="47"/>
      <c r="U153" s="47"/>
      <c r="V153" s="47"/>
    </row>
    <row r="154" spans="1:22" x14ac:dyDescent="0.3">
      <c r="A154" s="47"/>
      <c r="B154" s="47"/>
      <c r="C154" s="47"/>
      <c r="D154" s="47"/>
      <c r="E154" s="47"/>
      <c r="F154" s="47"/>
      <c r="G154" s="47"/>
      <c r="H154" s="47"/>
      <c r="I154" s="47"/>
      <c r="J154" s="47"/>
      <c r="K154" s="47"/>
      <c r="L154" s="47"/>
      <c r="M154" s="47"/>
      <c r="N154" s="91"/>
      <c r="O154" s="47"/>
      <c r="P154" s="47"/>
      <c r="Q154" s="47"/>
      <c r="R154" s="47"/>
      <c r="S154" s="47"/>
      <c r="T154" s="47"/>
      <c r="U154" s="47"/>
      <c r="V154" s="47"/>
    </row>
    <row r="155" spans="1:22" x14ac:dyDescent="0.3">
      <c r="A155" s="47"/>
      <c r="B155" s="47"/>
      <c r="C155" s="47"/>
      <c r="D155" s="47"/>
      <c r="E155" s="47"/>
      <c r="F155" s="47"/>
      <c r="G155" s="47"/>
      <c r="H155" s="47"/>
      <c r="I155" s="47"/>
      <c r="J155" s="47"/>
      <c r="K155" s="47"/>
      <c r="L155" s="47"/>
      <c r="M155" s="47"/>
      <c r="N155" s="91"/>
      <c r="O155" s="47"/>
      <c r="P155" s="47"/>
      <c r="Q155" s="47"/>
      <c r="R155" s="47"/>
      <c r="S155" s="47"/>
      <c r="T155" s="47"/>
      <c r="U155" s="47"/>
      <c r="V155" s="47"/>
    </row>
    <row r="156" spans="1:22" x14ac:dyDescent="0.3">
      <c r="A156" s="47"/>
      <c r="B156" s="47"/>
      <c r="C156" s="47"/>
      <c r="D156" s="47"/>
      <c r="E156" s="47"/>
      <c r="F156" s="47"/>
      <c r="G156" s="47"/>
      <c r="H156" s="47"/>
      <c r="I156" s="47"/>
      <c r="J156" s="47"/>
      <c r="K156" s="47"/>
      <c r="L156" s="47"/>
      <c r="M156" s="47"/>
      <c r="N156" s="91"/>
      <c r="O156" s="47"/>
      <c r="P156" s="47"/>
      <c r="Q156" s="47"/>
      <c r="R156" s="47"/>
      <c r="S156" s="47"/>
      <c r="T156" s="47"/>
      <c r="U156" s="47"/>
      <c r="V156" s="47"/>
    </row>
    <row r="157" spans="1:22" x14ac:dyDescent="0.3">
      <c r="A157" s="47"/>
      <c r="B157" s="47"/>
      <c r="C157" s="47"/>
      <c r="D157" s="47"/>
      <c r="E157" s="47"/>
      <c r="F157" s="47"/>
      <c r="G157" s="47"/>
      <c r="H157" s="47"/>
      <c r="I157" s="47"/>
      <c r="J157" s="47"/>
      <c r="K157" s="47"/>
      <c r="L157" s="47"/>
      <c r="M157" s="47"/>
      <c r="N157" s="91"/>
      <c r="O157" s="47"/>
      <c r="P157" s="47"/>
      <c r="Q157" s="47"/>
      <c r="R157" s="47"/>
      <c r="S157" s="47"/>
      <c r="T157" s="47"/>
      <c r="U157" s="47"/>
      <c r="V157" s="47"/>
    </row>
    <row r="158" spans="1:22" x14ac:dyDescent="0.3">
      <c r="A158" s="47"/>
      <c r="B158" s="47"/>
      <c r="C158" s="47"/>
      <c r="D158" s="47"/>
      <c r="E158" s="47"/>
      <c r="F158" s="47"/>
      <c r="G158" s="47"/>
      <c r="H158" s="47"/>
      <c r="I158" s="47"/>
      <c r="J158" s="47"/>
      <c r="K158" s="47"/>
      <c r="L158" s="47"/>
      <c r="M158" s="47"/>
      <c r="N158" s="91"/>
      <c r="O158" s="47"/>
      <c r="P158" s="47"/>
      <c r="Q158" s="47"/>
      <c r="R158" s="47"/>
      <c r="S158" s="47"/>
      <c r="T158" s="47"/>
      <c r="U158" s="47"/>
      <c r="V158" s="47"/>
    </row>
    <row r="159" spans="1:22" x14ac:dyDescent="0.3">
      <c r="A159" s="47"/>
      <c r="B159" s="47"/>
      <c r="C159" s="47"/>
      <c r="D159" s="47"/>
      <c r="E159" s="47"/>
      <c r="F159" s="47"/>
      <c r="G159" s="47"/>
      <c r="H159" s="47"/>
      <c r="I159" s="47"/>
      <c r="J159" s="47"/>
      <c r="K159" s="47"/>
      <c r="L159" s="47"/>
      <c r="M159" s="47"/>
      <c r="N159" s="91"/>
      <c r="O159" s="47"/>
      <c r="P159" s="47"/>
      <c r="Q159" s="47"/>
      <c r="R159" s="47"/>
      <c r="S159" s="47"/>
      <c r="T159" s="47"/>
      <c r="U159" s="47"/>
      <c r="V159" s="47"/>
    </row>
    <row r="160" spans="1:22" x14ac:dyDescent="0.3">
      <c r="A160" s="47"/>
      <c r="B160" s="47"/>
      <c r="C160" s="47"/>
      <c r="D160" s="47"/>
      <c r="E160" s="47"/>
      <c r="F160" s="47"/>
      <c r="G160" s="47"/>
      <c r="H160" s="47"/>
      <c r="I160" s="47"/>
      <c r="J160" s="47"/>
      <c r="K160" s="47"/>
      <c r="L160" s="47"/>
      <c r="M160" s="47"/>
      <c r="N160" s="91"/>
      <c r="O160" s="47"/>
      <c r="P160" s="47"/>
      <c r="Q160" s="47"/>
      <c r="R160" s="47"/>
      <c r="S160" s="47"/>
      <c r="T160" s="47"/>
      <c r="U160" s="47"/>
      <c r="V160" s="47"/>
    </row>
    <row r="161" spans="1:22" x14ac:dyDescent="0.3">
      <c r="A161" s="47"/>
      <c r="B161" s="47"/>
      <c r="C161" s="47"/>
      <c r="D161" s="47"/>
      <c r="E161" s="47"/>
      <c r="F161" s="47"/>
      <c r="G161" s="47"/>
      <c r="H161" s="47"/>
      <c r="I161" s="47"/>
      <c r="J161" s="47"/>
      <c r="K161" s="47"/>
      <c r="L161" s="47"/>
      <c r="M161" s="47"/>
      <c r="N161" s="91"/>
      <c r="O161" s="47"/>
      <c r="P161" s="47"/>
      <c r="Q161" s="47"/>
      <c r="R161" s="47"/>
      <c r="S161" s="47"/>
      <c r="T161" s="47"/>
      <c r="U161" s="47"/>
      <c r="V161" s="47"/>
    </row>
    <row r="162" spans="1:22" x14ac:dyDescent="0.3">
      <c r="A162" s="47"/>
      <c r="B162" s="47"/>
      <c r="C162" s="47"/>
      <c r="D162" s="47"/>
      <c r="E162" s="47"/>
      <c r="F162" s="47"/>
      <c r="G162" s="47"/>
      <c r="H162" s="47"/>
      <c r="I162" s="47"/>
      <c r="J162" s="47"/>
      <c r="K162" s="47"/>
      <c r="L162" s="47"/>
      <c r="M162" s="47"/>
      <c r="N162" s="91"/>
      <c r="O162" s="47"/>
      <c r="P162" s="47"/>
      <c r="Q162" s="47"/>
      <c r="R162" s="47"/>
      <c r="S162" s="47"/>
      <c r="T162" s="47"/>
      <c r="U162" s="47"/>
      <c r="V162" s="47"/>
    </row>
    <row r="163" spans="1:22" x14ac:dyDescent="0.3">
      <c r="A163" s="47"/>
      <c r="B163" s="47"/>
      <c r="C163" s="47"/>
      <c r="D163" s="47"/>
      <c r="E163" s="47"/>
      <c r="F163" s="47"/>
      <c r="G163" s="47"/>
      <c r="H163" s="47"/>
      <c r="I163" s="47"/>
      <c r="J163" s="47"/>
      <c r="K163" s="47"/>
      <c r="L163" s="47"/>
      <c r="M163" s="47"/>
      <c r="N163" s="91"/>
      <c r="O163" s="47"/>
      <c r="P163" s="47"/>
      <c r="Q163" s="47"/>
      <c r="R163" s="47"/>
      <c r="S163" s="47"/>
      <c r="T163" s="47"/>
      <c r="U163" s="47"/>
      <c r="V163" s="47"/>
    </row>
    <row r="164" spans="1:22" x14ac:dyDescent="0.3">
      <c r="A164" s="47"/>
      <c r="B164" s="47"/>
      <c r="C164" s="47"/>
      <c r="D164" s="47"/>
      <c r="E164" s="47"/>
      <c r="F164" s="47"/>
      <c r="G164" s="47"/>
      <c r="H164" s="47"/>
      <c r="I164" s="47"/>
      <c r="J164" s="47"/>
      <c r="K164" s="47"/>
      <c r="L164" s="47"/>
      <c r="M164" s="47"/>
      <c r="N164" s="91"/>
      <c r="O164" s="47"/>
      <c r="P164" s="47"/>
      <c r="Q164" s="47"/>
      <c r="R164" s="47"/>
      <c r="S164" s="47"/>
      <c r="T164" s="47"/>
      <c r="U164" s="47"/>
      <c r="V164" s="47"/>
    </row>
    <row r="165" spans="1:22" x14ac:dyDescent="0.3">
      <c r="A165" s="47"/>
      <c r="B165" s="47"/>
      <c r="C165" s="47"/>
      <c r="D165" s="47"/>
      <c r="E165" s="47"/>
      <c r="F165" s="47"/>
      <c r="G165" s="47"/>
      <c r="H165" s="47"/>
      <c r="I165" s="47"/>
      <c r="J165" s="47"/>
      <c r="K165" s="47"/>
      <c r="L165" s="47"/>
      <c r="M165" s="47"/>
      <c r="N165" s="91"/>
      <c r="O165" s="47"/>
      <c r="P165" s="47"/>
      <c r="Q165" s="47"/>
      <c r="R165" s="47"/>
      <c r="S165" s="47"/>
      <c r="T165" s="47"/>
      <c r="U165" s="47"/>
      <c r="V165" s="47"/>
    </row>
    <row r="166" spans="1:22" x14ac:dyDescent="0.3">
      <c r="A166" s="47"/>
      <c r="B166" s="47"/>
      <c r="C166" s="47"/>
      <c r="D166" s="47"/>
      <c r="E166" s="47"/>
      <c r="F166" s="47"/>
      <c r="G166" s="47"/>
      <c r="H166" s="47"/>
      <c r="I166" s="47"/>
      <c r="J166" s="47"/>
      <c r="K166" s="47"/>
      <c r="L166" s="47"/>
      <c r="M166" s="47"/>
      <c r="N166" s="91"/>
      <c r="O166" s="47"/>
      <c r="P166" s="47"/>
      <c r="Q166" s="47"/>
      <c r="R166" s="47"/>
      <c r="S166" s="47"/>
      <c r="T166" s="47"/>
      <c r="U166" s="47"/>
      <c r="V166" s="47"/>
    </row>
    <row r="167" spans="1:22" x14ac:dyDescent="0.3">
      <c r="A167" s="47"/>
      <c r="B167" s="47"/>
      <c r="C167" s="47"/>
      <c r="D167" s="47"/>
      <c r="E167" s="47"/>
      <c r="F167" s="47"/>
      <c r="G167" s="47"/>
      <c r="H167" s="47"/>
      <c r="I167" s="47"/>
      <c r="J167" s="47"/>
      <c r="K167" s="47"/>
      <c r="L167" s="47"/>
      <c r="M167" s="47"/>
      <c r="N167" s="91"/>
      <c r="O167" s="47"/>
      <c r="P167" s="47"/>
      <c r="Q167" s="47"/>
      <c r="R167" s="47"/>
      <c r="S167" s="47"/>
      <c r="T167" s="47"/>
      <c r="U167" s="47"/>
      <c r="V167" s="47"/>
    </row>
    <row r="168" spans="1:22" x14ac:dyDescent="0.3">
      <c r="A168" s="47"/>
      <c r="B168" s="47"/>
      <c r="C168" s="47"/>
      <c r="D168" s="47"/>
      <c r="E168" s="47"/>
      <c r="F168" s="47"/>
      <c r="G168" s="47"/>
      <c r="H168" s="47"/>
      <c r="I168" s="47"/>
      <c r="J168" s="47"/>
      <c r="K168" s="47"/>
      <c r="L168" s="47"/>
      <c r="M168" s="47"/>
      <c r="N168" s="91"/>
      <c r="O168" s="47"/>
      <c r="P168" s="47"/>
      <c r="Q168" s="47"/>
      <c r="R168" s="47"/>
      <c r="S168" s="47"/>
      <c r="T168" s="47"/>
      <c r="U168" s="47"/>
      <c r="V168" s="47"/>
    </row>
    <row r="169" spans="1:22" x14ac:dyDescent="0.3">
      <c r="A169" s="47"/>
      <c r="B169" s="47"/>
      <c r="C169" s="47"/>
      <c r="D169" s="47"/>
      <c r="E169" s="47"/>
      <c r="F169" s="47"/>
      <c r="G169" s="47"/>
      <c r="H169" s="47"/>
      <c r="I169" s="47"/>
      <c r="J169" s="47"/>
      <c r="K169" s="47"/>
      <c r="L169" s="47"/>
      <c r="M169" s="47"/>
      <c r="N169" s="91"/>
      <c r="O169" s="47"/>
      <c r="P169" s="47"/>
      <c r="Q169" s="47"/>
      <c r="R169" s="47"/>
      <c r="S169" s="47"/>
      <c r="T169" s="47"/>
      <c r="U169" s="47"/>
      <c r="V169" s="47"/>
    </row>
    <row r="170" spans="1:22" x14ac:dyDescent="0.3">
      <c r="A170" s="47"/>
      <c r="B170" s="47"/>
      <c r="C170" s="47"/>
      <c r="D170" s="47"/>
      <c r="E170" s="47"/>
      <c r="F170" s="47"/>
      <c r="G170" s="47"/>
      <c r="H170" s="47"/>
      <c r="I170" s="47"/>
      <c r="J170" s="47"/>
      <c r="K170" s="47"/>
      <c r="L170" s="47"/>
      <c r="M170" s="47"/>
      <c r="N170" s="91"/>
      <c r="O170" s="47"/>
      <c r="P170" s="47"/>
      <c r="Q170" s="47"/>
      <c r="R170" s="47"/>
      <c r="S170" s="47"/>
      <c r="T170" s="47"/>
      <c r="U170" s="47"/>
      <c r="V170" s="47"/>
    </row>
    <row r="171" spans="1:22" x14ac:dyDescent="0.3">
      <c r="A171" s="47"/>
      <c r="B171" s="47"/>
      <c r="C171" s="47"/>
      <c r="D171" s="47"/>
      <c r="E171" s="47"/>
      <c r="F171" s="47"/>
      <c r="G171" s="47"/>
      <c r="H171" s="47"/>
      <c r="I171" s="47"/>
      <c r="J171" s="47"/>
      <c r="K171" s="47"/>
      <c r="L171" s="47"/>
      <c r="M171" s="47"/>
      <c r="N171" s="91"/>
      <c r="O171" s="47"/>
      <c r="P171" s="47"/>
      <c r="Q171" s="47"/>
      <c r="R171" s="47"/>
      <c r="S171" s="47"/>
      <c r="T171" s="47"/>
      <c r="U171" s="47"/>
      <c r="V171" s="47"/>
    </row>
    <row r="172" spans="1:22" x14ac:dyDescent="0.3">
      <c r="A172" s="47"/>
      <c r="B172" s="47"/>
      <c r="C172" s="47"/>
      <c r="D172" s="47"/>
      <c r="E172" s="47"/>
      <c r="F172" s="47"/>
      <c r="G172" s="47"/>
      <c r="H172" s="47"/>
      <c r="I172" s="47"/>
      <c r="J172" s="47"/>
      <c r="K172" s="47"/>
      <c r="L172" s="47"/>
      <c r="M172" s="47"/>
      <c r="N172" s="91"/>
      <c r="O172" s="47"/>
      <c r="P172" s="47"/>
      <c r="Q172" s="47"/>
      <c r="R172" s="47"/>
      <c r="S172" s="47"/>
      <c r="T172" s="47"/>
      <c r="U172" s="47"/>
      <c r="V172" s="47"/>
    </row>
    <row r="173" spans="1:22" x14ac:dyDescent="0.3">
      <c r="A173" s="47"/>
      <c r="B173" s="47"/>
      <c r="C173" s="47"/>
      <c r="D173" s="47"/>
      <c r="E173" s="47"/>
      <c r="F173" s="47"/>
      <c r="G173" s="47"/>
      <c r="H173" s="47"/>
      <c r="I173" s="47"/>
      <c r="J173" s="47"/>
      <c r="K173" s="47"/>
      <c r="L173" s="47"/>
      <c r="M173" s="47"/>
      <c r="N173" s="91"/>
      <c r="O173" s="47"/>
      <c r="P173" s="47"/>
      <c r="Q173" s="47"/>
      <c r="R173" s="47"/>
      <c r="S173" s="47"/>
      <c r="T173" s="47"/>
      <c r="U173" s="47"/>
      <c r="V173" s="47"/>
    </row>
    <row r="174" spans="1:22" x14ac:dyDescent="0.3">
      <c r="A174" s="47"/>
      <c r="B174" s="47"/>
      <c r="C174" s="47"/>
      <c r="D174" s="47"/>
      <c r="E174" s="47"/>
      <c r="F174" s="47"/>
      <c r="G174" s="47"/>
      <c r="H174" s="47"/>
      <c r="I174" s="47"/>
      <c r="J174" s="47"/>
      <c r="K174" s="47"/>
      <c r="L174" s="47"/>
      <c r="M174" s="47"/>
      <c r="N174" s="91"/>
      <c r="O174" s="47"/>
      <c r="P174" s="47"/>
      <c r="Q174" s="47"/>
      <c r="R174" s="47"/>
      <c r="S174" s="47"/>
      <c r="T174" s="47"/>
      <c r="U174" s="47"/>
      <c r="V174" s="47"/>
    </row>
    <row r="175" spans="1:22" x14ac:dyDescent="0.3">
      <c r="A175" s="47"/>
      <c r="B175" s="47"/>
      <c r="C175" s="47"/>
      <c r="D175" s="47"/>
      <c r="E175" s="47"/>
      <c r="F175" s="47"/>
      <c r="G175" s="47"/>
      <c r="H175" s="47"/>
      <c r="I175" s="47"/>
      <c r="J175" s="47"/>
      <c r="K175" s="47"/>
      <c r="L175" s="47"/>
      <c r="M175" s="47"/>
      <c r="N175" s="91"/>
      <c r="O175" s="47"/>
      <c r="P175" s="47"/>
      <c r="Q175" s="47"/>
      <c r="R175" s="47"/>
      <c r="S175" s="47"/>
      <c r="T175" s="47"/>
      <c r="U175" s="47"/>
      <c r="V175" s="47"/>
    </row>
    <row r="176" spans="1:22" x14ac:dyDescent="0.3">
      <c r="A176" s="47"/>
      <c r="B176" s="47"/>
      <c r="C176" s="47"/>
      <c r="D176" s="47"/>
      <c r="E176" s="47"/>
      <c r="F176" s="47"/>
      <c r="G176" s="47"/>
      <c r="H176" s="47"/>
      <c r="I176" s="47"/>
      <c r="J176" s="47"/>
      <c r="K176" s="47"/>
      <c r="L176" s="47"/>
      <c r="M176" s="47"/>
      <c r="N176" s="91"/>
      <c r="O176" s="47"/>
      <c r="P176" s="47"/>
      <c r="Q176" s="47"/>
      <c r="R176" s="47"/>
      <c r="S176" s="47"/>
      <c r="T176" s="47"/>
      <c r="U176" s="47"/>
      <c r="V176" s="47"/>
    </row>
    <row r="177" spans="1:22" x14ac:dyDescent="0.3">
      <c r="A177" s="47"/>
      <c r="B177" s="47"/>
      <c r="C177" s="47"/>
      <c r="D177" s="47"/>
      <c r="E177" s="47"/>
      <c r="F177" s="47"/>
      <c r="G177" s="47"/>
      <c r="H177" s="47"/>
      <c r="I177" s="47"/>
      <c r="J177" s="47"/>
      <c r="K177" s="47"/>
      <c r="L177" s="47"/>
      <c r="M177" s="47"/>
      <c r="N177" s="91"/>
      <c r="O177" s="47"/>
      <c r="P177" s="47"/>
      <c r="Q177" s="47"/>
      <c r="R177" s="47"/>
      <c r="S177" s="47"/>
      <c r="T177" s="47"/>
      <c r="U177" s="47"/>
      <c r="V177" s="47"/>
    </row>
    <row r="178" spans="1:22" x14ac:dyDescent="0.3">
      <c r="A178" s="47"/>
      <c r="B178" s="47"/>
      <c r="C178" s="47"/>
      <c r="D178" s="47"/>
      <c r="E178" s="47"/>
      <c r="F178" s="47"/>
      <c r="G178" s="47"/>
      <c r="H178" s="47"/>
      <c r="I178" s="47"/>
      <c r="J178" s="47"/>
      <c r="K178" s="47"/>
      <c r="L178" s="47"/>
      <c r="M178" s="47"/>
      <c r="N178" s="91"/>
      <c r="O178" s="47"/>
      <c r="P178" s="47"/>
      <c r="Q178" s="47"/>
      <c r="R178" s="47"/>
      <c r="S178" s="47"/>
      <c r="T178" s="47"/>
      <c r="U178" s="47"/>
      <c r="V178" s="47"/>
    </row>
    <row r="179" spans="1:22" x14ac:dyDescent="0.3">
      <c r="A179" s="47"/>
      <c r="B179" s="47"/>
      <c r="C179" s="47"/>
      <c r="D179" s="47"/>
      <c r="E179" s="47"/>
      <c r="F179" s="47"/>
      <c r="G179" s="47"/>
      <c r="H179" s="47"/>
      <c r="I179" s="47"/>
      <c r="J179" s="47"/>
      <c r="K179" s="47"/>
      <c r="L179" s="47"/>
      <c r="M179" s="47"/>
      <c r="N179" s="91"/>
      <c r="O179" s="47"/>
      <c r="P179" s="47"/>
      <c r="Q179" s="47"/>
      <c r="R179" s="47"/>
      <c r="S179" s="47"/>
      <c r="T179" s="47"/>
      <c r="U179" s="47"/>
      <c r="V179" s="47"/>
    </row>
    <row r="180" spans="1:22" x14ac:dyDescent="0.3">
      <c r="A180" s="47"/>
      <c r="B180" s="47"/>
      <c r="C180" s="47"/>
      <c r="D180" s="47"/>
      <c r="E180" s="47"/>
      <c r="F180" s="47"/>
      <c r="G180" s="47"/>
      <c r="H180" s="47"/>
      <c r="I180" s="47"/>
      <c r="J180" s="47"/>
      <c r="K180" s="47"/>
      <c r="L180" s="47"/>
      <c r="M180" s="47"/>
      <c r="N180" s="91"/>
      <c r="O180" s="47"/>
      <c r="P180" s="47"/>
      <c r="Q180" s="47"/>
      <c r="R180" s="47"/>
      <c r="S180" s="47"/>
      <c r="T180" s="47"/>
      <c r="U180" s="47"/>
      <c r="V180" s="47"/>
    </row>
    <row r="181" spans="1:22" x14ac:dyDescent="0.3">
      <c r="A181" s="47"/>
      <c r="B181" s="47"/>
      <c r="C181" s="47"/>
      <c r="D181" s="47"/>
      <c r="E181" s="47"/>
      <c r="F181" s="47"/>
      <c r="G181" s="47"/>
      <c r="H181" s="47"/>
      <c r="I181" s="47"/>
      <c r="J181" s="47"/>
      <c r="K181" s="47"/>
      <c r="L181" s="47"/>
      <c r="M181" s="47"/>
      <c r="N181" s="91"/>
      <c r="O181" s="47"/>
      <c r="P181" s="47"/>
      <c r="Q181" s="47"/>
      <c r="R181" s="47"/>
      <c r="S181" s="47"/>
      <c r="T181" s="47"/>
      <c r="U181" s="47"/>
      <c r="V181" s="47"/>
    </row>
    <row r="182" spans="1:22" x14ac:dyDescent="0.3">
      <c r="A182" s="47"/>
      <c r="B182" s="47"/>
      <c r="C182" s="47"/>
      <c r="D182" s="47"/>
      <c r="E182" s="47"/>
      <c r="F182" s="47"/>
      <c r="G182" s="47"/>
      <c r="H182" s="47"/>
      <c r="I182" s="47"/>
      <c r="J182" s="47"/>
      <c r="K182" s="47"/>
      <c r="L182" s="47"/>
      <c r="M182" s="47"/>
      <c r="N182" s="91"/>
      <c r="O182" s="47"/>
      <c r="P182" s="47"/>
      <c r="Q182" s="47"/>
      <c r="R182" s="47"/>
      <c r="S182" s="47"/>
      <c r="T182" s="47"/>
      <c r="U182" s="47"/>
      <c r="V182" s="47"/>
    </row>
    <row r="183" spans="1:22" x14ac:dyDescent="0.3">
      <c r="A183" s="47"/>
      <c r="B183" s="47"/>
      <c r="C183" s="47"/>
      <c r="D183" s="47"/>
      <c r="E183" s="47"/>
      <c r="F183" s="47"/>
      <c r="G183" s="47"/>
      <c r="H183" s="47"/>
      <c r="I183" s="47"/>
      <c r="J183" s="47"/>
      <c r="K183" s="47"/>
      <c r="L183" s="47"/>
      <c r="M183" s="47"/>
      <c r="N183" s="91"/>
      <c r="O183" s="47"/>
      <c r="P183" s="47"/>
      <c r="Q183" s="47"/>
      <c r="R183" s="47"/>
      <c r="S183" s="47"/>
      <c r="T183" s="47"/>
      <c r="U183" s="47"/>
      <c r="V183" s="47"/>
    </row>
    <row r="184" spans="1:22" x14ac:dyDescent="0.3">
      <c r="A184" s="47"/>
      <c r="B184" s="47"/>
      <c r="C184" s="47"/>
      <c r="D184" s="47"/>
      <c r="E184" s="47"/>
      <c r="F184" s="47"/>
      <c r="G184" s="47"/>
      <c r="H184" s="47"/>
      <c r="I184" s="47"/>
      <c r="J184" s="47"/>
      <c r="K184" s="47"/>
      <c r="L184" s="47"/>
      <c r="M184" s="47"/>
      <c r="N184" s="91"/>
      <c r="O184" s="47"/>
      <c r="P184" s="47"/>
      <c r="Q184" s="47"/>
      <c r="R184" s="47"/>
      <c r="S184" s="47"/>
      <c r="T184" s="47"/>
      <c r="U184" s="47"/>
      <c r="V184" s="47"/>
    </row>
    <row r="185" spans="1:22" x14ac:dyDescent="0.3">
      <c r="A185" s="47"/>
      <c r="B185" s="47"/>
      <c r="C185" s="47"/>
      <c r="D185" s="47"/>
      <c r="E185" s="47"/>
      <c r="F185" s="47"/>
      <c r="G185" s="47"/>
      <c r="H185" s="47"/>
      <c r="I185" s="47"/>
      <c r="J185" s="47"/>
      <c r="K185" s="47"/>
      <c r="L185" s="47"/>
      <c r="M185" s="47"/>
      <c r="N185" s="91"/>
      <c r="O185" s="47"/>
      <c r="P185" s="47"/>
      <c r="Q185" s="47"/>
      <c r="R185" s="47"/>
      <c r="S185" s="47"/>
      <c r="T185" s="47"/>
      <c r="U185" s="47"/>
      <c r="V185" s="47"/>
    </row>
    <row r="186" spans="1:22" x14ac:dyDescent="0.3">
      <c r="A186" s="47"/>
      <c r="B186" s="47"/>
      <c r="C186" s="47"/>
      <c r="D186" s="47"/>
      <c r="E186" s="47"/>
      <c r="F186" s="47"/>
      <c r="G186" s="47"/>
      <c r="H186" s="47"/>
      <c r="I186" s="47"/>
      <c r="J186" s="47"/>
      <c r="K186" s="47"/>
      <c r="L186" s="47"/>
      <c r="M186" s="47"/>
      <c r="N186" s="91"/>
      <c r="O186" s="47"/>
      <c r="P186" s="47"/>
      <c r="Q186" s="47"/>
      <c r="R186" s="47"/>
      <c r="S186" s="47"/>
      <c r="T186" s="47"/>
      <c r="U186" s="47"/>
      <c r="V186" s="47"/>
    </row>
    <row r="187" spans="1:22" x14ac:dyDescent="0.3">
      <c r="A187" s="47"/>
      <c r="B187" s="47"/>
      <c r="C187" s="47"/>
      <c r="D187" s="47"/>
      <c r="E187" s="47"/>
      <c r="F187" s="47"/>
      <c r="G187" s="47"/>
      <c r="H187" s="47"/>
      <c r="I187" s="47"/>
      <c r="J187" s="47"/>
      <c r="K187" s="47"/>
      <c r="L187" s="47"/>
      <c r="M187" s="47"/>
      <c r="N187" s="91"/>
      <c r="O187" s="47"/>
      <c r="P187" s="47"/>
      <c r="Q187" s="47"/>
      <c r="R187" s="47"/>
      <c r="S187" s="47"/>
      <c r="T187" s="47"/>
      <c r="U187" s="47"/>
      <c r="V187" s="47"/>
    </row>
    <row r="188" spans="1:22" x14ac:dyDescent="0.3">
      <c r="A188" s="47"/>
      <c r="B188" s="47"/>
      <c r="C188" s="47"/>
      <c r="D188" s="47"/>
      <c r="E188" s="47"/>
      <c r="F188" s="47"/>
      <c r="G188" s="47"/>
      <c r="H188" s="47"/>
      <c r="I188" s="47"/>
      <c r="J188" s="47"/>
      <c r="K188" s="47"/>
      <c r="L188" s="47"/>
      <c r="M188" s="47"/>
      <c r="N188" s="91"/>
      <c r="O188" s="47"/>
      <c r="P188" s="47"/>
      <c r="Q188" s="47"/>
      <c r="R188" s="47"/>
      <c r="S188" s="47"/>
      <c r="T188" s="47"/>
      <c r="U188" s="47"/>
      <c r="V188" s="47"/>
    </row>
    <row r="189" spans="1:22" x14ac:dyDescent="0.3">
      <c r="A189" s="47"/>
      <c r="B189" s="47"/>
      <c r="C189" s="47"/>
      <c r="D189" s="47"/>
      <c r="E189" s="47"/>
      <c r="F189" s="47"/>
      <c r="G189" s="47"/>
      <c r="H189" s="47"/>
      <c r="I189" s="47"/>
      <c r="J189" s="47"/>
      <c r="K189" s="47"/>
      <c r="L189" s="47"/>
      <c r="M189" s="47"/>
      <c r="N189" s="91"/>
      <c r="O189" s="47"/>
      <c r="P189" s="47"/>
      <c r="Q189" s="47"/>
      <c r="R189" s="47"/>
      <c r="S189" s="47"/>
      <c r="T189" s="47"/>
      <c r="U189" s="47"/>
      <c r="V189" s="47"/>
    </row>
    <row r="190" spans="1:22" x14ac:dyDescent="0.3">
      <c r="A190" s="47"/>
      <c r="B190" s="47"/>
      <c r="C190" s="47"/>
      <c r="D190" s="47"/>
      <c r="E190" s="47"/>
      <c r="F190" s="47"/>
      <c r="G190" s="47"/>
      <c r="H190" s="47"/>
      <c r="I190" s="47"/>
      <c r="J190" s="47"/>
      <c r="K190" s="47"/>
      <c r="L190" s="47"/>
      <c r="M190" s="47"/>
      <c r="N190" s="91"/>
      <c r="O190" s="47"/>
      <c r="P190" s="47"/>
      <c r="Q190" s="47"/>
      <c r="R190" s="47"/>
      <c r="S190" s="47"/>
      <c r="T190" s="47"/>
      <c r="U190" s="47"/>
      <c r="V190" s="47"/>
    </row>
    <row r="191" spans="1:22" x14ac:dyDescent="0.3">
      <c r="A191" s="47"/>
      <c r="B191" s="47"/>
      <c r="C191" s="47"/>
      <c r="D191" s="47"/>
      <c r="E191" s="47"/>
      <c r="F191" s="47"/>
      <c r="G191" s="47"/>
      <c r="H191" s="47"/>
      <c r="I191" s="47"/>
      <c r="J191" s="47"/>
      <c r="K191" s="47"/>
      <c r="L191" s="47"/>
      <c r="M191" s="47"/>
      <c r="N191" s="91"/>
      <c r="O191" s="47"/>
      <c r="P191" s="47"/>
      <c r="Q191" s="47"/>
      <c r="R191" s="47"/>
      <c r="S191" s="47"/>
      <c r="T191" s="47"/>
      <c r="U191" s="47"/>
      <c r="V191" s="47"/>
    </row>
    <row r="192" spans="1:22" x14ac:dyDescent="0.3">
      <c r="A192" s="47"/>
      <c r="B192" s="47"/>
      <c r="C192" s="47"/>
      <c r="D192" s="47"/>
      <c r="E192" s="47"/>
      <c r="F192" s="47"/>
      <c r="G192" s="47"/>
      <c r="H192" s="47"/>
      <c r="I192" s="47"/>
      <c r="J192" s="47"/>
      <c r="K192" s="47"/>
      <c r="L192" s="47"/>
      <c r="M192" s="47"/>
      <c r="N192" s="91"/>
      <c r="O192" s="47"/>
      <c r="P192" s="47"/>
      <c r="Q192" s="47"/>
      <c r="R192" s="47"/>
      <c r="S192" s="47"/>
      <c r="T192" s="47"/>
      <c r="U192" s="47"/>
      <c r="V192" s="47"/>
    </row>
    <row r="193" spans="1:22" x14ac:dyDescent="0.3">
      <c r="A193" s="47"/>
      <c r="B193" s="47"/>
      <c r="C193" s="47"/>
      <c r="D193" s="47"/>
      <c r="E193" s="47"/>
      <c r="F193" s="47"/>
      <c r="G193" s="47"/>
      <c r="H193" s="47"/>
      <c r="I193" s="47"/>
      <c r="J193" s="47"/>
      <c r="K193" s="47"/>
      <c r="L193" s="47"/>
      <c r="M193" s="47"/>
      <c r="N193" s="91"/>
      <c r="O193" s="47"/>
      <c r="P193" s="47"/>
      <c r="Q193" s="47"/>
      <c r="R193" s="47"/>
      <c r="S193" s="47"/>
      <c r="T193" s="47"/>
      <c r="U193" s="47"/>
      <c r="V193" s="47"/>
    </row>
    <row r="194" spans="1:22" x14ac:dyDescent="0.3">
      <c r="A194" s="47"/>
      <c r="B194" s="47"/>
      <c r="C194" s="47"/>
      <c r="D194" s="47"/>
      <c r="E194" s="47"/>
      <c r="F194" s="47"/>
      <c r="G194" s="47"/>
      <c r="H194" s="47"/>
      <c r="I194" s="47"/>
      <c r="J194" s="47"/>
      <c r="K194" s="47"/>
      <c r="L194" s="47"/>
      <c r="M194" s="47"/>
      <c r="N194" s="91"/>
      <c r="O194" s="47"/>
      <c r="P194" s="47"/>
      <c r="Q194" s="47"/>
      <c r="R194" s="47"/>
      <c r="S194" s="47"/>
      <c r="T194" s="47"/>
      <c r="U194" s="47"/>
      <c r="V194" s="47"/>
    </row>
    <row r="195" spans="1:22" x14ac:dyDescent="0.3">
      <c r="A195" s="47"/>
      <c r="B195" s="47"/>
      <c r="C195" s="47"/>
      <c r="D195" s="47"/>
      <c r="E195" s="47"/>
      <c r="F195" s="47"/>
      <c r="G195" s="47"/>
      <c r="H195" s="47"/>
      <c r="I195" s="47"/>
      <c r="J195" s="47"/>
      <c r="K195" s="47"/>
      <c r="L195" s="47"/>
      <c r="M195" s="47"/>
      <c r="N195" s="91"/>
      <c r="O195" s="47"/>
      <c r="P195" s="47"/>
      <c r="Q195" s="47"/>
      <c r="R195" s="47"/>
      <c r="S195" s="47"/>
      <c r="T195" s="47"/>
      <c r="U195" s="47"/>
      <c r="V195" s="47"/>
    </row>
    <row r="196" spans="1:22" x14ac:dyDescent="0.3">
      <c r="A196" s="47"/>
      <c r="B196" s="47"/>
      <c r="C196" s="47"/>
      <c r="D196" s="47"/>
      <c r="E196" s="47"/>
      <c r="F196" s="47"/>
      <c r="G196" s="47"/>
      <c r="H196" s="47"/>
      <c r="I196" s="47"/>
      <c r="J196" s="47"/>
      <c r="K196" s="47"/>
      <c r="L196" s="47"/>
      <c r="M196" s="47"/>
      <c r="N196" s="91"/>
      <c r="O196" s="47"/>
      <c r="P196" s="47"/>
      <c r="Q196" s="47"/>
      <c r="R196" s="47"/>
      <c r="S196" s="47"/>
      <c r="T196" s="47"/>
      <c r="U196" s="47"/>
      <c r="V196" s="47"/>
    </row>
    <row r="197" spans="1:22" x14ac:dyDescent="0.3">
      <c r="A197" s="47"/>
      <c r="B197" s="47"/>
      <c r="C197" s="47"/>
      <c r="D197" s="47"/>
      <c r="E197" s="47"/>
      <c r="F197" s="47"/>
      <c r="G197" s="47"/>
      <c r="H197" s="47"/>
      <c r="I197" s="47"/>
      <c r="J197" s="47"/>
      <c r="K197" s="47"/>
      <c r="L197" s="47"/>
      <c r="M197" s="47"/>
      <c r="N197" s="91"/>
      <c r="O197" s="47"/>
      <c r="P197" s="47"/>
      <c r="Q197" s="47"/>
      <c r="R197" s="47"/>
      <c r="S197" s="47"/>
      <c r="T197" s="47"/>
      <c r="U197" s="47"/>
      <c r="V197" s="47"/>
    </row>
    <row r="198" spans="1:22" x14ac:dyDescent="0.3">
      <c r="A198" s="47"/>
      <c r="B198" s="47"/>
      <c r="C198" s="47"/>
      <c r="D198" s="47"/>
      <c r="E198" s="47"/>
      <c r="F198" s="47"/>
      <c r="G198" s="47"/>
      <c r="H198" s="47"/>
      <c r="I198" s="47"/>
      <c r="J198" s="47"/>
      <c r="K198" s="47"/>
      <c r="L198" s="47"/>
      <c r="M198" s="47"/>
      <c r="N198" s="91"/>
      <c r="O198" s="47"/>
      <c r="P198" s="47"/>
      <c r="Q198" s="47"/>
      <c r="R198" s="47"/>
      <c r="S198" s="47"/>
      <c r="T198" s="47"/>
      <c r="U198" s="47"/>
      <c r="V198" s="47"/>
    </row>
    <row r="199" spans="1:22" x14ac:dyDescent="0.3">
      <c r="A199" s="47"/>
      <c r="B199" s="47"/>
      <c r="C199" s="47"/>
      <c r="D199" s="47"/>
      <c r="E199" s="47"/>
      <c r="F199" s="47"/>
      <c r="G199" s="47"/>
      <c r="H199" s="47"/>
      <c r="I199" s="47"/>
      <c r="J199" s="47"/>
      <c r="K199" s="47"/>
      <c r="L199" s="47"/>
      <c r="M199" s="47"/>
      <c r="N199" s="91"/>
      <c r="O199" s="47"/>
      <c r="P199" s="47"/>
      <c r="Q199" s="47"/>
      <c r="R199" s="47"/>
      <c r="S199" s="47"/>
      <c r="T199" s="47"/>
      <c r="U199" s="47"/>
      <c r="V199" s="47"/>
    </row>
    <row r="200" spans="1:22" x14ac:dyDescent="0.3">
      <c r="A200" s="47"/>
      <c r="B200" s="47"/>
      <c r="C200" s="47"/>
      <c r="D200" s="47"/>
      <c r="E200" s="47"/>
      <c r="F200" s="47"/>
      <c r="G200" s="47"/>
      <c r="H200" s="47"/>
      <c r="I200" s="47"/>
      <c r="J200" s="47"/>
      <c r="K200" s="47"/>
      <c r="L200" s="47"/>
      <c r="M200" s="47"/>
      <c r="N200" s="91"/>
      <c r="O200" s="47"/>
      <c r="P200" s="47"/>
      <c r="Q200" s="47"/>
      <c r="R200" s="47"/>
      <c r="S200" s="47"/>
      <c r="T200" s="47"/>
      <c r="U200" s="47"/>
      <c r="V200" s="47"/>
    </row>
    <row r="201" spans="1:22" x14ac:dyDescent="0.3">
      <c r="A201" s="47"/>
      <c r="B201" s="47"/>
      <c r="C201" s="47"/>
      <c r="D201" s="47"/>
      <c r="E201" s="47"/>
      <c r="F201" s="47"/>
      <c r="G201" s="47"/>
      <c r="H201" s="47"/>
      <c r="I201" s="47"/>
      <c r="J201" s="47"/>
      <c r="K201" s="47"/>
      <c r="L201" s="47"/>
      <c r="M201" s="47"/>
      <c r="N201" s="91"/>
      <c r="O201" s="47"/>
      <c r="P201" s="47"/>
      <c r="Q201" s="47"/>
      <c r="R201" s="47"/>
      <c r="S201" s="47"/>
      <c r="T201" s="47"/>
      <c r="U201" s="47"/>
      <c r="V201" s="47"/>
    </row>
    <row r="202" spans="1:22" x14ac:dyDescent="0.3">
      <c r="A202" s="47"/>
      <c r="B202" s="47"/>
      <c r="C202" s="47"/>
      <c r="D202" s="47"/>
      <c r="E202" s="47"/>
      <c r="F202" s="47"/>
      <c r="G202" s="47"/>
      <c r="H202" s="47"/>
      <c r="I202" s="47"/>
      <c r="J202" s="47"/>
      <c r="K202" s="47"/>
      <c r="L202" s="47"/>
      <c r="M202" s="47"/>
      <c r="N202" s="91"/>
      <c r="O202" s="47"/>
      <c r="P202" s="47"/>
      <c r="Q202" s="47"/>
      <c r="R202" s="47"/>
      <c r="S202" s="47"/>
      <c r="T202" s="47"/>
      <c r="U202" s="47"/>
      <c r="V202" s="47"/>
    </row>
    <row r="203" spans="1:22" x14ac:dyDescent="0.3">
      <c r="A203" s="47"/>
      <c r="B203" s="47"/>
      <c r="C203" s="47"/>
      <c r="D203" s="47"/>
      <c r="E203" s="47"/>
      <c r="F203" s="47"/>
      <c r="G203" s="47"/>
      <c r="H203" s="47"/>
      <c r="I203" s="47"/>
      <c r="J203" s="47"/>
      <c r="K203" s="47"/>
      <c r="L203" s="47"/>
      <c r="M203" s="47"/>
      <c r="N203" s="91"/>
      <c r="O203" s="47"/>
      <c r="P203" s="47"/>
      <c r="Q203" s="47"/>
      <c r="R203" s="47"/>
      <c r="S203" s="47"/>
      <c r="T203" s="47"/>
      <c r="U203" s="47"/>
      <c r="V203" s="47"/>
    </row>
    <row r="204" spans="1:22" x14ac:dyDescent="0.3">
      <c r="A204" s="47"/>
      <c r="B204" s="47"/>
      <c r="C204" s="47"/>
      <c r="D204" s="47"/>
      <c r="E204" s="47"/>
      <c r="F204" s="47"/>
      <c r="G204" s="47"/>
      <c r="H204" s="47"/>
      <c r="I204" s="47"/>
      <c r="J204" s="47"/>
      <c r="K204" s="47"/>
      <c r="L204" s="47"/>
      <c r="M204" s="47"/>
      <c r="N204" s="91"/>
      <c r="O204" s="47"/>
      <c r="P204" s="47"/>
      <c r="Q204" s="47"/>
      <c r="R204" s="47"/>
      <c r="S204" s="47"/>
      <c r="T204" s="47"/>
      <c r="U204" s="47"/>
      <c r="V204" s="47"/>
    </row>
    <row r="205" spans="1:22" x14ac:dyDescent="0.3">
      <c r="A205" s="47"/>
      <c r="B205" s="47"/>
      <c r="C205" s="47"/>
      <c r="D205" s="47"/>
      <c r="E205" s="47"/>
      <c r="F205" s="47"/>
      <c r="G205" s="47"/>
      <c r="H205" s="47"/>
      <c r="I205" s="47"/>
      <c r="J205" s="47"/>
      <c r="K205" s="47"/>
      <c r="L205" s="47"/>
      <c r="M205" s="47"/>
      <c r="N205" s="91"/>
      <c r="O205" s="47"/>
      <c r="P205" s="47"/>
      <c r="Q205" s="47"/>
      <c r="R205" s="47"/>
      <c r="S205" s="47"/>
      <c r="T205" s="47"/>
      <c r="U205" s="47"/>
      <c r="V205" s="47"/>
    </row>
    <row r="206" spans="1:22" x14ac:dyDescent="0.3">
      <c r="A206" s="47"/>
      <c r="B206" s="47"/>
      <c r="C206" s="47"/>
      <c r="D206" s="47"/>
      <c r="E206" s="47"/>
      <c r="F206" s="47"/>
      <c r="G206" s="47"/>
      <c r="H206" s="47"/>
      <c r="I206" s="47"/>
      <c r="J206" s="47"/>
      <c r="K206" s="47"/>
      <c r="L206" s="47"/>
      <c r="M206" s="47"/>
      <c r="N206" s="91"/>
      <c r="O206" s="47"/>
      <c r="P206" s="47"/>
      <c r="Q206" s="47"/>
      <c r="R206" s="47"/>
      <c r="S206" s="47"/>
      <c r="T206" s="47"/>
      <c r="U206" s="47"/>
      <c r="V206" s="47"/>
    </row>
    <row r="207" spans="1:22" x14ac:dyDescent="0.3">
      <c r="A207" s="47"/>
      <c r="B207" s="47"/>
      <c r="C207" s="47"/>
      <c r="D207" s="47"/>
      <c r="E207" s="47"/>
      <c r="F207" s="47"/>
      <c r="G207" s="47"/>
      <c r="H207" s="47"/>
      <c r="I207" s="47"/>
      <c r="J207" s="47"/>
      <c r="K207" s="47"/>
      <c r="L207" s="47"/>
      <c r="M207" s="47"/>
      <c r="N207" s="91"/>
      <c r="O207" s="47"/>
      <c r="P207" s="47"/>
      <c r="Q207" s="47"/>
      <c r="R207" s="47"/>
      <c r="S207" s="47"/>
      <c r="T207" s="47"/>
      <c r="U207" s="47"/>
      <c r="V207" s="47"/>
    </row>
    <row r="208" spans="1:22" x14ac:dyDescent="0.3">
      <c r="A208" s="47"/>
      <c r="B208" s="47"/>
      <c r="C208" s="47"/>
      <c r="D208" s="47"/>
      <c r="E208" s="47"/>
      <c r="F208" s="47"/>
      <c r="G208" s="47"/>
      <c r="H208" s="47"/>
      <c r="I208" s="47"/>
      <c r="J208" s="47"/>
      <c r="K208" s="47"/>
      <c r="L208" s="47"/>
      <c r="M208" s="47"/>
      <c r="N208" s="91"/>
      <c r="O208" s="47"/>
      <c r="P208" s="47"/>
      <c r="Q208" s="47"/>
      <c r="R208" s="47"/>
      <c r="S208" s="47"/>
      <c r="T208" s="47"/>
      <c r="U208" s="47"/>
      <c r="V208" s="47"/>
    </row>
    <row r="209" spans="1:22" x14ac:dyDescent="0.3">
      <c r="A209" s="47"/>
      <c r="B209" s="47"/>
      <c r="C209" s="47"/>
      <c r="D209" s="47"/>
      <c r="E209" s="47"/>
      <c r="F209" s="47"/>
      <c r="G209" s="47"/>
      <c r="H209" s="47"/>
      <c r="I209" s="47"/>
      <c r="J209" s="47"/>
      <c r="K209" s="47"/>
      <c r="L209" s="47"/>
      <c r="M209" s="47"/>
      <c r="N209" s="91"/>
      <c r="O209" s="47"/>
      <c r="P209" s="47"/>
      <c r="Q209" s="47"/>
      <c r="R209" s="47"/>
      <c r="S209" s="47"/>
      <c r="T209" s="47"/>
      <c r="U209" s="47"/>
      <c r="V209" s="47"/>
    </row>
    <row r="210" spans="1:22" x14ac:dyDescent="0.3">
      <c r="A210" s="47"/>
      <c r="B210" s="47"/>
      <c r="C210" s="47"/>
      <c r="D210" s="47"/>
      <c r="E210" s="47"/>
      <c r="F210" s="47"/>
      <c r="G210" s="47"/>
      <c r="H210" s="47"/>
      <c r="I210" s="47"/>
      <c r="J210" s="47"/>
      <c r="K210" s="47"/>
      <c r="L210" s="47"/>
      <c r="M210" s="47"/>
      <c r="N210" s="91"/>
      <c r="O210" s="47"/>
      <c r="P210" s="47"/>
      <c r="Q210" s="47"/>
      <c r="R210" s="47"/>
      <c r="S210" s="47"/>
      <c r="T210" s="47"/>
      <c r="U210" s="47"/>
      <c r="V210" s="47"/>
    </row>
    <row r="211" spans="1:22" x14ac:dyDescent="0.3">
      <c r="A211" s="47"/>
      <c r="B211" s="47"/>
      <c r="C211" s="47"/>
      <c r="D211" s="47"/>
      <c r="E211" s="47"/>
      <c r="F211" s="47"/>
      <c r="G211" s="47"/>
      <c r="H211" s="47"/>
      <c r="I211" s="47"/>
      <c r="J211" s="47"/>
      <c r="K211" s="47"/>
      <c r="L211" s="47"/>
      <c r="M211" s="47"/>
      <c r="N211" s="91"/>
      <c r="O211" s="47"/>
      <c r="P211" s="47"/>
      <c r="Q211" s="47"/>
      <c r="R211" s="47"/>
      <c r="S211" s="47"/>
      <c r="T211" s="47"/>
      <c r="U211" s="47"/>
      <c r="V211" s="47"/>
    </row>
    <row r="212" spans="1:22" x14ac:dyDescent="0.3">
      <c r="A212" s="47"/>
      <c r="B212" s="47"/>
      <c r="C212" s="47"/>
      <c r="D212" s="47"/>
      <c r="E212" s="47"/>
      <c r="F212" s="47"/>
      <c r="G212" s="47"/>
      <c r="H212" s="47"/>
      <c r="I212" s="47"/>
      <c r="J212" s="47"/>
      <c r="K212" s="47"/>
      <c r="L212" s="47"/>
      <c r="M212" s="47"/>
      <c r="N212" s="91"/>
      <c r="O212" s="47"/>
      <c r="P212" s="47"/>
      <c r="Q212" s="47"/>
      <c r="R212" s="47"/>
      <c r="S212" s="47"/>
      <c r="T212" s="47"/>
      <c r="U212" s="47"/>
      <c r="V212" s="47"/>
    </row>
    <row r="213" spans="1:22" x14ac:dyDescent="0.3">
      <c r="A213" s="47"/>
      <c r="B213" s="47"/>
      <c r="C213" s="47"/>
      <c r="D213" s="47"/>
      <c r="E213" s="47"/>
      <c r="F213" s="47"/>
      <c r="G213" s="47"/>
      <c r="H213" s="47"/>
      <c r="I213" s="47"/>
      <c r="J213" s="47"/>
      <c r="K213" s="47"/>
      <c r="L213" s="47"/>
      <c r="M213" s="47"/>
      <c r="N213" s="91"/>
      <c r="O213" s="47"/>
      <c r="P213" s="47"/>
      <c r="Q213" s="47"/>
      <c r="R213" s="47"/>
      <c r="S213" s="47"/>
      <c r="T213" s="47"/>
      <c r="U213" s="47"/>
      <c r="V213" s="47"/>
    </row>
    <row r="214" spans="1:22" x14ac:dyDescent="0.3">
      <c r="A214" s="47"/>
      <c r="B214" s="47"/>
      <c r="C214" s="47"/>
      <c r="D214" s="47"/>
      <c r="E214" s="47"/>
      <c r="F214" s="47"/>
      <c r="G214" s="47"/>
      <c r="H214" s="47"/>
      <c r="I214" s="47"/>
      <c r="J214" s="47"/>
      <c r="K214" s="47"/>
      <c r="L214" s="47"/>
      <c r="M214" s="47"/>
      <c r="N214" s="91"/>
      <c r="O214" s="47"/>
      <c r="P214" s="47"/>
      <c r="Q214" s="47"/>
      <c r="R214" s="47"/>
      <c r="S214" s="47"/>
      <c r="T214" s="47"/>
      <c r="U214" s="47"/>
      <c r="V214" s="47"/>
    </row>
    <row r="215" spans="1:22" x14ac:dyDescent="0.3">
      <c r="A215" s="47"/>
      <c r="B215" s="47"/>
      <c r="C215" s="47"/>
      <c r="D215" s="47"/>
      <c r="E215" s="47"/>
      <c r="F215" s="47"/>
      <c r="G215" s="47"/>
      <c r="H215" s="47"/>
      <c r="I215" s="47"/>
      <c r="J215" s="47"/>
      <c r="K215" s="47"/>
      <c r="L215" s="47"/>
      <c r="M215" s="47"/>
      <c r="N215" s="91"/>
      <c r="O215" s="47"/>
      <c r="P215" s="47"/>
      <c r="Q215" s="47"/>
      <c r="R215" s="47"/>
      <c r="S215" s="47"/>
      <c r="T215" s="47"/>
      <c r="U215" s="47"/>
      <c r="V215" s="47"/>
    </row>
    <row r="216" spans="1:22" x14ac:dyDescent="0.3">
      <c r="A216" s="47"/>
      <c r="B216" s="47"/>
      <c r="C216" s="47"/>
      <c r="D216" s="47"/>
      <c r="E216" s="47"/>
      <c r="F216" s="47"/>
      <c r="G216" s="47"/>
      <c r="H216" s="47"/>
      <c r="I216" s="47"/>
      <c r="J216" s="47"/>
      <c r="K216" s="47"/>
      <c r="L216" s="47"/>
      <c r="M216" s="47"/>
      <c r="N216" s="91"/>
      <c r="O216" s="47"/>
      <c r="P216" s="47"/>
      <c r="Q216" s="47"/>
      <c r="R216" s="47"/>
      <c r="S216" s="47"/>
      <c r="T216" s="47"/>
      <c r="U216" s="47"/>
      <c r="V216" s="47"/>
    </row>
    <row r="217" spans="1:22" x14ac:dyDescent="0.3">
      <c r="A217" s="47"/>
      <c r="B217" s="47"/>
      <c r="C217" s="47"/>
      <c r="D217" s="47"/>
      <c r="E217" s="47"/>
      <c r="F217" s="47"/>
      <c r="G217" s="47"/>
      <c r="H217" s="47"/>
      <c r="I217" s="47"/>
      <c r="J217" s="47"/>
      <c r="K217" s="47"/>
      <c r="L217" s="47"/>
      <c r="M217" s="47"/>
      <c r="N217" s="91"/>
      <c r="O217" s="47"/>
      <c r="P217" s="47"/>
      <c r="Q217" s="47"/>
      <c r="R217" s="47"/>
      <c r="S217" s="47"/>
      <c r="T217" s="47"/>
      <c r="U217" s="47"/>
      <c r="V217" s="47"/>
    </row>
    <row r="218" spans="1:22" x14ac:dyDescent="0.3">
      <c r="A218" s="47"/>
      <c r="B218" s="47"/>
      <c r="C218" s="47"/>
      <c r="D218" s="47"/>
      <c r="E218" s="47"/>
      <c r="F218" s="47"/>
      <c r="G218" s="47"/>
      <c r="H218" s="47"/>
      <c r="I218" s="47"/>
      <c r="J218" s="47"/>
      <c r="K218" s="47"/>
      <c r="L218" s="47"/>
      <c r="M218" s="47"/>
      <c r="N218" s="91"/>
      <c r="O218" s="47"/>
      <c r="P218" s="47"/>
      <c r="Q218" s="47"/>
      <c r="R218" s="47"/>
      <c r="S218" s="47"/>
      <c r="T218" s="47"/>
      <c r="U218" s="47"/>
      <c r="V218" s="47"/>
    </row>
    <row r="219" spans="1:22" x14ac:dyDescent="0.3">
      <c r="A219" s="47"/>
      <c r="B219" s="47"/>
      <c r="C219" s="47"/>
      <c r="D219" s="47"/>
      <c r="E219" s="47"/>
      <c r="F219" s="47"/>
      <c r="G219" s="47"/>
      <c r="H219" s="47"/>
      <c r="I219" s="47"/>
      <c r="J219" s="47"/>
      <c r="K219" s="47"/>
      <c r="L219" s="47"/>
      <c r="M219" s="47"/>
      <c r="N219" s="91"/>
      <c r="O219" s="47"/>
      <c r="P219" s="47"/>
      <c r="Q219" s="47"/>
      <c r="R219" s="47"/>
      <c r="S219" s="47"/>
      <c r="T219" s="47"/>
      <c r="U219" s="47"/>
      <c r="V219" s="47"/>
    </row>
    <row r="220" spans="1:22" x14ac:dyDescent="0.3">
      <c r="A220" s="47"/>
      <c r="B220" s="47"/>
      <c r="C220" s="47"/>
      <c r="D220" s="47"/>
      <c r="E220" s="47"/>
      <c r="F220" s="47"/>
      <c r="G220" s="47"/>
      <c r="H220" s="47"/>
      <c r="I220" s="47"/>
      <c r="J220" s="47"/>
      <c r="K220" s="47"/>
      <c r="L220" s="47"/>
      <c r="M220" s="47"/>
      <c r="N220" s="91"/>
      <c r="O220" s="47"/>
      <c r="P220" s="47"/>
      <c r="Q220" s="47"/>
      <c r="R220" s="47"/>
      <c r="S220" s="47"/>
      <c r="T220" s="47"/>
      <c r="U220" s="47"/>
      <c r="V220" s="47"/>
    </row>
    <row r="221" spans="1:22" x14ac:dyDescent="0.3">
      <c r="A221" s="47"/>
      <c r="B221" s="47"/>
      <c r="C221" s="47"/>
      <c r="D221" s="47"/>
      <c r="E221" s="47"/>
      <c r="F221" s="47"/>
      <c r="G221" s="47"/>
      <c r="H221" s="47"/>
      <c r="I221" s="47"/>
      <c r="J221" s="47"/>
      <c r="K221" s="47"/>
      <c r="L221" s="47"/>
      <c r="M221" s="47"/>
      <c r="N221" s="91"/>
      <c r="O221" s="47"/>
      <c r="P221" s="47"/>
      <c r="Q221" s="47"/>
      <c r="R221" s="47"/>
      <c r="S221" s="47"/>
      <c r="T221" s="47"/>
      <c r="U221" s="47"/>
      <c r="V221" s="47"/>
    </row>
    <row r="222" spans="1:22" x14ac:dyDescent="0.3">
      <c r="A222" s="47"/>
      <c r="B222" s="47"/>
      <c r="C222" s="47"/>
      <c r="D222" s="47"/>
      <c r="E222" s="47"/>
      <c r="F222" s="47"/>
      <c r="G222" s="47"/>
      <c r="H222" s="47"/>
      <c r="I222" s="47"/>
      <c r="J222" s="47"/>
      <c r="K222" s="47"/>
      <c r="L222" s="47"/>
      <c r="M222" s="47"/>
      <c r="N222" s="91"/>
      <c r="O222" s="47"/>
      <c r="P222" s="47"/>
      <c r="Q222" s="47"/>
      <c r="R222" s="47"/>
      <c r="S222" s="47"/>
      <c r="T222" s="47"/>
      <c r="U222" s="47"/>
      <c r="V222" s="47"/>
    </row>
    <row r="223" spans="1:22" x14ac:dyDescent="0.3">
      <c r="A223" s="47"/>
      <c r="B223" s="47"/>
      <c r="C223" s="47"/>
      <c r="D223" s="47"/>
      <c r="E223" s="47"/>
      <c r="F223" s="47"/>
      <c r="G223" s="47"/>
      <c r="H223" s="47"/>
      <c r="I223" s="47"/>
      <c r="J223" s="47"/>
      <c r="K223" s="47"/>
      <c r="L223" s="47"/>
      <c r="M223" s="47"/>
      <c r="N223" s="91"/>
      <c r="O223" s="47"/>
      <c r="P223" s="47"/>
      <c r="Q223" s="47"/>
      <c r="R223" s="47"/>
      <c r="S223" s="47"/>
      <c r="T223" s="47"/>
      <c r="U223" s="47"/>
      <c r="V223" s="47"/>
    </row>
    <row r="224" spans="1:22" x14ac:dyDescent="0.3">
      <c r="A224" s="47"/>
      <c r="B224" s="47"/>
      <c r="C224" s="47"/>
      <c r="D224" s="47"/>
      <c r="E224" s="47"/>
      <c r="F224" s="47"/>
      <c r="G224" s="47"/>
      <c r="H224" s="47"/>
      <c r="I224" s="47"/>
      <c r="J224" s="47"/>
      <c r="K224" s="47"/>
      <c r="L224" s="47"/>
      <c r="M224" s="47"/>
      <c r="N224" s="91"/>
      <c r="O224" s="47"/>
      <c r="P224" s="47"/>
      <c r="Q224" s="47"/>
      <c r="R224" s="47"/>
      <c r="S224" s="47"/>
      <c r="T224" s="47"/>
      <c r="U224" s="47"/>
      <c r="V224" s="47"/>
    </row>
    <row r="225" spans="1:22" x14ac:dyDescent="0.3">
      <c r="A225" s="47"/>
      <c r="B225" s="47"/>
      <c r="C225" s="47"/>
      <c r="D225" s="47"/>
      <c r="E225" s="47"/>
      <c r="F225" s="47"/>
      <c r="G225" s="47"/>
      <c r="H225" s="47"/>
      <c r="I225" s="47"/>
      <c r="J225" s="47"/>
      <c r="K225" s="47"/>
      <c r="L225" s="47"/>
      <c r="M225" s="47"/>
      <c r="N225" s="91"/>
      <c r="O225" s="47"/>
      <c r="P225" s="47"/>
      <c r="Q225" s="47"/>
      <c r="R225" s="47"/>
      <c r="S225" s="47"/>
      <c r="T225" s="47"/>
      <c r="U225" s="47"/>
      <c r="V225" s="47"/>
    </row>
    <row r="226" spans="1:22" x14ac:dyDescent="0.3">
      <c r="A226" s="47"/>
      <c r="B226" s="47"/>
      <c r="C226" s="47"/>
      <c r="D226" s="47"/>
      <c r="E226" s="47"/>
      <c r="F226" s="47"/>
      <c r="G226" s="47"/>
      <c r="H226" s="47"/>
      <c r="I226" s="47"/>
      <c r="J226" s="47"/>
      <c r="K226" s="47"/>
      <c r="L226" s="47"/>
      <c r="M226" s="47"/>
      <c r="N226" s="91"/>
      <c r="O226" s="47"/>
      <c r="P226" s="47"/>
      <c r="Q226" s="47"/>
      <c r="R226" s="47"/>
      <c r="S226" s="47"/>
      <c r="T226" s="47"/>
      <c r="U226" s="47"/>
      <c r="V226" s="47"/>
    </row>
    <row r="227" spans="1:22" x14ac:dyDescent="0.3">
      <c r="A227" s="47"/>
      <c r="B227" s="47"/>
      <c r="C227" s="47"/>
      <c r="D227" s="47"/>
      <c r="E227" s="47"/>
      <c r="F227" s="47"/>
      <c r="G227" s="47"/>
      <c r="H227" s="47"/>
      <c r="I227" s="47"/>
      <c r="J227" s="47"/>
      <c r="K227" s="47"/>
      <c r="L227" s="47"/>
      <c r="M227" s="47"/>
      <c r="N227" s="91"/>
      <c r="O227" s="47"/>
      <c r="P227" s="47"/>
      <c r="Q227" s="47"/>
      <c r="R227" s="47"/>
      <c r="S227" s="47"/>
      <c r="T227" s="47"/>
      <c r="U227" s="47"/>
      <c r="V227" s="47"/>
    </row>
    <row r="228" spans="1:22" x14ac:dyDescent="0.3">
      <c r="A228" s="47"/>
      <c r="B228" s="47"/>
      <c r="C228" s="47"/>
      <c r="D228" s="47"/>
      <c r="E228" s="47"/>
      <c r="F228" s="47"/>
      <c r="G228" s="47"/>
      <c r="H228" s="47"/>
      <c r="I228" s="47"/>
      <c r="J228" s="47"/>
      <c r="K228" s="47"/>
      <c r="L228" s="47"/>
      <c r="M228" s="47"/>
      <c r="N228" s="91"/>
      <c r="O228" s="47"/>
      <c r="P228" s="47"/>
      <c r="Q228" s="47"/>
      <c r="R228" s="47"/>
      <c r="S228" s="47"/>
      <c r="T228" s="47"/>
      <c r="U228" s="47"/>
      <c r="V228" s="47"/>
    </row>
    <row r="229" spans="1:22" x14ac:dyDescent="0.3">
      <c r="A229" s="47"/>
      <c r="B229" s="47"/>
      <c r="C229" s="47"/>
      <c r="D229" s="47"/>
      <c r="E229" s="47"/>
      <c r="F229" s="47"/>
      <c r="G229" s="47"/>
      <c r="H229" s="47"/>
      <c r="I229" s="47"/>
      <c r="J229" s="47"/>
      <c r="K229" s="47"/>
      <c r="L229" s="47"/>
      <c r="M229" s="47"/>
      <c r="N229" s="91"/>
      <c r="O229" s="47"/>
      <c r="P229" s="47"/>
      <c r="Q229" s="47"/>
      <c r="R229" s="47"/>
      <c r="S229" s="47"/>
      <c r="T229" s="47"/>
      <c r="U229" s="47"/>
      <c r="V229" s="47"/>
    </row>
    <row r="230" spans="1:22" x14ac:dyDescent="0.3">
      <c r="A230" s="47"/>
      <c r="B230" s="47"/>
      <c r="C230" s="47"/>
      <c r="D230" s="47"/>
      <c r="E230" s="47"/>
      <c r="F230" s="47"/>
      <c r="G230" s="47"/>
      <c r="H230" s="47"/>
      <c r="I230" s="47"/>
      <c r="J230" s="47"/>
      <c r="K230" s="47"/>
      <c r="L230" s="47"/>
      <c r="M230" s="47"/>
      <c r="N230" s="91"/>
      <c r="O230" s="47"/>
      <c r="P230" s="47"/>
      <c r="Q230" s="47"/>
      <c r="R230" s="47"/>
      <c r="S230" s="47"/>
      <c r="T230" s="47"/>
      <c r="U230" s="47"/>
      <c r="V230" s="47"/>
    </row>
    <row r="231" spans="1:22" x14ac:dyDescent="0.3">
      <c r="A231" s="47"/>
      <c r="B231" s="47"/>
      <c r="C231" s="47"/>
      <c r="D231" s="47"/>
      <c r="E231" s="47"/>
      <c r="F231" s="47"/>
      <c r="G231" s="47"/>
      <c r="H231" s="47"/>
      <c r="I231" s="47"/>
      <c r="J231" s="47"/>
      <c r="K231" s="47"/>
      <c r="L231" s="47"/>
      <c r="M231" s="47"/>
      <c r="N231" s="91"/>
      <c r="O231" s="47"/>
      <c r="P231" s="47"/>
      <c r="Q231" s="47"/>
      <c r="R231" s="47"/>
      <c r="S231" s="47"/>
      <c r="T231" s="47"/>
      <c r="U231" s="47"/>
      <c r="V231" s="47"/>
    </row>
    <row r="232" spans="1:22" x14ac:dyDescent="0.3">
      <c r="A232" s="47"/>
      <c r="B232" s="47"/>
      <c r="C232" s="47"/>
      <c r="D232" s="47"/>
      <c r="E232" s="47"/>
      <c r="F232" s="47"/>
      <c r="G232" s="47"/>
      <c r="H232" s="47"/>
      <c r="I232" s="47"/>
      <c r="J232" s="47"/>
      <c r="K232" s="47"/>
      <c r="L232" s="47"/>
      <c r="M232" s="47"/>
      <c r="N232" s="91"/>
      <c r="O232" s="47"/>
      <c r="P232" s="47"/>
      <c r="Q232" s="47"/>
      <c r="R232" s="47"/>
      <c r="S232" s="47"/>
      <c r="T232" s="47"/>
      <c r="U232" s="47"/>
      <c r="V232" s="47"/>
    </row>
    <row r="233" spans="1:22" x14ac:dyDescent="0.3">
      <c r="A233" s="47"/>
      <c r="B233" s="47"/>
      <c r="C233" s="47"/>
      <c r="D233" s="47"/>
      <c r="E233" s="47"/>
      <c r="F233" s="47"/>
      <c r="G233" s="47"/>
      <c r="H233" s="47"/>
      <c r="I233" s="47"/>
      <c r="J233" s="47"/>
      <c r="K233" s="47"/>
      <c r="L233" s="47"/>
      <c r="M233" s="47"/>
      <c r="N233" s="91"/>
      <c r="O233" s="47"/>
      <c r="P233" s="47"/>
      <c r="Q233" s="47"/>
      <c r="R233" s="47"/>
      <c r="S233" s="47"/>
      <c r="T233" s="47"/>
      <c r="U233" s="47"/>
      <c r="V233" s="47"/>
    </row>
    <row r="234" spans="1:22" x14ac:dyDescent="0.3">
      <c r="A234" s="47"/>
      <c r="B234" s="47"/>
      <c r="C234" s="47"/>
      <c r="D234" s="47"/>
      <c r="E234" s="47"/>
      <c r="F234" s="47"/>
      <c r="G234" s="47"/>
      <c r="H234" s="47"/>
      <c r="I234" s="47"/>
      <c r="J234" s="47"/>
      <c r="K234" s="47"/>
      <c r="L234" s="47"/>
      <c r="M234" s="47"/>
      <c r="N234" s="91"/>
      <c r="O234" s="47"/>
      <c r="P234" s="47"/>
      <c r="Q234" s="47"/>
      <c r="R234" s="47"/>
      <c r="S234" s="47"/>
      <c r="T234" s="47"/>
      <c r="U234" s="47"/>
      <c r="V234" s="47"/>
    </row>
    <row r="235" spans="1:22" x14ac:dyDescent="0.3">
      <c r="A235" s="47"/>
      <c r="B235" s="47"/>
      <c r="C235" s="47"/>
      <c r="D235" s="47"/>
      <c r="E235" s="47"/>
      <c r="F235" s="47"/>
      <c r="G235" s="47"/>
      <c r="H235" s="47"/>
      <c r="I235" s="47"/>
      <c r="J235" s="47"/>
      <c r="K235" s="47"/>
      <c r="L235" s="47"/>
      <c r="M235" s="47"/>
      <c r="N235" s="91"/>
      <c r="O235" s="47"/>
      <c r="P235" s="47"/>
      <c r="Q235" s="47"/>
      <c r="R235" s="47"/>
      <c r="S235" s="47"/>
      <c r="T235" s="47"/>
      <c r="U235" s="47"/>
      <c r="V235" s="47"/>
    </row>
    <row r="236" spans="1:22" x14ac:dyDescent="0.3">
      <c r="A236" s="47"/>
      <c r="B236" s="47"/>
      <c r="C236" s="47"/>
      <c r="D236" s="47"/>
      <c r="E236" s="47"/>
      <c r="F236" s="47"/>
      <c r="G236" s="47"/>
      <c r="H236" s="47"/>
      <c r="I236" s="47"/>
      <c r="J236" s="47"/>
      <c r="K236" s="47"/>
      <c r="L236" s="47"/>
      <c r="M236" s="47"/>
      <c r="N236" s="91"/>
      <c r="O236" s="47"/>
      <c r="P236" s="47"/>
      <c r="Q236" s="47"/>
      <c r="R236" s="47"/>
      <c r="S236" s="47"/>
      <c r="T236" s="47"/>
      <c r="U236" s="47"/>
      <c r="V236" s="47"/>
    </row>
    <row r="237" spans="1:22" x14ac:dyDescent="0.3">
      <c r="A237" s="47"/>
      <c r="B237" s="47"/>
      <c r="C237" s="47"/>
      <c r="D237" s="47"/>
      <c r="E237" s="47"/>
      <c r="F237" s="47"/>
      <c r="G237" s="47"/>
      <c r="H237" s="47"/>
      <c r="I237" s="47"/>
      <c r="J237" s="47"/>
      <c r="K237" s="47"/>
      <c r="L237" s="47"/>
      <c r="M237" s="47"/>
      <c r="N237" s="91"/>
      <c r="O237" s="47"/>
      <c r="P237" s="47"/>
      <c r="Q237" s="47"/>
      <c r="R237" s="47"/>
      <c r="S237" s="47"/>
      <c r="T237" s="47"/>
      <c r="U237" s="47"/>
      <c r="V237" s="47"/>
    </row>
    <row r="238" spans="1:22" x14ac:dyDescent="0.3">
      <c r="A238" s="47"/>
      <c r="B238" s="47"/>
      <c r="C238" s="47"/>
      <c r="D238" s="47"/>
      <c r="E238" s="47"/>
      <c r="F238" s="47"/>
      <c r="G238" s="47"/>
      <c r="H238" s="47"/>
      <c r="I238" s="47"/>
      <c r="J238" s="47"/>
      <c r="K238" s="47"/>
      <c r="L238" s="47"/>
      <c r="M238" s="47"/>
      <c r="N238" s="91"/>
      <c r="O238" s="47"/>
      <c r="P238" s="47"/>
      <c r="Q238" s="47"/>
      <c r="R238" s="47"/>
      <c r="S238" s="47"/>
      <c r="T238" s="47"/>
      <c r="U238" s="47"/>
      <c r="V238" s="47"/>
    </row>
    <row r="239" spans="1:22" x14ac:dyDescent="0.3">
      <c r="A239" s="47"/>
      <c r="B239" s="47"/>
      <c r="C239" s="47"/>
      <c r="D239" s="47"/>
      <c r="E239" s="47"/>
      <c r="F239" s="47"/>
      <c r="G239" s="47"/>
      <c r="H239" s="47"/>
      <c r="I239" s="47"/>
      <c r="J239" s="47"/>
      <c r="K239" s="47"/>
      <c r="L239" s="47"/>
      <c r="M239" s="47"/>
      <c r="N239" s="91"/>
      <c r="O239" s="47"/>
      <c r="P239" s="47"/>
      <c r="Q239" s="47"/>
      <c r="R239" s="47"/>
      <c r="S239" s="47"/>
      <c r="T239" s="47"/>
      <c r="U239" s="47"/>
      <c r="V239" s="47"/>
    </row>
    <row r="240" spans="1:22" x14ac:dyDescent="0.3">
      <c r="A240" s="47"/>
      <c r="B240" s="47"/>
      <c r="C240" s="47"/>
      <c r="D240" s="47"/>
      <c r="E240" s="47"/>
      <c r="F240" s="47"/>
      <c r="G240" s="47"/>
      <c r="H240" s="47"/>
      <c r="I240" s="47"/>
      <c r="J240" s="47"/>
      <c r="K240" s="47"/>
      <c r="L240" s="47"/>
      <c r="M240" s="47"/>
      <c r="N240" s="91"/>
      <c r="O240" s="47"/>
      <c r="P240" s="47"/>
      <c r="Q240" s="47"/>
      <c r="R240" s="47"/>
      <c r="S240" s="47"/>
      <c r="T240" s="47"/>
      <c r="U240" s="47"/>
      <c r="V240" s="47"/>
    </row>
    <row r="241" spans="1:22" x14ac:dyDescent="0.3">
      <c r="A241" s="47"/>
      <c r="B241" s="47"/>
      <c r="C241" s="47"/>
      <c r="D241" s="47"/>
      <c r="E241" s="47"/>
      <c r="F241" s="47"/>
      <c r="G241" s="47"/>
      <c r="H241" s="47"/>
      <c r="I241" s="47"/>
      <c r="J241" s="47"/>
      <c r="K241" s="47"/>
      <c r="L241" s="47"/>
      <c r="M241" s="47"/>
      <c r="N241" s="91"/>
      <c r="O241" s="47"/>
      <c r="P241" s="47"/>
      <c r="Q241" s="47"/>
      <c r="R241" s="47"/>
      <c r="S241" s="47"/>
      <c r="T241" s="47"/>
      <c r="U241" s="47"/>
      <c r="V241" s="47"/>
    </row>
    <row r="242" spans="1:22" x14ac:dyDescent="0.3">
      <c r="A242" s="47"/>
      <c r="B242" s="47"/>
      <c r="C242" s="47"/>
      <c r="D242" s="47"/>
      <c r="E242" s="47"/>
      <c r="F242" s="47"/>
      <c r="G242" s="47"/>
      <c r="H242" s="47"/>
      <c r="I242" s="47"/>
      <c r="J242" s="47"/>
      <c r="K242" s="47"/>
      <c r="L242" s="47"/>
      <c r="M242" s="47"/>
      <c r="N242" s="91"/>
      <c r="O242" s="47"/>
      <c r="P242" s="47"/>
      <c r="Q242" s="47"/>
      <c r="R242" s="47"/>
      <c r="S242" s="47"/>
      <c r="T242" s="47"/>
      <c r="U242" s="47"/>
      <c r="V242" s="47"/>
    </row>
    <row r="243" spans="1:22" x14ac:dyDescent="0.3">
      <c r="A243" s="47"/>
      <c r="B243" s="47"/>
      <c r="C243" s="47"/>
      <c r="D243" s="47"/>
      <c r="E243" s="47"/>
      <c r="F243" s="47"/>
      <c r="G243" s="47"/>
      <c r="H243" s="47"/>
      <c r="I243" s="47"/>
      <c r="J243" s="47"/>
      <c r="K243" s="47"/>
      <c r="L243" s="47"/>
      <c r="M243" s="47"/>
      <c r="N243" s="91"/>
      <c r="O243" s="47"/>
      <c r="P243" s="47"/>
      <c r="Q243" s="47"/>
      <c r="R243" s="47"/>
      <c r="S243" s="47"/>
      <c r="T243" s="47"/>
      <c r="U243" s="47"/>
      <c r="V243" s="47"/>
    </row>
    <row r="244" spans="1:22" x14ac:dyDescent="0.3">
      <c r="A244" s="47"/>
      <c r="B244" s="47"/>
      <c r="C244" s="47"/>
      <c r="D244" s="47"/>
      <c r="E244" s="47"/>
      <c r="F244" s="47"/>
      <c r="G244" s="47"/>
      <c r="H244" s="47"/>
      <c r="I244" s="47"/>
      <c r="J244" s="47"/>
      <c r="K244" s="47"/>
      <c r="L244" s="47"/>
      <c r="M244" s="47"/>
      <c r="N244" s="91"/>
      <c r="O244" s="47"/>
      <c r="P244" s="47"/>
      <c r="Q244" s="47"/>
      <c r="R244" s="47"/>
      <c r="S244" s="47"/>
      <c r="T244" s="47"/>
      <c r="U244" s="47"/>
      <c r="V244" s="47"/>
    </row>
    <row r="245" spans="1:22" x14ac:dyDescent="0.3">
      <c r="A245" s="47"/>
      <c r="B245" s="47"/>
      <c r="C245" s="47"/>
      <c r="D245" s="47"/>
      <c r="E245" s="47"/>
      <c r="F245" s="47"/>
      <c r="G245" s="47"/>
      <c r="H245" s="47"/>
      <c r="I245" s="47"/>
      <c r="J245" s="47"/>
      <c r="K245" s="47"/>
      <c r="L245" s="47"/>
      <c r="M245" s="47"/>
      <c r="N245" s="91"/>
      <c r="O245" s="47"/>
      <c r="P245" s="47"/>
      <c r="Q245" s="47"/>
      <c r="R245" s="47"/>
      <c r="S245" s="47"/>
      <c r="T245" s="47"/>
      <c r="U245" s="47"/>
      <c r="V245" s="47"/>
    </row>
    <row r="246" spans="1:22" x14ac:dyDescent="0.3">
      <c r="A246" s="47"/>
      <c r="B246" s="47"/>
      <c r="C246" s="47"/>
      <c r="D246" s="47"/>
      <c r="E246" s="47"/>
      <c r="F246" s="47"/>
      <c r="G246" s="47"/>
      <c r="H246" s="47"/>
      <c r="I246" s="47"/>
      <c r="J246" s="47"/>
      <c r="K246" s="47"/>
      <c r="L246" s="47"/>
      <c r="M246" s="47"/>
      <c r="N246" s="91"/>
      <c r="O246" s="47"/>
      <c r="P246" s="47"/>
      <c r="Q246" s="47"/>
      <c r="R246" s="47"/>
      <c r="S246" s="47"/>
      <c r="T246" s="47"/>
      <c r="U246" s="47"/>
      <c r="V246" s="47"/>
    </row>
    <row r="247" spans="1:22" x14ac:dyDescent="0.3">
      <c r="A247" s="47"/>
      <c r="B247" s="47"/>
      <c r="C247" s="47"/>
      <c r="D247" s="47"/>
      <c r="E247" s="47"/>
      <c r="F247" s="47"/>
      <c r="G247" s="47"/>
      <c r="H247" s="47"/>
      <c r="I247" s="47"/>
      <c r="J247" s="47"/>
      <c r="K247" s="47"/>
      <c r="L247" s="47"/>
      <c r="M247" s="47"/>
      <c r="N247" s="91"/>
      <c r="O247" s="47"/>
      <c r="P247" s="47"/>
      <c r="Q247" s="47"/>
      <c r="R247" s="47"/>
      <c r="S247" s="47"/>
      <c r="T247" s="47"/>
      <c r="U247" s="47"/>
      <c r="V247" s="47"/>
    </row>
    <row r="248" spans="1:22" x14ac:dyDescent="0.3">
      <c r="A248" s="47"/>
      <c r="B248" s="47"/>
      <c r="C248" s="47"/>
      <c r="D248" s="47"/>
      <c r="E248" s="47"/>
      <c r="F248" s="47"/>
      <c r="G248" s="47"/>
      <c r="H248" s="47"/>
      <c r="I248" s="47"/>
      <c r="J248" s="47"/>
      <c r="K248" s="47"/>
      <c r="L248" s="47"/>
      <c r="M248" s="47"/>
      <c r="N248" s="91"/>
      <c r="O248" s="47"/>
      <c r="P248" s="47"/>
      <c r="Q248" s="47"/>
      <c r="R248" s="47"/>
      <c r="S248" s="47"/>
      <c r="T248" s="47"/>
      <c r="U248" s="47"/>
      <c r="V248" s="47"/>
    </row>
    <row r="249" spans="1:22" x14ac:dyDescent="0.3">
      <c r="A249" s="47"/>
      <c r="B249" s="47"/>
      <c r="C249" s="47"/>
      <c r="D249" s="47"/>
      <c r="E249" s="47"/>
      <c r="F249" s="47"/>
      <c r="G249" s="47"/>
      <c r="H249" s="47"/>
      <c r="I249" s="47"/>
      <c r="J249" s="47"/>
      <c r="K249" s="47"/>
      <c r="L249" s="47"/>
      <c r="M249" s="47"/>
      <c r="N249" s="91"/>
      <c r="O249" s="47"/>
      <c r="P249" s="47"/>
      <c r="Q249" s="47"/>
      <c r="R249" s="47"/>
      <c r="S249" s="47"/>
      <c r="T249" s="47"/>
      <c r="U249" s="47"/>
      <c r="V249" s="47"/>
    </row>
    <row r="250" spans="1:22" x14ac:dyDescent="0.3">
      <c r="A250" s="47"/>
      <c r="B250" s="47"/>
      <c r="C250" s="47"/>
      <c r="D250" s="47"/>
      <c r="E250" s="47"/>
      <c r="F250" s="47"/>
      <c r="G250" s="47"/>
      <c r="H250" s="47"/>
      <c r="I250" s="47"/>
      <c r="J250" s="47"/>
      <c r="K250" s="47"/>
      <c r="L250" s="47"/>
      <c r="M250" s="47"/>
      <c r="N250" s="91"/>
      <c r="O250" s="47"/>
      <c r="P250" s="47"/>
      <c r="Q250" s="47"/>
      <c r="R250" s="47"/>
      <c r="S250" s="47"/>
      <c r="T250" s="47"/>
      <c r="U250" s="47"/>
      <c r="V250" s="47"/>
    </row>
    <row r="251" spans="1:22" x14ac:dyDescent="0.3">
      <c r="A251" s="47"/>
      <c r="B251" s="47"/>
      <c r="C251" s="47"/>
      <c r="D251" s="47"/>
      <c r="E251" s="47"/>
      <c r="F251" s="47"/>
      <c r="G251" s="47"/>
      <c r="H251" s="47"/>
      <c r="I251" s="47"/>
      <c r="J251" s="47"/>
      <c r="K251" s="47"/>
      <c r="L251" s="47"/>
      <c r="M251" s="47"/>
      <c r="N251" s="91"/>
      <c r="O251" s="47"/>
      <c r="P251" s="47"/>
      <c r="Q251" s="47"/>
      <c r="R251" s="47"/>
      <c r="S251" s="47"/>
      <c r="T251" s="47"/>
      <c r="U251" s="47"/>
      <c r="V251" s="47"/>
    </row>
    <row r="252" spans="1:22" x14ac:dyDescent="0.3">
      <c r="A252" s="47"/>
      <c r="B252" s="47"/>
      <c r="C252" s="47"/>
      <c r="D252" s="47"/>
      <c r="E252" s="47"/>
      <c r="F252" s="47"/>
      <c r="G252" s="47"/>
      <c r="H252" s="47"/>
      <c r="I252" s="47"/>
      <c r="J252" s="47"/>
      <c r="K252" s="47"/>
      <c r="L252" s="47"/>
      <c r="M252" s="47"/>
      <c r="N252" s="91"/>
      <c r="O252" s="47"/>
      <c r="P252" s="47"/>
      <c r="Q252" s="47"/>
      <c r="R252" s="47"/>
      <c r="S252" s="47"/>
      <c r="T252" s="47"/>
      <c r="U252" s="47"/>
      <c r="V252" s="47"/>
    </row>
    <row r="253" spans="1:22" x14ac:dyDescent="0.3">
      <c r="A253" s="47"/>
      <c r="B253" s="47"/>
      <c r="C253" s="47"/>
      <c r="D253" s="47"/>
      <c r="E253" s="47"/>
      <c r="F253" s="47"/>
      <c r="G253" s="47"/>
      <c r="H253" s="47"/>
      <c r="I253" s="47"/>
      <c r="J253" s="47"/>
      <c r="K253" s="47"/>
      <c r="L253" s="47"/>
      <c r="M253" s="47"/>
      <c r="N253" s="91"/>
      <c r="O253" s="47"/>
      <c r="P253" s="47"/>
      <c r="Q253" s="47"/>
      <c r="R253" s="47"/>
      <c r="S253" s="47"/>
      <c r="T253" s="47"/>
      <c r="U253" s="47"/>
      <c r="V253" s="47"/>
    </row>
    <row r="254" spans="1:22" x14ac:dyDescent="0.3">
      <c r="A254" s="47"/>
      <c r="B254" s="47"/>
      <c r="C254" s="47"/>
      <c r="D254" s="47"/>
      <c r="E254" s="47"/>
      <c r="F254" s="47"/>
      <c r="G254" s="47"/>
      <c r="H254" s="47"/>
      <c r="I254" s="47"/>
      <c r="J254" s="47"/>
      <c r="K254" s="47"/>
      <c r="L254" s="47"/>
      <c r="M254" s="47"/>
      <c r="N254" s="91"/>
      <c r="O254" s="47"/>
      <c r="P254" s="47"/>
      <c r="Q254" s="47"/>
      <c r="R254" s="47"/>
      <c r="S254" s="47"/>
      <c r="T254" s="47"/>
      <c r="U254" s="47"/>
      <c r="V254" s="47"/>
    </row>
    <row r="255" spans="1:22" x14ac:dyDescent="0.3">
      <c r="A255" s="47"/>
      <c r="B255" s="47"/>
      <c r="C255" s="47"/>
      <c r="D255" s="47"/>
      <c r="E255" s="47"/>
      <c r="F255" s="47"/>
      <c r="G255" s="47"/>
      <c r="H255" s="47"/>
      <c r="I255" s="47"/>
      <c r="J255" s="47"/>
      <c r="K255" s="47"/>
      <c r="L255" s="47"/>
      <c r="M255" s="47"/>
      <c r="N255" s="91"/>
      <c r="O255" s="47"/>
      <c r="P255" s="47"/>
      <c r="Q255" s="47"/>
      <c r="R255" s="47"/>
      <c r="S255" s="47"/>
      <c r="T255" s="47"/>
      <c r="U255" s="47"/>
      <c r="V255" s="47"/>
    </row>
    <row r="256" spans="1:22" x14ac:dyDescent="0.3">
      <c r="A256" s="47"/>
      <c r="B256" s="47"/>
      <c r="C256" s="47"/>
      <c r="D256" s="47"/>
      <c r="E256" s="47"/>
      <c r="F256" s="47"/>
      <c r="G256" s="47"/>
      <c r="H256" s="47"/>
      <c r="I256" s="47"/>
      <c r="J256" s="47"/>
      <c r="K256" s="47"/>
      <c r="L256" s="47"/>
      <c r="M256" s="47"/>
      <c r="N256" s="91"/>
      <c r="O256" s="47"/>
      <c r="P256" s="47"/>
      <c r="Q256" s="47"/>
      <c r="R256" s="47"/>
      <c r="S256" s="47"/>
      <c r="T256" s="47"/>
      <c r="U256" s="47"/>
      <c r="V256" s="47"/>
    </row>
    <row r="257" spans="1:22" x14ac:dyDescent="0.3">
      <c r="A257" s="47"/>
      <c r="B257" s="47"/>
      <c r="C257" s="47"/>
      <c r="D257" s="47"/>
      <c r="E257" s="47"/>
      <c r="F257" s="47"/>
      <c r="G257" s="47"/>
      <c r="H257" s="47"/>
      <c r="I257" s="47"/>
      <c r="J257" s="47"/>
      <c r="K257" s="47"/>
      <c r="L257" s="47"/>
      <c r="M257" s="47"/>
      <c r="N257" s="91"/>
      <c r="O257" s="47"/>
      <c r="P257" s="47"/>
      <c r="Q257" s="47"/>
      <c r="R257" s="47"/>
      <c r="S257" s="47"/>
      <c r="T257" s="47"/>
      <c r="U257" s="47"/>
      <c r="V257" s="47"/>
    </row>
    <row r="258" spans="1:22" x14ac:dyDescent="0.3">
      <c r="A258" s="47"/>
      <c r="B258" s="47"/>
      <c r="C258" s="47"/>
      <c r="D258" s="47"/>
      <c r="E258" s="47"/>
      <c r="F258" s="47"/>
      <c r="G258" s="47"/>
      <c r="H258" s="47"/>
      <c r="I258" s="47"/>
      <c r="J258" s="47"/>
      <c r="K258" s="47"/>
      <c r="L258" s="47"/>
      <c r="M258" s="47"/>
      <c r="N258" s="91"/>
      <c r="O258" s="47"/>
      <c r="P258" s="47"/>
      <c r="Q258" s="47"/>
      <c r="R258" s="47"/>
      <c r="S258" s="47"/>
      <c r="T258" s="47"/>
      <c r="U258" s="47"/>
      <c r="V258" s="47"/>
    </row>
    <row r="259" spans="1:22" x14ac:dyDescent="0.3">
      <c r="A259" s="47"/>
      <c r="B259" s="47"/>
      <c r="C259" s="47"/>
      <c r="D259" s="47"/>
      <c r="E259" s="47"/>
      <c r="F259" s="47"/>
      <c r="G259" s="47"/>
      <c r="H259" s="47"/>
      <c r="I259" s="47"/>
      <c r="J259" s="47"/>
      <c r="K259" s="47"/>
      <c r="L259" s="47"/>
      <c r="M259" s="47"/>
      <c r="N259" s="91"/>
      <c r="O259" s="47"/>
      <c r="P259" s="47"/>
      <c r="Q259" s="47"/>
      <c r="R259" s="47"/>
      <c r="S259" s="47"/>
      <c r="T259" s="47"/>
      <c r="U259" s="47"/>
      <c r="V259" s="47"/>
    </row>
    <row r="260" spans="1:22" x14ac:dyDescent="0.3">
      <c r="A260" s="47"/>
      <c r="B260" s="47"/>
      <c r="C260" s="47"/>
      <c r="D260" s="47"/>
      <c r="E260" s="47"/>
      <c r="F260" s="47"/>
      <c r="G260" s="47"/>
      <c r="H260" s="47"/>
      <c r="I260" s="47"/>
      <c r="J260" s="47"/>
      <c r="K260" s="47"/>
      <c r="L260" s="47"/>
      <c r="M260" s="47"/>
      <c r="N260" s="91"/>
      <c r="O260" s="47"/>
      <c r="P260" s="47"/>
      <c r="Q260" s="47"/>
      <c r="R260" s="47"/>
      <c r="S260" s="47"/>
      <c r="T260" s="47"/>
      <c r="U260" s="47"/>
      <c r="V260" s="47"/>
    </row>
    <row r="261" spans="1:22" x14ac:dyDescent="0.3">
      <c r="A261" s="47"/>
      <c r="B261" s="47"/>
      <c r="C261" s="47"/>
      <c r="D261" s="47"/>
      <c r="E261" s="47"/>
      <c r="F261" s="47"/>
      <c r="G261" s="47"/>
      <c r="H261" s="47"/>
      <c r="I261" s="47"/>
      <c r="J261" s="47"/>
      <c r="K261" s="47"/>
      <c r="L261" s="47"/>
      <c r="M261" s="47"/>
      <c r="N261" s="91"/>
      <c r="O261" s="47"/>
      <c r="P261" s="47"/>
      <c r="Q261" s="47"/>
      <c r="R261" s="47"/>
      <c r="S261" s="47"/>
      <c r="T261" s="47"/>
      <c r="U261" s="47"/>
      <c r="V261" s="47"/>
    </row>
    <row r="262" spans="1:22" x14ac:dyDescent="0.3">
      <c r="A262" s="47"/>
      <c r="B262" s="47"/>
      <c r="C262" s="47"/>
      <c r="D262" s="47"/>
      <c r="E262" s="47"/>
      <c r="F262" s="47"/>
      <c r="G262" s="47"/>
      <c r="H262" s="47"/>
      <c r="I262" s="47"/>
      <c r="J262" s="47"/>
      <c r="K262" s="47"/>
      <c r="L262" s="47"/>
      <c r="M262" s="47"/>
      <c r="N262" s="91"/>
      <c r="O262" s="47"/>
      <c r="P262" s="47"/>
      <c r="Q262" s="47"/>
      <c r="R262" s="47"/>
      <c r="S262" s="47"/>
      <c r="T262" s="47"/>
      <c r="U262" s="47"/>
      <c r="V262" s="47"/>
    </row>
    <row r="263" spans="1:22" x14ac:dyDescent="0.3">
      <c r="A263" s="47"/>
      <c r="B263" s="47"/>
      <c r="C263" s="47"/>
      <c r="D263" s="47"/>
      <c r="E263" s="47"/>
      <c r="F263" s="47"/>
      <c r="G263" s="47"/>
      <c r="H263" s="47"/>
      <c r="I263" s="47"/>
      <c r="J263" s="47"/>
      <c r="K263" s="47"/>
      <c r="L263" s="47"/>
      <c r="M263" s="47"/>
      <c r="N263" s="91"/>
      <c r="O263" s="47"/>
      <c r="P263" s="47"/>
      <c r="Q263" s="47"/>
      <c r="R263" s="47"/>
      <c r="S263" s="47"/>
      <c r="T263" s="47"/>
      <c r="U263" s="47"/>
      <c r="V263" s="47"/>
    </row>
    <row r="264" spans="1:22" x14ac:dyDescent="0.3">
      <c r="A264" s="47"/>
      <c r="B264" s="47"/>
      <c r="C264" s="47"/>
      <c r="D264" s="47"/>
      <c r="E264" s="47"/>
      <c r="F264" s="47"/>
      <c r="G264" s="47"/>
      <c r="H264" s="47"/>
      <c r="I264" s="47"/>
      <c r="J264" s="47"/>
      <c r="K264" s="47"/>
      <c r="L264" s="47"/>
      <c r="M264" s="47"/>
      <c r="N264" s="91"/>
      <c r="O264" s="47"/>
      <c r="P264" s="47"/>
      <c r="Q264" s="47"/>
      <c r="R264" s="47"/>
      <c r="S264" s="47"/>
      <c r="T264" s="47"/>
      <c r="U264" s="47"/>
      <c r="V264" s="47"/>
    </row>
    <row r="265" spans="1:22" x14ac:dyDescent="0.3">
      <c r="A265" s="47"/>
      <c r="B265" s="47"/>
      <c r="C265" s="47"/>
      <c r="D265" s="47"/>
      <c r="E265" s="47"/>
      <c r="F265" s="47"/>
      <c r="G265" s="47"/>
      <c r="H265" s="47"/>
      <c r="I265" s="47"/>
      <c r="J265" s="47"/>
      <c r="K265" s="47"/>
      <c r="L265" s="47"/>
      <c r="M265" s="47"/>
      <c r="N265" s="91"/>
      <c r="O265" s="47"/>
      <c r="P265" s="47"/>
      <c r="Q265" s="47"/>
      <c r="R265" s="47"/>
      <c r="S265" s="47"/>
      <c r="T265" s="47"/>
      <c r="U265" s="47"/>
      <c r="V265" s="47"/>
    </row>
    <row r="266" spans="1:22" x14ac:dyDescent="0.3">
      <c r="A266" s="47"/>
      <c r="B266" s="47"/>
      <c r="C266" s="47"/>
      <c r="D266" s="47"/>
      <c r="E266" s="47"/>
      <c r="F266" s="47"/>
      <c r="G266" s="47"/>
      <c r="H266" s="47"/>
      <c r="I266" s="47"/>
      <c r="J266" s="47"/>
      <c r="K266" s="47"/>
      <c r="L266" s="47"/>
      <c r="M266" s="47"/>
      <c r="N266" s="91"/>
      <c r="O266" s="47"/>
      <c r="P266" s="47"/>
      <c r="Q266" s="47"/>
      <c r="R266" s="47"/>
      <c r="S266" s="47"/>
      <c r="T266" s="47"/>
      <c r="U266" s="47"/>
      <c r="V266" s="47"/>
    </row>
    <row r="267" spans="1:22" x14ac:dyDescent="0.3">
      <c r="A267" s="47"/>
      <c r="B267" s="47"/>
      <c r="C267" s="47"/>
      <c r="D267" s="47"/>
      <c r="E267" s="47"/>
      <c r="F267" s="47"/>
      <c r="G267" s="47"/>
      <c r="H267" s="47"/>
      <c r="I267" s="47"/>
      <c r="J267" s="47"/>
      <c r="K267" s="47"/>
      <c r="L267" s="47"/>
      <c r="M267" s="47"/>
      <c r="N267" s="91"/>
      <c r="O267" s="47"/>
      <c r="P267" s="47"/>
      <c r="Q267" s="47"/>
      <c r="R267" s="47"/>
      <c r="S267" s="47"/>
      <c r="T267" s="47"/>
      <c r="U267" s="47"/>
      <c r="V267" s="47"/>
    </row>
    <row r="268" spans="1:22" x14ac:dyDescent="0.3">
      <c r="A268" s="47"/>
      <c r="B268" s="47"/>
      <c r="C268" s="47"/>
      <c r="D268" s="47"/>
      <c r="E268" s="47"/>
      <c r="F268" s="47"/>
      <c r="G268" s="47"/>
      <c r="H268" s="47"/>
      <c r="I268" s="47"/>
      <c r="J268" s="47"/>
      <c r="K268" s="47"/>
      <c r="L268" s="47"/>
      <c r="M268" s="47"/>
      <c r="N268" s="91"/>
      <c r="O268" s="47"/>
      <c r="P268" s="47"/>
      <c r="Q268" s="47"/>
      <c r="R268" s="47"/>
      <c r="S268" s="47"/>
      <c r="T268" s="47"/>
      <c r="U268" s="47"/>
      <c r="V268" s="47"/>
    </row>
    <row r="269" spans="1:22" x14ac:dyDescent="0.3">
      <c r="A269" s="47"/>
      <c r="B269" s="47"/>
      <c r="C269" s="47"/>
      <c r="D269" s="47"/>
      <c r="E269" s="47"/>
      <c r="F269" s="47"/>
      <c r="G269" s="47"/>
      <c r="H269" s="47"/>
      <c r="I269" s="47"/>
      <c r="J269" s="47"/>
      <c r="K269" s="47"/>
      <c r="L269" s="47"/>
      <c r="M269" s="47"/>
      <c r="N269" s="91"/>
      <c r="O269" s="47"/>
      <c r="P269" s="47"/>
      <c r="Q269" s="47"/>
      <c r="R269" s="47"/>
      <c r="S269" s="47"/>
      <c r="T269" s="47"/>
      <c r="U269" s="47"/>
      <c r="V269" s="47"/>
    </row>
    <row r="270" spans="1:22" x14ac:dyDescent="0.3">
      <c r="A270" s="47"/>
      <c r="B270" s="47"/>
      <c r="C270" s="47"/>
      <c r="D270" s="47"/>
      <c r="E270" s="47"/>
      <c r="F270" s="47"/>
      <c r="G270" s="47"/>
      <c r="H270" s="47"/>
      <c r="I270" s="47"/>
      <c r="J270" s="47"/>
      <c r="K270" s="47"/>
      <c r="L270" s="47"/>
      <c r="M270" s="47"/>
      <c r="N270" s="91"/>
      <c r="O270" s="47"/>
      <c r="P270" s="47"/>
      <c r="Q270" s="47"/>
      <c r="R270" s="47"/>
      <c r="S270" s="47"/>
      <c r="T270" s="47"/>
      <c r="U270" s="47"/>
      <c r="V270" s="47"/>
    </row>
    <row r="271" spans="1:22" x14ac:dyDescent="0.3">
      <c r="A271" s="47"/>
      <c r="B271" s="47"/>
      <c r="C271" s="47"/>
      <c r="D271" s="47"/>
      <c r="E271" s="47"/>
      <c r="F271" s="47"/>
      <c r="G271" s="47"/>
      <c r="H271" s="47"/>
      <c r="I271" s="47"/>
      <c r="J271" s="47"/>
      <c r="K271" s="47"/>
      <c r="L271" s="47"/>
      <c r="M271" s="47"/>
      <c r="N271" s="91"/>
      <c r="O271" s="47"/>
      <c r="P271" s="47"/>
      <c r="Q271" s="47"/>
      <c r="R271" s="47"/>
      <c r="S271" s="47"/>
      <c r="T271" s="47"/>
      <c r="U271" s="47"/>
      <c r="V271" s="47"/>
    </row>
    <row r="272" spans="1:22" x14ac:dyDescent="0.3">
      <c r="A272" s="47"/>
      <c r="B272" s="47"/>
      <c r="C272" s="47"/>
      <c r="D272" s="47"/>
      <c r="E272" s="47"/>
      <c r="F272" s="47"/>
      <c r="G272" s="47"/>
      <c r="H272" s="47"/>
      <c r="I272" s="47"/>
      <c r="J272" s="47"/>
      <c r="K272" s="47"/>
      <c r="L272" s="47"/>
      <c r="M272" s="47"/>
      <c r="N272" s="91"/>
      <c r="O272" s="47"/>
      <c r="P272" s="47"/>
      <c r="Q272" s="47"/>
      <c r="R272" s="47"/>
      <c r="S272" s="47"/>
      <c r="T272" s="47"/>
      <c r="U272" s="47"/>
      <c r="V272" s="47"/>
    </row>
    <row r="273" spans="1:22" x14ac:dyDescent="0.3">
      <c r="A273" s="47"/>
      <c r="B273" s="47"/>
      <c r="C273" s="47"/>
      <c r="D273" s="47"/>
      <c r="E273" s="47"/>
      <c r="F273" s="47"/>
      <c r="G273" s="47"/>
      <c r="H273" s="47"/>
      <c r="I273" s="47"/>
      <c r="J273" s="47"/>
      <c r="K273" s="47"/>
      <c r="L273" s="47"/>
      <c r="M273" s="47"/>
      <c r="N273" s="91"/>
      <c r="O273" s="47"/>
      <c r="P273" s="47"/>
      <c r="Q273" s="47"/>
      <c r="R273" s="47"/>
      <c r="S273" s="47"/>
      <c r="T273" s="47"/>
      <c r="U273" s="47"/>
      <c r="V273" s="47"/>
    </row>
    <row r="274" spans="1:22" x14ac:dyDescent="0.3">
      <c r="A274" s="47"/>
      <c r="B274" s="47"/>
      <c r="C274" s="47"/>
      <c r="D274" s="47"/>
      <c r="E274" s="47"/>
      <c r="F274" s="47"/>
      <c r="G274" s="47"/>
      <c r="H274" s="47"/>
      <c r="I274" s="47"/>
      <c r="J274" s="47"/>
      <c r="K274" s="47"/>
      <c r="L274" s="47"/>
      <c r="M274" s="47"/>
      <c r="N274" s="91"/>
      <c r="O274" s="47"/>
      <c r="P274" s="47"/>
      <c r="Q274" s="47"/>
      <c r="R274" s="47"/>
      <c r="S274" s="47"/>
      <c r="T274" s="47"/>
      <c r="U274" s="47"/>
      <c r="V274" s="47"/>
    </row>
    <row r="275" spans="1:22" x14ac:dyDescent="0.3">
      <c r="A275" s="47"/>
      <c r="B275" s="47"/>
      <c r="C275" s="47"/>
      <c r="D275" s="47"/>
      <c r="E275" s="47"/>
      <c r="F275" s="47"/>
      <c r="G275" s="47"/>
      <c r="H275" s="47"/>
      <c r="I275" s="47"/>
      <c r="J275" s="47"/>
      <c r="K275" s="47"/>
      <c r="L275" s="47"/>
      <c r="M275" s="47"/>
      <c r="N275" s="91"/>
      <c r="O275" s="47"/>
      <c r="P275" s="47"/>
      <c r="Q275" s="47"/>
      <c r="R275" s="47"/>
      <c r="S275" s="47"/>
      <c r="T275" s="47"/>
      <c r="U275" s="47"/>
      <c r="V275" s="47"/>
    </row>
    <row r="276" spans="1:22" x14ac:dyDescent="0.3">
      <c r="A276" s="47"/>
      <c r="B276" s="47"/>
      <c r="C276" s="47"/>
      <c r="D276" s="47"/>
      <c r="E276" s="47"/>
      <c r="F276" s="47"/>
      <c r="G276" s="47"/>
      <c r="H276" s="47"/>
      <c r="I276" s="47"/>
      <c r="J276" s="47"/>
      <c r="K276" s="47"/>
      <c r="L276" s="47"/>
      <c r="M276" s="47"/>
      <c r="N276" s="91"/>
      <c r="O276" s="47"/>
      <c r="P276" s="47"/>
      <c r="Q276" s="47"/>
      <c r="R276" s="47"/>
      <c r="S276" s="47"/>
      <c r="T276" s="47"/>
      <c r="U276" s="47"/>
      <c r="V276" s="47"/>
    </row>
    <row r="277" spans="1:22" x14ac:dyDescent="0.3">
      <c r="A277" s="47"/>
      <c r="B277" s="47"/>
      <c r="C277" s="47"/>
      <c r="D277" s="47"/>
      <c r="E277" s="47"/>
      <c r="F277" s="47"/>
      <c r="G277" s="47"/>
      <c r="H277" s="47"/>
      <c r="I277" s="47"/>
      <c r="J277" s="47"/>
      <c r="K277" s="47"/>
      <c r="L277" s="47"/>
      <c r="M277" s="47"/>
      <c r="N277" s="91"/>
      <c r="O277" s="47"/>
      <c r="P277" s="47"/>
      <c r="Q277" s="47"/>
      <c r="R277" s="47"/>
      <c r="S277" s="47"/>
      <c r="T277" s="47"/>
      <c r="U277" s="47"/>
      <c r="V277" s="47"/>
    </row>
    <row r="278" spans="1:22" x14ac:dyDescent="0.3">
      <c r="A278" s="47"/>
      <c r="B278" s="47"/>
      <c r="C278" s="47"/>
      <c r="D278" s="47"/>
      <c r="E278" s="47"/>
      <c r="F278" s="47"/>
      <c r="G278" s="47"/>
      <c r="H278" s="47"/>
      <c r="I278" s="47"/>
      <c r="J278" s="47"/>
      <c r="K278" s="47"/>
      <c r="L278" s="47"/>
      <c r="M278" s="47"/>
      <c r="N278" s="91"/>
      <c r="O278" s="47"/>
      <c r="P278" s="47"/>
      <c r="Q278" s="47"/>
      <c r="R278" s="47"/>
      <c r="S278" s="47"/>
      <c r="T278" s="47"/>
      <c r="U278" s="47"/>
      <c r="V278" s="47"/>
    </row>
    <row r="279" spans="1:22" x14ac:dyDescent="0.3">
      <c r="A279" s="47"/>
      <c r="B279" s="47"/>
      <c r="C279" s="47"/>
      <c r="D279" s="47"/>
      <c r="E279" s="47"/>
      <c r="F279" s="47"/>
      <c r="G279" s="47"/>
      <c r="H279" s="47"/>
      <c r="I279" s="47"/>
      <c r="J279" s="47"/>
      <c r="K279" s="47"/>
      <c r="L279" s="47"/>
      <c r="M279" s="47"/>
      <c r="N279" s="91"/>
      <c r="O279" s="47"/>
      <c r="P279" s="47"/>
      <c r="Q279" s="47"/>
      <c r="R279" s="47"/>
      <c r="S279" s="47"/>
      <c r="T279" s="47"/>
      <c r="U279" s="47"/>
      <c r="V279" s="47"/>
    </row>
    <row r="280" spans="1:22" x14ac:dyDescent="0.3">
      <c r="A280" s="47"/>
      <c r="B280" s="47"/>
      <c r="C280" s="47"/>
      <c r="D280" s="47"/>
      <c r="E280" s="47"/>
      <c r="F280" s="47"/>
      <c r="G280" s="47"/>
      <c r="H280" s="47"/>
      <c r="I280" s="47"/>
      <c r="J280" s="47"/>
      <c r="K280" s="47"/>
      <c r="L280" s="47"/>
      <c r="M280" s="47"/>
      <c r="N280" s="91"/>
      <c r="O280" s="47"/>
      <c r="P280" s="47"/>
      <c r="Q280" s="47"/>
      <c r="R280" s="47"/>
      <c r="S280" s="47"/>
      <c r="T280" s="47"/>
      <c r="U280" s="47"/>
      <c r="V280" s="47"/>
    </row>
    <row r="281" spans="1:22" x14ac:dyDescent="0.3">
      <c r="A281" s="47"/>
      <c r="B281" s="47"/>
      <c r="C281" s="47"/>
      <c r="D281" s="47"/>
      <c r="E281" s="47"/>
      <c r="F281" s="47"/>
      <c r="G281" s="47"/>
      <c r="H281" s="47"/>
      <c r="I281" s="47"/>
      <c r="J281" s="47"/>
      <c r="K281" s="47"/>
      <c r="L281" s="47"/>
      <c r="M281" s="47"/>
      <c r="N281" s="91"/>
      <c r="O281" s="47"/>
      <c r="P281" s="47"/>
      <c r="Q281" s="47"/>
      <c r="R281" s="47"/>
      <c r="S281" s="47"/>
      <c r="T281" s="47"/>
      <c r="U281" s="47"/>
      <c r="V281" s="47"/>
    </row>
    <row r="282" spans="1:22" x14ac:dyDescent="0.3">
      <c r="A282" s="47"/>
      <c r="B282" s="47"/>
      <c r="C282" s="47"/>
      <c r="D282" s="47"/>
      <c r="E282" s="47"/>
      <c r="F282" s="47"/>
      <c r="G282" s="47"/>
      <c r="H282" s="47"/>
      <c r="I282" s="47"/>
      <c r="J282" s="47"/>
      <c r="K282" s="47"/>
      <c r="L282" s="47"/>
      <c r="M282" s="47"/>
      <c r="N282" s="91"/>
      <c r="O282" s="47"/>
      <c r="P282" s="47"/>
      <c r="Q282" s="47"/>
      <c r="R282" s="47"/>
      <c r="S282" s="47"/>
      <c r="T282" s="47"/>
      <c r="U282" s="47"/>
      <c r="V282" s="47"/>
    </row>
    <row r="283" spans="1:22" x14ac:dyDescent="0.3">
      <c r="A283" s="47"/>
      <c r="B283" s="47"/>
      <c r="C283" s="47"/>
      <c r="D283" s="47"/>
      <c r="E283" s="47"/>
      <c r="F283" s="47"/>
      <c r="G283" s="47"/>
      <c r="H283" s="47"/>
      <c r="I283" s="47"/>
      <c r="J283" s="47"/>
      <c r="K283" s="47"/>
      <c r="L283" s="47"/>
      <c r="M283" s="47"/>
      <c r="N283" s="91"/>
      <c r="O283" s="47"/>
      <c r="P283" s="47"/>
      <c r="Q283" s="47"/>
      <c r="R283" s="47"/>
      <c r="S283" s="47"/>
      <c r="T283" s="47"/>
      <c r="U283" s="47"/>
      <c r="V283" s="47"/>
    </row>
    <row r="284" spans="1:22" x14ac:dyDescent="0.3">
      <c r="A284" s="47"/>
      <c r="B284" s="47"/>
      <c r="C284" s="47"/>
      <c r="D284" s="47"/>
      <c r="E284" s="47"/>
      <c r="F284" s="47"/>
      <c r="G284" s="47"/>
      <c r="H284" s="47"/>
      <c r="I284" s="47"/>
      <c r="J284" s="47"/>
      <c r="K284" s="47"/>
      <c r="L284" s="47"/>
      <c r="M284" s="47"/>
      <c r="N284" s="91"/>
      <c r="O284" s="47"/>
      <c r="P284" s="47"/>
      <c r="Q284" s="47"/>
      <c r="R284" s="47"/>
      <c r="S284" s="47"/>
      <c r="T284" s="47"/>
      <c r="U284" s="47"/>
      <c r="V284" s="47"/>
    </row>
    <row r="285" spans="1:22" x14ac:dyDescent="0.3">
      <c r="A285" s="47"/>
      <c r="B285" s="47"/>
      <c r="C285" s="47"/>
      <c r="D285" s="47"/>
      <c r="E285" s="47"/>
      <c r="F285" s="47"/>
      <c r="G285" s="47"/>
      <c r="H285" s="47"/>
      <c r="I285" s="47"/>
      <c r="J285" s="47"/>
      <c r="K285" s="47"/>
      <c r="L285" s="47"/>
      <c r="M285" s="47"/>
      <c r="N285" s="91"/>
      <c r="O285" s="47"/>
      <c r="P285" s="47"/>
      <c r="Q285" s="47"/>
      <c r="R285" s="47"/>
      <c r="S285" s="47"/>
      <c r="T285" s="47"/>
      <c r="U285" s="47"/>
      <c r="V285" s="47"/>
    </row>
    <row r="286" spans="1:22" x14ac:dyDescent="0.3">
      <c r="A286" s="47"/>
      <c r="B286" s="47"/>
      <c r="C286" s="47"/>
      <c r="D286" s="47"/>
      <c r="E286" s="47"/>
      <c r="F286" s="47"/>
      <c r="G286" s="47"/>
      <c r="H286" s="47"/>
      <c r="I286" s="47"/>
      <c r="J286" s="47"/>
      <c r="K286" s="47"/>
      <c r="L286" s="47"/>
      <c r="M286" s="47"/>
      <c r="N286" s="91"/>
      <c r="O286" s="47"/>
      <c r="P286" s="47"/>
      <c r="Q286" s="47"/>
      <c r="R286" s="47"/>
      <c r="S286" s="47"/>
      <c r="T286" s="47"/>
      <c r="U286" s="47"/>
      <c r="V286" s="47"/>
    </row>
    <row r="287" spans="1:22" x14ac:dyDescent="0.3">
      <c r="A287" s="47"/>
      <c r="B287" s="47"/>
      <c r="C287" s="47"/>
      <c r="D287" s="47"/>
      <c r="E287" s="47"/>
      <c r="F287" s="47"/>
      <c r="G287" s="47"/>
      <c r="H287" s="47"/>
      <c r="I287" s="47"/>
      <c r="J287" s="47"/>
      <c r="K287" s="47"/>
      <c r="L287" s="47"/>
      <c r="M287" s="47"/>
      <c r="N287" s="91"/>
      <c r="O287" s="47"/>
      <c r="P287" s="47"/>
      <c r="Q287" s="47"/>
      <c r="R287" s="47"/>
      <c r="S287" s="47"/>
      <c r="T287" s="47"/>
      <c r="U287" s="47"/>
      <c r="V287" s="47"/>
    </row>
    <row r="288" spans="1:22" x14ac:dyDescent="0.3">
      <c r="A288" s="47"/>
      <c r="B288" s="47"/>
      <c r="C288" s="47"/>
      <c r="D288" s="47"/>
      <c r="E288" s="47"/>
      <c r="F288" s="47"/>
      <c r="G288" s="47"/>
      <c r="H288" s="47"/>
      <c r="I288" s="47"/>
      <c r="J288" s="47"/>
      <c r="K288" s="47"/>
      <c r="L288" s="47"/>
      <c r="M288" s="47"/>
      <c r="N288" s="91"/>
      <c r="O288" s="47"/>
      <c r="P288" s="47"/>
      <c r="Q288" s="47"/>
      <c r="R288" s="47"/>
      <c r="S288" s="47"/>
      <c r="T288" s="47"/>
      <c r="U288" s="47"/>
      <c r="V288" s="47"/>
    </row>
    <row r="289" spans="1:22" x14ac:dyDescent="0.3">
      <c r="A289" s="47"/>
      <c r="B289" s="47"/>
      <c r="C289" s="47"/>
      <c r="D289" s="47"/>
      <c r="E289" s="47"/>
      <c r="F289" s="47"/>
      <c r="G289" s="47"/>
      <c r="H289" s="47"/>
      <c r="I289" s="47"/>
      <c r="J289" s="47"/>
      <c r="K289" s="47"/>
      <c r="L289" s="47"/>
      <c r="M289" s="47"/>
      <c r="N289" s="91"/>
      <c r="O289" s="47"/>
      <c r="P289" s="47"/>
      <c r="Q289" s="47"/>
      <c r="R289" s="47"/>
      <c r="S289" s="47"/>
      <c r="T289" s="47"/>
      <c r="U289" s="47"/>
      <c r="V289" s="47"/>
    </row>
    <row r="290" spans="1:22" x14ac:dyDescent="0.3">
      <c r="A290" s="47"/>
      <c r="B290" s="47"/>
      <c r="C290" s="47"/>
      <c r="D290" s="47"/>
      <c r="E290" s="47"/>
      <c r="F290" s="47"/>
      <c r="G290" s="47"/>
      <c r="H290" s="47"/>
      <c r="I290" s="47"/>
      <c r="J290" s="47"/>
      <c r="K290" s="47"/>
      <c r="L290" s="47"/>
      <c r="M290" s="47"/>
      <c r="N290" s="91"/>
      <c r="O290" s="47"/>
      <c r="P290" s="47"/>
      <c r="Q290" s="47"/>
      <c r="R290" s="47"/>
      <c r="S290" s="47"/>
      <c r="T290" s="47"/>
      <c r="U290" s="47"/>
      <c r="V290" s="47"/>
    </row>
    <row r="291" spans="1:22" x14ac:dyDescent="0.3">
      <c r="A291" s="47"/>
      <c r="B291" s="47"/>
      <c r="C291" s="47"/>
      <c r="D291" s="47"/>
      <c r="E291" s="47"/>
      <c r="F291" s="47"/>
      <c r="G291" s="47"/>
      <c r="H291" s="47"/>
      <c r="I291" s="47"/>
      <c r="J291" s="47"/>
      <c r="K291" s="47"/>
      <c r="L291" s="47"/>
      <c r="M291" s="47"/>
      <c r="N291" s="91"/>
      <c r="O291" s="47"/>
      <c r="P291" s="47"/>
      <c r="Q291" s="47"/>
      <c r="R291" s="47"/>
      <c r="S291" s="47"/>
      <c r="T291" s="47"/>
      <c r="U291" s="47"/>
      <c r="V291" s="47"/>
    </row>
    <row r="292" spans="1:22" x14ac:dyDescent="0.3">
      <c r="A292" s="47"/>
      <c r="B292" s="47"/>
      <c r="C292" s="47"/>
      <c r="D292" s="47"/>
      <c r="E292" s="47"/>
      <c r="F292" s="47"/>
      <c r="G292" s="47"/>
      <c r="H292" s="47"/>
      <c r="I292" s="47"/>
      <c r="J292" s="47"/>
      <c r="K292" s="47"/>
      <c r="L292" s="47"/>
      <c r="M292" s="47"/>
      <c r="N292" s="91"/>
      <c r="O292" s="47"/>
      <c r="P292" s="47"/>
      <c r="Q292" s="47"/>
      <c r="R292" s="47"/>
      <c r="S292" s="47"/>
      <c r="T292" s="47"/>
      <c r="U292" s="47"/>
      <c r="V292" s="47"/>
    </row>
    <row r="293" spans="1:22" x14ac:dyDescent="0.3">
      <c r="A293" s="47"/>
      <c r="B293" s="47"/>
      <c r="C293" s="47"/>
      <c r="D293" s="47"/>
      <c r="E293" s="47"/>
      <c r="F293" s="47"/>
      <c r="G293" s="47"/>
      <c r="H293" s="47"/>
      <c r="I293" s="47"/>
      <c r="J293" s="47"/>
      <c r="K293" s="47"/>
      <c r="L293" s="47"/>
      <c r="M293" s="47"/>
      <c r="N293" s="91"/>
      <c r="O293" s="47"/>
      <c r="P293" s="47"/>
      <c r="Q293" s="47"/>
      <c r="R293" s="47"/>
      <c r="S293" s="47"/>
      <c r="T293" s="47"/>
      <c r="U293" s="47"/>
      <c r="V293" s="47"/>
    </row>
    <row r="294" spans="1:22" x14ac:dyDescent="0.3">
      <c r="A294" s="47"/>
      <c r="B294" s="47"/>
      <c r="C294" s="47"/>
      <c r="D294" s="47"/>
      <c r="E294" s="47"/>
      <c r="F294" s="47"/>
      <c r="G294" s="47"/>
      <c r="H294" s="47"/>
      <c r="I294" s="47"/>
      <c r="J294" s="47"/>
      <c r="K294" s="47"/>
      <c r="L294" s="47"/>
      <c r="M294" s="47"/>
      <c r="N294" s="91"/>
      <c r="O294" s="47"/>
      <c r="P294" s="47"/>
      <c r="Q294" s="47"/>
      <c r="R294" s="47"/>
      <c r="S294" s="47"/>
      <c r="T294" s="47"/>
      <c r="U294" s="47"/>
      <c r="V294" s="47"/>
    </row>
    <row r="295" spans="1:22" x14ac:dyDescent="0.3">
      <c r="A295" s="47"/>
      <c r="B295" s="47"/>
      <c r="C295" s="47"/>
      <c r="D295" s="47"/>
      <c r="E295" s="47"/>
      <c r="F295" s="47"/>
      <c r="G295" s="47"/>
      <c r="H295" s="47"/>
      <c r="I295" s="47"/>
      <c r="J295" s="47"/>
      <c r="K295" s="47"/>
      <c r="L295" s="47"/>
      <c r="M295" s="47"/>
      <c r="N295" s="91"/>
      <c r="O295" s="47"/>
      <c r="P295" s="47"/>
      <c r="Q295" s="47"/>
      <c r="R295" s="47"/>
      <c r="S295" s="47"/>
      <c r="T295" s="47"/>
      <c r="U295" s="47"/>
      <c r="V295" s="47"/>
    </row>
    <row r="296" spans="1:22" x14ac:dyDescent="0.3">
      <c r="A296" s="47"/>
      <c r="B296" s="47"/>
      <c r="C296" s="47"/>
      <c r="D296" s="47"/>
      <c r="E296" s="47"/>
      <c r="F296" s="47"/>
      <c r="G296" s="47"/>
      <c r="H296" s="47"/>
      <c r="I296" s="47"/>
      <c r="J296" s="47"/>
      <c r="K296" s="47"/>
      <c r="L296" s="47"/>
      <c r="M296" s="47"/>
      <c r="N296" s="91"/>
      <c r="O296" s="47"/>
      <c r="P296" s="47"/>
      <c r="Q296" s="47"/>
      <c r="R296" s="47"/>
      <c r="S296" s="47"/>
      <c r="T296" s="47"/>
      <c r="U296" s="47"/>
      <c r="V296" s="47"/>
    </row>
    <row r="297" spans="1:22" x14ac:dyDescent="0.3">
      <c r="A297" s="47"/>
      <c r="B297" s="47"/>
      <c r="C297" s="47"/>
      <c r="D297" s="47"/>
      <c r="E297" s="47"/>
      <c r="F297" s="47"/>
      <c r="G297" s="47"/>
      <c r="H297" s="47"/>
      <c r="I297" s="47"/>
      <c r="J297" s="47"/>
      <c r="K297" s="47"/>
      <c r="L297" s="47"/>
      <c r="M297" s="47"/>
      <c r="N297" s="91"/>
      <c r="O297" s="47"/>
      <c r="P297" s="47"/>
      <c r="Q297" s="47"/>
      <c r="R297" s="47"/>
      <c r="S297" s="47"/>
      <c r="T297" s="47"/>
      <c r="U297" s="47"/>
      <c r="V297" s="47"/>
    </row>
    <row r="298" spans="1:22" x14ac:dyDescent="0.3">
      <c r="A298" s="47"/>
      <c r="B298" s="47"/>
      <c r="C298" s="47"/>
      <c r="D298" s="47"/>
      <c r="E298" s="47"/>
      <c r="F298" s="47"/>
      <c r="G298" s="47"/>
      <c r="H298" s="47"/>
      <c r="I298" s="47"/>
      <c r="J298" s="47"/>
      <c r="K298" s="47"/>
      <c r="L298" s="47"/>
      <c r="M298" s="47"/>
      <c r="N298" s="91"/>
      <c r="O298" s="47"/>
      <c r="P298" s="47"/>
      <c r="Q298" s="47"/>
      <c r="R298" s="47"/>
      <c r="S298" s="47"/>
      <c r="T298" s="47"/>
      <c r="U298" s="47"/>
      <c r="V298" s="47"/>
    </row>
    <row r="299" spans="1:22" x14ac:dyDescent="0.3">
      <c r="A299" s="47"/>
      <c r="B299" s="47"/>
      <c r="C299" s="47"/>
      <c r="D299" s="47"/>
      <c r="E299" s="47"/>
      <c r="F299" s="47"/>
      <c r="G299" s="47"/>
      <c r="H299" s="47"/>
      <c r="I299" s="47"/>
      <c r="J299" s="47"/>
      <c r="K299" s="47"/>
      <c r="L299" s="47"/>
      <c r="M299" s="47"/>
      <c r="N299" s="91"/>
      <c r="O299" s="47"/>
      <c r="P299" s="47"/>
      <c r="Q299" s="47"/>
      <c r="R299" s="47"/>
      <c r="S299" s="47"/>
      <c r="T299" s="47"/>
      <c r="U299" s="47"/>
      <c r="V299" s="47"/>
    </row>
    <row r="300" spans="1:22" x14ac:dyDescent="0.3">
      <c r="A300" s="47"/>
      <c r="B300" s="47"/>
      <c r="C300" s="47"/>
      <c r="D300" s="47"/>
      <c r="E300" s="47"/>
      <c r="F300" s="47"/>
      <c r="G300" s="47"/>
      <c r="H300" s="47"/>
      <c r="I300" s="47"/>
      <c r="J300" s="47"/>
      <c r="K300" s="47"/>
      <c r="L300" s="47"/>
      <c r="M300" s="47"/>
      <c r="N300" s="91"/>
      <c r="O300" s="47"/>
      <c r="P300" s="47"/>
      <c r="Q300" s="47"/>
      <c r="R300" s="47"/>
      <c r="S300" s="47"/>
      <c r="T300" s="47"/>
      <c r="U300" s="47"/>
      <c r="V300" s="47"/>
    </row>
    <row r="301" spans="1:22" x14ac:dyDescent="0.3">
      <c r="A301" s="47"/>
      <c r="B301" s="47"/>
      <c r="C301" s="47"/>
      <c r="D301" s="47"/>
      <c r="E301" s="47"/>
      <c r="F301" s="47"/>
      <c r="G301" s="47"/>
      <c r="H301" s="47"/>
      <c r="I301" s="47"/>
      <c r="J301" s="47"/>
      <c r="K301" s="47"/>
      <c r="L301" s="47"/>
      <c r="M301" s="47"/>
      <c r="N301" s="91"/>
      <c r="O301" s="47"/>
      <c r="P301" s="47"/>
      <c r="Q301" s="47"/>
      <c r="R301" s="47"/>
      <c r="S301" s="47"/>
      <c r="T301" s="47"/>
      <c r="U301" s="47"/>
      <c r="V301" s="47"/>
    </row>
    <row r="302" spans="1:22" x14ac:dyDescent="0.3">
      <c r="A302" s="47"/>
      <c r="B302" s="47"/>
      <c r="C302" s="47"/>
      <c r="D302" s="47"/>
      <c r="E302" s="47"/>
      <c r="F302" s="47"/>
      <c r="G302" s="47"/>
      <c r="H302" s="47"/>
      <c r="I302" s="47"/>
      <c r="J302" s="47"/>
      <c r="K302" s="47"/>
      <c r="L302" s="47"/>
      <c r="M302" s="47"/>
      <c r="N302" s="91"/>
      <c r="O302" s="47"/>
      <c r="P302" s="47"/>
      <c r="Q302" s="47"/>
      <c r="R302" s="47"/>
      <c r="S302" s="47"/>
      <c r="T302" s="47"/>
      <c r="U302" s="47"/>
      <c r="V302" s="47"/>
    </row>
    <row r="303" spans="1:22" x14ac:dyDescent="0.3">
      <c r="A303" s="47"/>
      <c r="B303" s="47"/>
      <c r="C303" s="47"/>
      <c r="D303" s="47"/>
      <c r="E303" s="47"/>
      <c r="F303" s="47"/>
      <c r="G303" s="47"/>
      <c r="H303" s="47"/>
      <c r="I303" s="47"/>
      <c r="J303" s="47"/>
      <c r="K303" s="47"/>
      <c r="L303" s="47"/>
      <c r="M303" s="47"/>
      <c r="N303" s="91"/>
      <c r="O303" s="47"/>
      <c r="P303" s="47"/>
      <c r="Q303" s="47"/>
      <c r="R303" s="47"/>
      <c r="S303" s="47"/>
      <c r="T303" s="47"/>
      <c r="U303" s="47"/>
      <c r="V303" s="47"/>
    </row>
    <row r="304" spans="1:22" x14ac:dyDescent="0.3">
      <c r="A304" s="47"/>
      <c r="B304" s="47"/>
      <c r="C304" s="47"/>
      <c r="D304" s="47"/>
      <c r="E304" s="47"/>
      <c r="F304" s="47"/>
      <c r="G304" s="47"/>
      <c r="H304" s="47"/>
      <c r="I304" s="47"/>
      <c r="J304" s="47"/>
      <c r="K304" s="47"/>
      <c r="L304" s="47"/>
      <c r="M304" s="47"/>
      <c r="N304" s="91"/>
      <c r="O304" s="47"/>
      <c r="P304" s="47"/>
      <c r="Q304" s="47"/>
      <c r="R304" s="47"/>
      <c r="S304" s="47"/>
      <c r="T304" s="47"/>
      <c r="U304" s="47"/>
      <c r="V304" s="47"/>
    </row>
    <row r="305" spans="1:22" x14ac:dyDescent="0.3">
      <c r="A305" s="47"/>
      <c r="B305" s="47"/>
      <c r="C305" s="47"/>
      <c r="D305" s="47"/>
      <c r="E305" s="47"/>
      <c r="F305" s="47"/>
      <c r="G305" s="47"/>
      <c r="H305" s="47"/>
      <c r="I305" s="47"/>
      <c r="J305" s="47"/>
      <c r="K305" s="47"/>
      <c r="L305" s="47"/>
      <c r="M305" s="47"/>
      <c r="N305" s="91"/>
      <c r="O305" s="47"/>
      <c r="P305" s="47"/>
      <c r="Q305" s="47"/>
      <c r="R305" s="47"/>
      <c r="S305" s="47"/>
      <c r="T305" s="47"/>
      <c r="U305" s="47"/>
      <c r="V305" s="47"/>
    </row>
    <row r="306" spans="1:22" x14ac:dyDescent="0.3">
      <c r="A306" s="47"/>
      <c r="B306" s="47"/>
      <c r="C306" s="47"/>
      <c r="D306" s="47"/>
      <c r="E306" s="47"/>
      <c r="F306" s="47"/>
      <c r="G306" s="47"/>
      <c r="H306" s="47"/>
      <c r="I306" s="47"/>
      <c r="J306" s="47"/>
      <c r="K306" s="47"/>
      <c r="L306" s="47"/>
      <c r="M306" s="47"/>
      <c r="N306" s="91"/>
      <c r="O306" s="47"/>
      <c r="P306" s="47"/>
      <c r="Q306" s="47"/>
      <c r="R306" s="47"/>
      <c r="S306" s="47"/>
      <c r="T306" s="47"/>
      <c r="U306" s="47"/>
      <c r="V306" s="47"/>
    </row>
    <row r="307" spans="1:22" x14ac:dyDescent="0.3">
      <c r="A307" s="47"/>
      <c r="B307" s="47"/>
      <c r="C307" s="47"/>
      <c r="D307" s="47"/>
      <c r="E307" s="47"/>
      <c r="F307" s="47"/>
      <c r="G307" s="47"/>
      <c r="H307" s="47"/>
      <c r="I307" s="47"/>
      <c r="J307" s="47"/>
      <c r="K307" s="47"/>
      <c r="L307" s="47"/>
      <c r="M307" s="47"/>
      <c r="N307" s="91"/>
      <c r="O307" s="47"/>
      <c r="P307" s="47"/>
      <c r="Q307" s="47"/>
      <c r="R307" s="47"/>
      <c r="S307" s="47"/>
      <c r="T307" s="47"/>
      <c r="U307" s="47"/>
      <c r="V307" s="47"/>
    </row>
    <row r="308" spans="1:22" x14ac:dyDescent="0.3">
      <c r="A308" s="47"/>
      <c r="B308" s="47"/>
      <c r="C308" s="47"/>
      <c r="D308" s="47"/>
      <c r="E308" s="47"/>
      <c r="F308" s="47"/>
      <c r="G308" s="47"/>
      <c r="H308" s="47"/>
      <c r="I308" s="47"/>
      <c r="J308" s="47"/>
      <c r="K308" s="47"/>
      <c r="L308" s="47"/>
      <c r="M308" s="47"/>
      <c r="N308" s="91"/>
      <c r="O308" s="47"/>
      <c r="P308" s="47"/>
      <c r="Q308" s="47"/>
      <c r="R308" s="47"/>
      <c r="S308" s="47"/>
      <c r="T308" s="47"/>
      <c r="U308" s="47"/>
      <c r="V308" s="47"/>
    </row>
    <row r="309" spans="1:22" x14ac:dyDescent="0.3">
      <c r="A309" s="47"/>
      <c r="B309" s="47"/>
      <c r="C309" s="47"/>
      <c r="D309" s="47"/>
      <c r="E309" s="47"/>
      <c r="F309" s="47"/>
      <c r="G309" s="47"/>
      <c r="H309" s="47"/>
      <c r="I309" s="47"/>
      <c r="J309" s="47"/>
      <c r="K309" s="47"/>
      <c r="L309" s="47"/>
      <c r="M309" s="47"/>
      <c r="N309" s="91"/>
      <c r="O309" s="47"/>
      <c r="P309" s="47"/>
      <c r="Q309" s="47"/>
      <c r="R309" s="47"/>
      <c r="S309" s="47"/>
      <c r="T309" s="47"/>
      <c r="U309" s="47"/>
      <c r="V309" s="47"/>
    </row>
    <row r="310" spans="1:22" x14ac:dyDescent="0.3">
      <c r="A310" s="47"/>
      <c r="B310" s="47"/>
      <c r="C310" s="47"/>
      <c r="D310" s="47"/>
      <c r="E310" s="47"/>
      <c r="F310" s="47"/>
      <c r="G310" s="47"/>
      <c r="H310" s="47"/>
      <c r="I310" s="47"/>
      <c r="J310" s="47"/>
      <c r="K310" s="47"/>
      <c r="L310" s="47"/>
      <c r="M310" s="47"/>
      <c r="N310" s="91"/>
      <c r="O310" s="47"/>
      <c r="P310" s="47"/>
      <c r="Q310" s="47"/>
      <c r="R310" s="47"/>
      <c r="S310" s="47"/>
      <c r="T310" s="47"/>
      <c r="U310" s="47"/>
      <c r="V310" s="47"/>
    </row>
    <row r="311" spans="1:22" x14ac:dyDescent="0.3">
      <c r="A311" s="47"/>
      <c r="B311" s="47"/>
      <c r="C311" s="47"/>
      <c r="D311" s="47"/>
      <c r="E311" s="47"/>
      <c r="F311" s="47"/>
      <c r="G311" s="47"/>
      <c r="H311" s="47"/>
      <c r="I311" s="47"/>
      <c r="J311" s="47"/>
      <c r="K311" s="47"/>
      <c r="L311" s="47"/>
      <c r="M311" s="47"/>
      <c r="N311" s="91"/>
      <c r="O311" s="47"/>
      <c r="P311" s="47"/>
      <c r="Q311" s="47"/>
      <c r="R311" s="47"/>
      <c r="S311" s="47"/>
      <c r="T311" s="47"/>
      <c r="U311" s="47"/>
      <c r="V311" s="47"/>
    </row>
    <row r="312" spans="1:22" x14ac:dyDescent="0.3">
      <c r="A312" s="47"/>
      <c r="B312" s="47"/>
      <c r="C312" s="47"/>
      <c r="D312" s="47"/>
      <c r="E312" s="47"/>
      <c r="F312" s="47"/>
      <c r="G312" s="47"/>
      <c r="H312" s="47"/>
      <c r="I312" s="47"/>
      <c r="J312" s="47"/>
      <c r="K312" s="47"/>
      <c r="L312" s="47"/>
      <c r="M312" s="47"/>
      <c r="N312" s="91"/>
      <c r="O312" s="47"/>
      <c r="P312" s="47"/>
      <c r="Q312" s="47"/>
      <c r="R312" s="47"/>
      <c r="S312" s="47"/>
      <c r="T312" s="47"/>
      <c r="U312" s="47"/>
      <c r="V312" s="47"/>
    </row>
    <row r="313" spans="1:22" x14ac:dyDescent="0.3">
      <c r="A313" s="47"/>
      <c r="B313" s="47"/>
      <c r="C313" s="47"/>
      <c r="D313" s="47"/>
      <c r="E313" s="47"/>
      <c r="F313" s="47"/>
      <c r="G313" s="47"/>
      <c r="H313" s="47"/>
      <c r="I313" s="47"/>
      <c r="J313" s="47"/>
      <c r="K313" s="47"/>
      <c r="L313" s="47"/>
      <c r="M313" s="47"/>
      <c r="N313" s="91"/>
      <c r="O313" s="47"/>
      <c r="P313" s="47"/>
      <c r="Q313" s="47"/>
      <c r="R313" s="47"/>
      <c r="S313" s="47"/>
      <c r="T313" s="47"/>
      <c r="U313" s="47"/>
      <c r="V313" s="47"/>
    </row>
    <row r="314" spans="1:22" x14ac:dyDescent="0.3">
      <c r="A314" s="47"/>
      <c r="B314" s="47"/>
      <c r="C314" s="47"/>
      <c r="D314" s="47"/>
      <c r="E314" s="47"/>
      <c r="F314" s="47"/>
      <c r="G314" s="47"/>
      <c r="H314" s="47"/>
      <c r="I314" s="47"/>
      <c r="J314" s="47"/>
      <c r="K314" s="47"/>
      <c r="L314" s="47"/>
      <c r="M314" s="47"/>
      <c r="N314" s="91"/>
      <c r="O314" s="47"/>
      <c r="P314" s="47"/>
      <c r="Q314" s="47"/>
      <c r="R314" s="47"/>
      <c r="S314" s="47"/>
      <c r="T314" s="47"/>
      <c r="U314" s="47"/>
      <c r="V314" s="47"/>
    </row>
    <row r="315" spans="1:22" x14ac:dyDescent="0.3">
      <c r="A315" s="47"/>
      <c r="B315" s="47"/>
      <c r="C315" s="47"/>
      <c r="D315" s="47"/>
      <c r="E315" s="47"/>
      <c r="F315" s="47"/>
      <c r="G315" s="47"/>
      <c r="H315" s="47"/>
      <c r="I315" s="47"/>
      <c r="J315" s="47"/>
      <c r="K315" s="47"/>
      <c r="L315" s="47"/>
      <c r="M315" s="47"/>
      <c r="N315" s="91"/>
      <c r="O315" s="47"/>
      <c r="P315" s="47"/>
      <c r="Q315" s="47"/>
      <c r="R315" s="47"/>
      <c r="S315" s="47"/>
      <c r="T315" s="47"/>
      <c r="U315" s="47"/>
      <c r="V315" s="47"/>
    </row>
    <row r="316" spans="1:22" x14ac:dyDescent="0.3">
      <c r="A316" s="47"/>
      <c r="B316" s="47"/>
      <c r="C316" s="47"/>
      <c r="D316" s="47"/>
      <c r="E316" s="47"/>
      <c r="F316" s="47"/>
      <c r="G316" s="47"/>
      <c r="H316" s="47"/>
      <c r="I316" s="47"/>
      <c r="J316" s="47"/>
      <c r="K316" s="47"/>
      <c r="L316" s="47"/>
      <c r="M316" s="47"/>
      <c r="N316" s="91"/>
      <c r="O316" s="47"/>
      <c r="P316" s="47"/>
      <c r="Q316" s="47"/>
      <c r="R316" s="47"/>
      <c r="S316" s="47"/>
      <c r="T316" s="47"/>
      <c r="U316" s="47"/>
      <c r="V316" s="47"/>
    </row>
    <row r="317" spans="1:22" x14ac:dyDescent="0.3">
      <c r="A317" s="47"/>
      <c r="B317" s="47"/>
      <c r="C317" s="47"/>
      <c r="D317" s="47"/>
      <c r="E317" s="47"/>
      <c r="F317" s="47"/>
      <c r="G317" s="47"/>
      <c r="H317" s="47"/>
      <c r="I317" s="47"/>
      <c r="J317" s="47"/>
      <c r="K317" s="47"/>
      <c r="L317" s="47"/>
      <c r="M317" s="47"/>
      <c r="N317" s="91"/>
      <c r="O317" s="47"/>
      <c r="P317" s="47"/>
      <c r="Q317" s="47"/>
      <c r="R317" s="47"/>
      <c r="S317" s="47"/>
      <c r="T317" s="47"/>
      <c r="U317" s="47"/>
      <c r="V317" s="47"/>
    </row>
    <row r="318" spans="1:22" x14ac:dyDescent="0.3">
      <c r="A318" s="47"/>
      <c r="B318" s="47"/>
      <c r="C318" s="47"/>
      <c r="D318" s="47"/>
      <c r="E318" s="47"/>
      <c r="F318" s="47"/>
      <c r="G318" s="47"/>
      <c r="H318" s="47"/>
      <c r="I318" s="47"/>
      <c r="J318" s="47"/>
      <c r="K318" s="47"/>
      <c r="L318" s="47"/>
      <c r="M318" s="47"/>
      <c r="N318" s="91"/>
      <c r="O318" s="47"/>
      <c r="P318" s="47"/>
      <c r="Q318" s="47"/>
      <c r="R318" s="47"/>
      <c r="S318" s="47"/>
      <c r="T318" s="47"/>
      <c r="U318" s="47"/>
      <c r="V318" s="47"/>
    </row>
    <row r="319" spans="1:22" x14ac:dyDescent="0.3">
      <c r="A319" s="47"/>
      <c r="B319" s="47"/>
      <c r="C319" s="47"/>
      <c r="D319" s="47"/>
      <c r="E319" s="47"/>
      <c r="F319" s="47"/>
      <c r="G319" s="47"/>
      <c r="H319" s="47"/>
      <c r="I319" s="47"/>
      <c r="J319" s="47"/>
      <c r="K319" s="47"/>
      <c r="L319" s="47"/>
      <c r="M319" s="47"/>
      <c r="N319" s="91"/>
      <c r="O319" s="47"/>
      <c r="P319" s="47"/>
      <c r="Q319" s="47"/>
      <c r="R319" s="47"/>
      <c r="S319" s="47"/>
      <c r="T319" s="47"/>
      <c r="U319" s="47"/>
      <c r="V319" s="47"/>
    </row>
    <row r="320" spans="1:22" x14ac:dyDescent="0.3">
      <c r="A320" s="47"/>
      <c r="B320" s="47"/>
      <c r="C320" s="47"/>
      <c r="D320" s="47"/>
      <c r="E320" s="47"/>
      <c r="F320" s="47"/>
      <c r="G320" s="47"/>
      <c r="H320" s="47"/>
      <c r="I320" s="47"/>
      <c r="J320" s="47"/>
      <c r="K320" s="47"/>
      <c r="L320" s="47"/>
      <c r="M320" s="47"/>
      <c r="N320" s="91"/>
      <c r="O320" s="47"/>
      <c r="P320" s="47"/>
      <c r="Q320" s="47"/>
      <c r="R320" s="47"/>
      <c r="S320" s="47"/>
      <c r="T320" s="47"/>
      <c r="U320" s="47"/>
      <c r="V320" s="47"/>
    </row>
    <row r="321" spans="1:22" x14ac:dyDescent="0.3">
      <c r="A321" s="47"/>
      <c r="B321" s="47"/>
      <c r="C321" s="47"/>
      <c r="D321" s="47"/>
      <c r="E321" s="47"/>
      <c r="F321" s="47"/>
      <c r="G321" s="47"/>
      <c r="H321" s="47"/>
      <c r="I321" s="47"/>
      <c r="J321" s="47"/>
      <c r="K321" s="47"/>
      <c r="L321" s="47"/>
      <c r="M321" s="47"/>
      <c r="N321" s="91"/>
      <c r="O321" s="47"/>
      <c r="P321" s="47"/>
      <c r="Q321" s="47"/>
      <c r="R321" s="47"/>
      <c r="S321" s="47"/>
      <c r="T321" s="47"/>
      <c r="U321" s="47"/>
      <c r="V321" s="47"/>
    </row>
    <row r="322" spans="1:22" x14ac:dyDescent="0.3">
      <c r="A322" s="47"/>
      <c r="B322" s="47"/>
      <c r="C322" s="47"/>
      <c r="D322" s="47"/>
      <c r="E322" s="47"/>
      <c r="F322" s="47"/>
      <c r="G322" s="47"/>
      <c r="H322" s="47"/>
      <c r="I322" s="47"/>
      <c r="J322" s="47"/>
      <c r="K322" s="47"/>
      <c r="L322" s="47"/>
      <c r="M322" s="47"/>
      <c r="N322" s="91"/>
      <c r="O322" s="47"/>
      <c r="P322" s="47"/>
      <c r="Q322" s="47"/>
      <c r="R322" s="47"/>
      <c r="S322" s="47"/>
      <c r="T322" s="47"/>
      <c r="U322" s="47"/>
      <c r="V322" s="47"/>
    </row>
    <row r="323" spans="1:22" x14ac:dyDescent="0.3">
      <c r="A323" s="47"/>
      <c r="B323" s="47"/>
      <c r="C323" s="47"/>
      <c r="D323" s="47"/>
      <c r="E323" s="47"/>
      <c r="F323" s="47"/>
      <c r="G323" s="47"/>
      <c r="H323" s="47"/>
      <c r="I323" s="47"/>
      <c r="J323" s="47"/>
      <c r="K323" s="47"/>
      <c r="L323" s="47"/>
      <c r="M323" s="47"/>
      <c r="N323" s="91"/>
      <c r="O323" s="47"/>
      <c r="P323" s="47"/>
      <c r="Q323" s="47"/>
      <c r="R323" s="47"/>
      <c r="S323" s="47"/>
      <c r="T323" s="47"/>
      <c r="U323" s="47"/>
      <c r="V323" s="47"/>
    </row>
    <row r="324" spans="1:22" x14ac:dyDescent="0.3">
      <c r="A324" s="47"/>
      <c r="B324" s="47"/>
      <c r="C324" s="47"/>
      <c r="D324" s="47"/>
      <c r="E324" s="47"/>
      <c r="F324" s="47"/>
      <c r="G324" s="47"/>
      <c r="H324" s="47"/>
      <c r="I324" s="47"/>
      <c r="J324" s="47"/>
      <c r="K324" s="47"/>
      <c r="L324" s="47"/>
      <c r="M324" s="47"/>
      <c r="N324" s="91"/>
      <c r="O324" s="47"/>
      <c r="P324" s="47"/>
      <c r="Q324" s="47"/>
      <c r="R324" s="47"/>
      <c r="S324" s="47"/>
      <c r="T324" s="47"/>
      <c r="U324" s="47"/>
      <c r="V324" s="47"/>
    </row>
    <row r="325" spans="1:22" x14ac:dyDescent="0.3">
      <c r="A325" s="47"/>
      <c r="B325" s="47"/>
      <c r="C325" s="47"/>
      <c r="D325" s="47"/>
      <c r="E325" s="47"/>
      <c r="F325" s="47"/>
      <c r="G325" s="47"/>
      <c r="H325" s="47"/>
      <c r="I325" s="47"/>
      <c r="J325" s="47"/>
      <c r="K325" s="47"/>
      <c r="L325" s="47"/>
      <c r="M325" s="47"/>
      <c r="N325" s="91"/>
      <c r="O325" s="47"/>
      <c r="P325" s="47"/>
      <c r="Q325" s="47"/>
      <c r="R325" s="47"/>
      <c r="S325" s="47"/>
      <c r="T325" s="47"/>
      <c r="U325" s="47"/>
      <c r="V325" s="47"/>
    </row>
    <row r="326" spans="1:22" x14ac:dyDescent="0.3">
      <c r="A326" s="47"/>
      <c r="B326" s="47"/>
      <c r="C326" s="47"/>
      <c r="D326" s="47"/>
      <c r="E326" s="47"/>
      <c r="F326" s="47"/>
      <c r="G326" s="47"/>
      <c r="H326" s="47"/>
      <c r="I326" s="47"/>
      <c r="J326" s="47"/>
      <c r="K326" s="47"/>
      <c r="L326" s="47"/>
      <c r="M326" s="47"/>
      <c r="N326" s="91"/>
      <c r="O326" s="47"/>
      <c r="P326" s="47"/>
      <c r="Q326" s="47"/>
      <c r="R326" s="47"/>
      <c r="S326" s="47"/>
      <c r="T326" s="47"/>
      <c r="U326" s="47"/>
      <c r="V326" s="47"/>
    </row>
    <row r="327" spans="1:22" x14ac:dyDescent="0.3">
      <c r="A327" s="47"/>
      <c r="B327" s="47"/>
      <c r="C327" s="47"/>
      <c r="D327" s="47"/>
      <c r="E327" s="47"/>
      <c r="F327" s="47"/>
      <c r="G327" s="47"/>
      <c r="H327" s="47"/>
      <c r="I327" s="47"/>
      <c r="J327" s="47"/>
      <c r="K327" s="47"/>
      <c r="L327" s="47"/>
      <c r="M327" s="47"/>
      <c r="N327" s="91"/>
      <c r="O327" s="47"/>
      <c r="P327" s="47"/>
      <c r="Q327" s="47"/>
      <c r="R327" s="47"/>
      <c r="S327" s="47"/>
      <c r="T327" s="47"/>
      <c r="U327" s="47"/>
      <c r="V327" s="47"/>
    </row>
    <row r="328" spans="1:22" x14ac:dyDescent="0.3">
      <c r="A328" s="47"/>
      <c r="B328" s="47"/>
      <c r="C328" s="47"/>
      <c r="D328" s="47"/>
      <c r="E328" s="47"/>
      <c r="F328" s="47"/>
      <c r="G328" s="47"/>
      <c r="H328" s="47"/>
      <c r="I328" s="47"/>
      <c r="J328" s="47"/>
      <c r="K328" s="47"/>
      <c r="L328" s="47"/>
      <c r="M328" s="47"/>
      <c r="N328" s="91"/>
      <c r="O328" s="47"/>
      <c r="P328" s="47"/>
      <c r="Q328" s="47"/>
      <c r="R328" s="47"/>
      <c r="S328" s="47"/>
      <c r="T328" s="47"/>
      <c r="U328" s="47"/>
      <c r="V328" s="47"/>
    </row>
    <row r="329" spans="1:22" x14ac:dyDescent="0.3">
      <c r="A329" s="47"/>
      <c r="B329" s="47"/>
      <c r="C329" s="47"/>
      <c r="D329" s="47"/>
      <c r="E329" s="47"/>
      <c r="F329" s="47"/>
      <c r="G329" s="47"/>
      <c r="H329" s="47"/>
      <c r="I329" s="47"/>
      <c r="J329" s="47"/>
      <c r="K329" s="47"/>
      <c r="L329" s="47"/>
      <c r="M329" s="47"/>
      <c r="N329" s="91"/>
      <c r="O329" s="47"/>
      <c r="P329" s="47"/>
      <c r="Q329" s="47"/>
      <c r="R329" s="47"/>
      <c r="S329" s="47"/>
      <c r="T329" s="47"/>
      <c r="U329" s="47"/>
      <c r="V329" s="47"/>
    </row>
    <row r="330" spans="1:22" x14ac:dyDescent="0.3">
      <c r="A330" s="47"/>
      <c r="B330" s="47"/>
      <c r="C330" s="47"/>
      <c r="D330" s="47"/>
      <c r="E330" s="47"/>
      <c r="F330" s="47"/>
      <c r="G330" s="47"/>
      <c r="H330" s="47"/>
      <c r="I330" s="47"/>
      <c r="J330" s="47"/>
      <c r="K330" s="47"/>
      <c r="L330" s="47"/>
      <c r="M330" s="47"/>
      <c r="N330" s="91"/>
      <c r="O330" s="47"/>
      <c r="P330" s="47"/>
      <c r="Q330" s="47"/>
      <c r="R330" s="47"/>
      <c r="S330" s="47"/>
      <c r="T330" s="47"/>
      <c r="U330" s="47"/>
      <c r="V330" s="47"/>
    </row>
    <row r="331" spans="1:22" x14ac:dyDescent="0.3">
      <c r="A331" s="47"/>
      <c r="B331" s="47"/>
      <c r="C331" s="47"/>
      <c r="D331" s="47"/>
      <c r="E331" s="47"/>
      <c r="F331" s="47"/>
      <c r="G331" s="47"/>
      <c r="H331" s="47"/>
      <c r="I331" s="47"/>
      <c r="J331" s="47"/>
      <c r="K331" s="47"/>
      <c r="L331" s="47"/>
      <c r="M331" s="47"/>
      <c r="N331" s="91"/>
      <c r="O331" s="47"/>
      <c r="P331" s="47"/>
      <c r="Q331" s="47"/>
      <c r="R331" s="47"/>
      <c r="S331" s="47"/>
      <c r="T331" s="47"/>
      <c r="U331" s="47"/>
      <c r="V331" s="47"/>
    </row>
    <row r="332" spans="1:22" x14ac:dyDescent="0.3">
      <c r="A332" s="47"/>
      <c r="B332" s="47"/>
      <c r="C332" s="47"/>
      <c r="D332" s="47"/>
      <c r="E332" s="47"/>
      <c r="F332" s="47"/>
      <c r="G332" s="47"/>
      <c r="H332" s="47"/>
      <c r="I332" s="47"/>
      <c r="J332" s="47"/>
      <c r="K332" s="47"/>
      <c r="L332" s="47"/>
      <c r="M332" s="47"/>
      <c r="N332" s="91"/>
      <c r="O332" s="47"/>
      <c r="P332" s="47"/>
      <c r="Q332" s="47"/>
      <c r="R332" s="47"/>
      <c r="S332" s="47"/>
      <c r="T332" s="47"/>
      <c r="U332" s="47"/>
      <c r="V332" s="47"/>
    </row>
    <row r="333" spans="1:22" x14ac:dyDescent="0.3">
      <c r="A333" s="47"/>
      <c r="B333" s="47"/>
      <c r="C333" s="47"/>
      <c r="D333" s="47"/>
      <c r="E333" s="47"/>
      <c r="F333" s="47"/>
      <c r="G333" s="47"/>
      <c r="H333" s="47"/>
      <c r="I333" s="47"/>
      <c r="J333" s="47"/>
      <c r="K333" s="47"/>
      <c r="L333" s="47"/>
      <c r="M333" s="47"/>
      <c r="N333" s="91"/>
      <c r="O333" s="47"/>
      <c r="P333" s="47"/>
      <c r="Q333" s="47"/>
      <c r="R333" s="47"/>
      <c r="S333" s="47"/>
      <c r="T333" s="47"/>
      <c r="U333" s="47"/>
      <c r="V333" s="47"/>
    </row>
    <row r="334" spans="1:22" x14ac:dyDescent="0.3">
      <c r="A334" s="47"/>
      <c r="B334" s="47"/>
      <c r="C334" s="47"/>
      <c r="D334" s="47"/>
      <c r="E334" s="47"/>
      <c r="F334" s="47"/>
      <c r="G334" s="47"/>
      <c r="H334" s="47"/>
      <c r="I334" s="47"/>
      <c r="J334" s="47"/>
      <c r="K334" s="47"/>
      <c r="L334" s="47"/>
      <c r="M334" s="47"/>
      <c r="N334" s="91"/>
      <c r="O334" s="47"/>
      <c r="P334" s="47"/>
      <c r="Q334" s="47"/>
      <c r="R334" s="47"/>
      <c r="S334" s="47"/>
      <c r="T334" s="47"/>
      <c r="U334" s="47"/>
      <c r="V334" s="47"/>
    </row>
    <row r="335" spans="1:22" x14ac:dyDescent="0.3">
      <c r="A335" s="47"/>
      <c r="B335" s="47"/>
      <c r="C335" s="47"/>
      <c r="D335" s="47"/>
      <c r="E335" s="47"/>
      <c r="F335" s="47"/>
      <c r="G335" s="47"/>
      <c r="H335" s="47"/>
      <c r="I335" s="47"/>
      <c r="J335" s="47"/>
      <c r="K335" s="47"/>
      <c r="L335" s="47"/>
      <c r="M335" s="47"/>
      <c r="N335" s="91"/>
      <c r="O335" s="47"/>
      <c r="P335" s="47"/>
      <c r="Q335" s="47"/>
      <c r="R335" s="47"/>
      <c r="S335" s="47"/>
      <c r="T335" s="47"/>
      <c r="U335" s="47"/>
      <c r="V335" s="47"/>
    </row>
    <row r="336" spans="1:22" x14ac:dyDescent="0.3">
      <c r="A336" s="47"/>
      <c r="B336" s="47"/>
      <c r="C336" s="47"/>
      <c r="D336" s="47"/>
      <c r="E336" s="47"/>
      <c r="F336" s="47"/>
      <c r="G336" s="47"/>
      <c r="H336" s="47"/>
      <c r="I336" s="47"/>
      <c r="J336" s="47"/>
      <c r="K336" s="47"/>
      <c r="L336" s="47"/>
      <c r="M336" s="47"/>
      <c r="N336" s="91"/>
      <c r="O336" s="47"/>
      <c r="P336" s="47"/>
      <c r="Q336" s="47"/>
      <c r="R336" s="47"/>
      <c r="S336" s="47"/>
      <c r="T336" s="47"/>
      <c r="U336" s="47"/>
      <c r="V336" s="47"/>
    </row>
    <row r="337" spans="1:22" x14ac:dyDescent="0.3">
      <c r="A337" s="47"/>
      <c r="B337" s="47"/>
      <c r="C337" s="47"/>
      <c r="D337" s="47"/>
      <c r="E337" s="47"/>
      <c r="F337" s="47"/>
      <c r="G337" s="47"/>
      <c r="H337" s="47"/>
      <c r="I337" s="47"/>
      <c r="J337" s="47"/>
      <c r="K337" s="47"/>
      <c r="L337" s="47"/>
      <c r="M337" s="47"/>
      <c r="N337" s="91"/>
      <c r="O337" s="47"/>
      <c r="P337" s="47"/>
      <c r="Q337" s="47"/>
      <c r="R337" s="47"/>
      <c r="S337" s="47"/>
      <c r="T337" s="47"/>
      <c r="U337" s="47"/>
      <c r="V337" s="47"/>
    </row>
    <row r="338" spans="1:22" x14ac:dyDescent="0.3">
      <c r="A338" s="47"/>
      <c r="B338" s="47"/>
      <c r="C338" s="47"/>
      <c r="D338" s="47"/>
      <c r="E338" s="47"/>
      <c r="F338" s="47"/>
      <c r="G338" s="47"/>
      <c r="H338" s="47"/>
      <c r="I338" s="47"/>
      <c r="J338" s="47"/>
      <c r="K338" s="47"/>
      <c r="L338" s="47"/>
      <c r="M338" s="47"/>
      <c r="N338" s="91"/>
      <c r="O338" s="47"/>
      <c r="P338" s="47"/>
      <c r="Q338" s="47"/>
      <c r="R338" s="47"/>
      <c r="S338" s="47"/>
      <c r="T338" s="47"/>
      <c r="U338" s="47"/>
      <c r="V338" s="47"/>
    </row>
    <row r="339" spans="1:22" x14ac:dyDescent="0.3">
      <c r="A339" s="47"/>
      <c r="B339" s="47"/>
      <c r="C339" s="47"/>
      <c r="D339" s="47"/>
      <c r="E339" s="47"/>
      <c r="F339" s="47"/>
      <c r="G339" s="47"/>
      <c r="H339" s="47"/>
      <c r="I339" s="47"/>
      <c r="J339" s="47"/>
      <c r="K339" s="47"/>
      <c r="L339" s="47"/>
      <c r="M339" s="47"/>
      <c r="N339" s="91"/>
      <c r="O339" s="47"/>
      <c r="P339" s="47"/>
      <c r="Q339" s="47"/>
      <c r="R339" s="47"/>
      <c r="S339" s="47"/>
      <c r="T339" s="47"/>
      <c r="U339" s="47"/>
      <c r="V339" s="47"/>
    </row>
    <row r="340" spans="1:22" x14ac:dyDescent="0.3">
      <c r="A340" s="47"/>
      <c r="B340" s="47"/>
      <c r="C340" s="47"/>
      <c r="D340" s="47"/>
      <c r="E340" s="47"/>
      <c r="F340" s="47"/>
      <c r="G340" s="47"/>
      <c r="H340" s="47"/>
      <c r="I340" s="47"/>
      <c r="J340" s="47"/>
      <c r="K340" s="47"/>
      <c r="L340" s="47"/>
      <c r="M340" s="47"/>
      <c r="N340" s="91"/>
      <c r="O340" s="47"/>
      <c r="P340" s="47"/>
      <c r="Q340" s="47"/>
      <c r="R340" s="47"/>
      <c r="S340" s="47"/>
      <c r="T340" s="47"/>
      <c r="U340" s="47"/>
      <c r="V340" s="47"/>
    </row>
    <row r="341" spans="1:22" x14ac:dyDescent="0.3">
      <c r="A341" s="47"/>
      <c r="B341" s="47"/>
      <c r="C341" s="47"/>
      <c r="D341" s="47"/>
      <c r="E341" s="47"/>
      <c r="F341" s="47"/>
      <c r="G341" s="47"/>
      <c r="H341" s="47"/>
      <c r="I341" s="47"/>
      <c r="J341" s="47"/>
      <c r="K341" s="47"/>
      <c r="L341" s="47"/>
      <c r="M341" s="47"/>
      <c r="N341" s="91"/>
      <c r="O341" s="47"/>
      <c r="P341" s="47"/>
      <c r="Q341" s="47"/>
      <c r="R341" s="47"/>
      <c r="S341" s="47"/>
      <c r="T341" s="47"/>
      <c r="U341" s="47"/>
      <c r="V341" s="47"/>
    </row>
    <row r="342" spans="1:22" x14ac:dyDescent="0.3">
      <c r="A342" s="47"/>
      <c r="B342" s="47"/>
      <c r="C342" s="47"/>
      <c r="D342" s="47"/>
      <c r="E342" s="47"/>
      <c r="F342" s="47"/>
      <c r="G342" s="47"/>
      <c r="H342" s="47"/>
      <c r="I342" s="47"/>
      <c r="J342" s="47"/>
      <c r="K342" s="47"/>
      <c r="L342" s="47"/>
      <c r="M342" s="47"/>
      <c r="N342" s="91"/>
      <c r="O342" s="47"/>
      <c r="P342" s="47"/>
      <c r="Q342" s="47"/>
      <c r="R342" s="47"/>
      <c r="S342" s="47"/>
      <c r="T342" s="47"/>
      <c r="U342" s="47"/>
      <c r="V342" s="47"/>
    </row>
    <row r="343" spans="1:22" x14ac:dyDescent="0.3">
      <c r="A343" s="47"/>
      <c r="B343" s="47"/>
      <c r="C343" s="47"/>
      <c r="D343" s="47"/>
      <c r="E343" s="47"/>
      <c r="F343" s="47"/>
      <c r="G343" s="47"/>
      <c r="H343" s="47"/>
      <c r="I343" s="47"/>
      <c r="J343" s="47"/>
      <c r="K343" s="47"/>
      <c r="L343" s="47"/>
      <c r="M343" s="47"/>
      <c r="N343" s="91"/>
      <c r="O343" s="47"/>
      <c r="P343" s="47"/>
      <c r="Q343" s="47"/>
      <c r="R343" s="47"/>
      <c r="S343" s="47"/>
      <c r="T343" s="47"/>
      <c r="U343" s="47"/>
      <c r="V343" s="47"/>
    </row>
    <row r="344" spans="1:22" x14ac:dyDescent="0.3">
      <c r="A344" s="47"/>
      <c r="B344" s="47"/>
      <c r="C344" s="47"/>
      <c r="D344" s="47"/>
      <c r="E344" s="47"/>
      <c r="F344" s="47"/>
      <c r="G344" s="47"/>
      <c r="H344" s="47"/>
      <c r="I344" s="47"/>
      <c r="J344" s="47"/>
      <c r="K344" s="47"/>
      <c r="L344" s="47"/>
      <c r="M344" s="47"/>
      <c r="N344" s="91"/>
      <c r="O344" s="47"/>
      <c r="P344" s="47"/>
      <c r="Q344" s="47"/>
      <c r="R344" s="47"/>
      <c r="S344" s="47"/>
      <c r="T344" s="47"/>
      <c r="U344" s="47"/>
      <c r="V344" s="47"/>
    </row>
    <row r="345" spans="1:22" x14ac:dyDescent="0.3">
      <c r="A345" s="47"/>
      <c r="B345" s="47"/>
      <c r="C345" s="47"/>
      <c r="D345" s="47"/>
      <c r="E345" s="47"/>
      <c r="F345" s="47"/>
      <c r="G345" s="47"/>
      <c r="H345" s="47"/>
      <c r="I345" s="47"/>
      <c r="J345" s="47"/>
      <c r="K345" s="47"/>
      <c r="L345" s="47"/>
      <c r="M345" s="47"/>
      <c r="N345" s="91"/>
      <c r="O345" s="47"/>
      <c r="P345" s="47"/>
      <c r="Q345" s="47"/>
      <c r="R345" s="47"/>
      <c r="S345" s="47"/>
      <c r="T345" s="47"/>
      <c r="U345" s="47"/>
      <c r="V345" s="47"/>
    </row>
    <row r="346" spans="1:22" x14ac:dyDescent="0.3">
      <c r="A346" s="47"/>
      <c r="B346" s="47"/>
      <c r="C346" s="47"/>
      <c r="D346" s="47"/>
      <c r="E346" s="47"/>
      <c r="F346" s="47"/>
      <c r="G346" s="47"/>
      <c r="H346" s="47"/>
      <c r="I346" s="47"/>
      <c r="J346" s="47"/>
      <c r="K346" s="47"/>
      <c r="L346" s="47"/>
      <c r="M346" s="47"/>
      <c r="N346" s="91"/>
      <c r="O346" s="47"/>
      <c r="P346" s="47"/>
      <c r="Q346" s="47"/>
      <c r="R346" s="47"/>
      <c r="S346" s="47"/>
      <c r="T346" s="47"/>
      <c r="U346" s="47"/>
      <c r="V346" s="47"/>
    </row>
    <row r="347" spans="1:22" x14ac:dyDescent="0.3">
      <c r="A347" s="47"/>
      <c r="B347" s="47"/>
      <c r="C347" s="47"/>
      <c r="D347" s="47"/>
      <c r="E347" s="47"/>
      <c r="F347" s="47"/>
      <c r="G347" s="47"/>
      <c r="H347" s="47"/>
      <c r="I347" s="47"/>
      <c r="J347" s="47"/>
      <c r="K347" s="47"/>
      <c r="L347" s="47"/>
      <c r="M347" s="47"/>
      <c r="N347" s="91"/>
      <c r="O347" s="47"/>
      <c r="P347" s="47"/>
      <c r="Q347" s="47"/>
      <c r="R347" s="47"/>
      <c r="S347" s="47"/>
      <c r="T347" s="47"/>
      <c r="U347" s="47"/>
      <c r="V347" s="47"/>
    </row>
    <row r="348" spans="1:22" x14ac:dyDescent="0.3">
      <c r="A348" s="47"/>
      <c r="B348" s="47"/>
      <c r="C348" s="47"/>
      <c r="D348" s="47"/>
      <c r="E348" s="47"/>
      <c r="F348" s="47"/>
      <c r="G348" s="47"/>
      <c r="H348" s="47"/>
      <c r="I348" s="47"/>
      <c r="J348" s="47"/>
      <c r="K348" s="47"/>
      <c r="L348" s="47"/>
      <c r="M348" s="47"/>
      <c r="N348" s="91"/>
      <c r="O348" s="47"/>
      <c r="P348" s="47"/>
      <c r="Q348" s="47"/>
      <c r="R348" s="47"/>
      <c r="S348" s="47"/>
      <c r="T348" s="47"/>
      <c r="U348" s="47"/>
      <c r="V348" s="47"/>
    </row>
    <row r="349" spans="1:22" x14ac:dyDescent="0.3">
      <c r="A349" s="47"/>
      <c r="B349" s="47"/>
      <c r="C349" s="47"/>
      <c r="D349" s="47"/>
      <c r="E349" s="47"/>
      <c r="F349" s="47"/>
      <c r="G349" s="47"/>
      <c r="H349" s="47"/>
      <c r="I349" s="47"/>
      <c r="J349" s="47"/>
      <c r="K349" s="47"/>
      <c r="L349" s="47"/>
      <c r="M349" s="47"/>
      <c r="N349" s="91"/>
      <c r="O349" s="47"/>
      <c r="P349" s="47"/>
      <c r="Q349" s="47"/>
      <c r="R349" s="47"/>
      <c r="S349" s="47"/>
      <c r="T349" s="47"/>
      <c r="U349" s="47"/>
      <c r="V349" s="47"/>
    </row>
    <row r="350" spans="1:22" x14ac:dyDescent="0.3">
      <c r="A350" s="47"/>
      <c r="B350" s="47"/>
      <c r="C350" s="47"/>
      <c r="D350" s="47"/>
      <c r="E350" s="47"/>
      <c r="F350" s="47"/>
      <c r="G350" s="47"/>
      <c r="H350" s="47"/>
      <c r="I350" s="47"/>
      <c r="J350" s="47"/>
      <c r="K350" s="47"/>
      <c r="L350" s="47"/>
      <c r="M350" s="47"/>
      <c r="N350" s="91"/>
      <c r="O350" s="47"/>
      <c r="P350" s="47"/>
      <c r="Q350" s="47"/>
      <c r="R350" s="47"/>
      <c r="S350" s="47"/>
      <c r="T350" s="47"/>
      <c r="U350" s="47"/>
      <c r="V350" s="47"/>
    </row>
    <row r="351" spans="1:22" x14ac:dyDescent="0.3">
      <c r="A351" s="47"/>
      <c r="B351" s="47"/>
      <c r="C351" s="47"/>
      <c r="D351" s="47"/>
      <c r="E351" s="47"/>
      <c r="F351" s="47"/>
      <c r="G351" s="47"/>
      <c r="H351" s="47"/>
      <c r="I351" s="47"/>
      <c r="J351" s="47"/>
      <c r="K351" s="47"/>
      <c r="L351" s="47"/>
      <c r="M351" s="47"/>
      <c r="N351" s="91"/>
      <c r="O351" s="47"/>
      <c r="P351" s="47"/>
      <c r="Q351" s="47"/>
      <c r="R351" s="47"/>
      <c r="S351" s="47"/>
      <c r="T351" s="47"/>
      <c r="U351" s="47"/>
      <c r="V351" s="47"/>
    </row>
    <row r="352" spans="1:22" x14ac:dyDescent="0.3">
      <c r="A352" s="47"/>
      <c r="B352" s="47"/>
      <c r="C352" s="47"/>
      <c r="D352" s="47"/>
      <c r="E352" s="47"/>
      <c r="F352" s="47"/>
      <c r="G352" s="47"/>
      <c r="H352" s="47"/>
      <c r="I352" s="47"/>
      <c r="J352" s="47"/>
      <c r="K352" s="47"/>
      <c r="L352" s="47"/>
      <c r="M352" s="47"/>
      <c r="N352" s="91"/>
      <c r="O352" s="47"/>
      <c r="P352" s="47"/>
      <c r="Q352" s="47"/>
      <c r="R352" s="47"/>
      <c r="S352" s="47"/>
      <c r="T352" s="47"/>
      <c r="U352" s="47"/>
      <c r="V352" s="47"/>
    </row>
    <row r="353" spans="1:22" x14ac:dyDescent="0.3">
      <c r="A353" s="47"/>
      <c r="B353" s="47"/>
      <c r="C353" s="47"/>
      <c r="D353" s="47"/>
      <c r="E353" s="47"/>
      <c r="F353" s="47"/>
      <c r="G353" s="47"/>
      <c r="H353" s="47"/>
      <c r="I353" s="47"/>
      <c r="J353" s="47"/>
      <c r="K353" s="47"/>
      <c r="L353" s="47"/>
      <c r="M353" s="47"/>
      <c r="N353" s="91"/>
      <c r="O353" s="47"/>
      <c r="P353" s="47"/>
      <c r="Q353" s="47"/>
      <c r="R353" s="47"/>
      <c r="S353" s="47"/>
      <c r="T353" s="47"/>
      <c r="U353" s="47"/>
      <c r="V353" s="47"/>
    </row>
    <row r="354" spans="1:22" x14ac:dyDescent="0.3">
      <c r="A354" s="47"/>
      <c r="B354" s="47"/>
      <c r="C354" s="47"/>
      <c r="D354" s="47"/>
      <c r="E354" s="47"/>
      <c r="F354" s="47"/>
      <c r="G354" s="47"/>
      <c r="H354" s="47"/>
      <c r="I354" s="47"/>
      <c r="J354" s="47"/>
      <c r="K354" s="47"/>
      <c r="L354" s="47"/>
      <c r="M354" s="47"/>
      <c r="N354" s="91"/>
      <c r="O354" s="47"/>
      <c r="P354" s="47"/>
      <c r="Q354" s="47"/>
      <c r="R354" s="47"/>
      <c r="S354" s="47"/>
      <c r="T354" s="47"/>
      <c r="U354" s="47"/>
      <c r="V354" s="47"/>
    </row>
    <row r="355" spans="1:22" x14ac:dyDescent="0.3">
      <c r="A355" s="47"/>
      <c r="B355" s="47"/>
      <c r="C355" s="47"/>
      <c r="D355" s="47"/>
      <c r="E355" s="47"/>
      <c r="F355" s="47"/>
      <c r="G355" s="47"/>
      <c r="H355" s="47"/>
      <c r="I355" s="47"/>
      <c r="J355" s="47"/>
      <c r="K355" s="47"/>
      <c r="L355" s="47"/>
      <c r="M355" s="47"/>
      <c r="N355" s="91"/>
      <c r="O355" s="47"/>
      <c r="P355" s="47"/>
      <c r="Q355" s="47"/>
      <c r="R355" s="47"/>
      <c r="S355" s="47"/>
      <c r="T355" s="47"/>
      <c r="U355" s="47"/>
      <c r="V355" s="47"/>
    </row>
    <row r="356" spans="1:22" x14ac:dyDescent="0.3">
      <c r="A356" s="47"/>
      <c r="B356" s="47"/>
      <c r="C356" s="47"/>
      <c r="D356" s="47"/>
      <c r="E356" s="47"/>
      <c r="F356" s="47"/>
      <c r="G356" s="47"/>
      <c r="H356" s="47"/>
      <c r="I356" s="47"/>
      <c r="J356" s="47"/>
      <c r="K356" s="47"/>
      <c r="L356" s="47"/>
      <c r="M356" s="47"/>
      <c r="N356" s="91"/>
      <c r="O356" s="47"/>
      <c r="P356" s="47"/>
      <c r="Q356" s="47"/>
      <c r="R356" s="47"/>
      <c r="S356" s="47"/>
      <c r="T356" s="47"/>
      <c r="U356" s="47"/>
      <c r="V356" s="47"/>
    </row>
    <row r="357" spans="1:22" x14ac:dyDescent="0.3">
      <c r="A357" s="47"/>
      <c r="B357" s="47"/>
      <c r="C357" s="47"/>
      <c r="D357" s="47"/>
      <c r="E357" s="47"/>
      <c r="F357" s="47"/>
      <c r="G357" s="47"/>
      <c r="H357" s="47"/>
      <c r="I357" s="47"/>
      <c r="J357" s="47"/>
      <c r="K357" s="47"/>
      <c r="L357" s="47"/>
      <c r="M357" s="47"/>
      <c r="N357" s="91"/>
      <c r="O357" s="47"/>
      <c r="P357" s="47"/>
      <c r="Q357" s="47"/>
      <c r="R357" s="47"/>
      <c r="S357" s="47"/>
      <c r="T357" s="47"/>
      <c r="U357" s="47"/>
      <c r="V357" s="47"/>
    </row>
    <row r="358" spans="1:22" x14ac:dyDescent="0.3">
      <c r="A358" s="47"/>
      <c r="B358" s="47"/>
      <c r="C358" s="47"/>
      <c r="D358" s="47"/>
      <c r="E358" s="47"/>
      <c r="F358" s="47"/>
      <c r="G358" s="47"/>
      <c r="H358" s="47"/>
      <c r="I358" s="47"/>
      <c r="J358" s="47"/>
      <c r="K358" s="47"/>
      <c r="L358" s="47"/>
      <c r="M358" s="47"/>
      <c r="N358" s="91"/>
      <c r="O358" s="47"/>
      <c r="P358" s="47"/>
      <c r="Q358" s="47"/>
      <c r="R358" s="47"/>
      <c r="S358" s="47"/>
      <c r="T358" s="47"/>
      <c r="U358" s="47"/>
      <c r="V358" s="47"/>
    </row>
    <row r="359" spans="1:22" x14ac:dyDescent="0.3">
      <c r="A359" s="47"/>
      <c r="B359" s="47"/>
      <c r="C359" s="47"/>
      <c r="D359" s="47"/>
      <c r="E359" s="47"/>
      <c r="F359" s="47"/>
      <c r="G359" s="47"/>
      <c r="H359" s="47"/>
      <c r="I359" s="47"/>
      <c r="J359" s="47"/>
      <c r="K359" s="47"/>
      <c r="L359" s="47"/>
      <c r="M359" s="47"/>
      <c r="N359" s="91"/>
      <c r="O359" s="47"/>
      <c r="P359" s="47"/>
      <c r="Q359" s="47"/>
      <c r="R359" s="47"/>
      <c r="S359" s="47"/>
      <c r="T359" s="47"/>
      <c r="U359" s="47"/>
      <c r="V359" s="47"/>
    </row>
    <row r="360" spans="1:22" x14ac:dyDescent="0.3">
      <c r="A360" s="47"/>
      <c r="B360" s="47"/>
      <c r="C360" s="47"/>
      <c r="D360" s="47"/>
      <c r="E360" s="47"/>
      <c r="F360" s="47"/>
      <c r="G360" s="47"/>
      <c r="H360" s="47"/>
      <c r="I360" s="47"/>
      <c r="J360" s="47"/>
      <c r="K360" s="47"/>
      <c r="L360" s="47"/>
      <c r="M360" s="47"/>
      <c r="N360" s="91"/>
      <c r="O360" s="47"/>
      <c r="P360" s="47"/>
      <c r="Q360" s="47"/>
      <c r="R360" s="47"/>
      <c r="S360" s="47"/>
      <c r="T360" s="47"/>
      <c r="U360" s="47"/>
      <c r="V360" s="47"/>
    </row>
    <row r="361" spans="1:22" x14ac:dyDescent="0.3">
      <c r="A361" s="47"/>
      <c r="B361" s="47"/>
      <c r="C361" s="47"/>
      <c r="D361" s="47"/>
      <c r="E361" s="47"/>
      <c r="F361" s="47"/>
      <c r="G361" s="47"/>
      <c r="H361" s="47"/>
      <c r="I361" s="47"/>
      <c r="J361" s="47"/>
      <c r="K361" s="47"/>
      <c r="L361" s="47"/>
      <c r="M361" s="47"/>
      <c r="N361" s="91"/>
      <c r="O361" s="47"/>
      <c r="P361" s="47"/>
      <c r="Q361" s="47"/>
      <c r="R361" s="47"/>
      <c r="S361" s="47"/>
      <c r="T361" s="47"/>
      <c r="U361" s="47"/>
      <c r="V361" s="47"/>
    </row>
    <row r="362" spans="1:22" x14ac:dyDescent="0.3">
      <c r="A362" s="47"/>
      <c r="B362" s="47"/>
      <c r="C362" s="47"/>
      <c r="D362" s="47"/>
      <c r="E362" s="47"/>
      <c r="F362" s="47"/>
      <c r="G362" s="47"/>
      <c r="H362" s="47"/>
      <c r="I362" s="47"/>
      <c r="J362" s="47"/>
      <c r="K362" s="47"/>
      <c r="L362" s="47"/>
      <c r="M362" s="47"/>
      <c r="N362" s="91"/>
      <c r="O362" s="47"/>
      <c r="P362" s="47"/>
      <c r="Q362" s="47"/>
      <c r="R362" s="47"/>
      <c r="S362" s="47"/>
      <c r="T362" s="47"/>
      <c r="U362" s="47"/>
      <c r="V362" s="47"/>
    </row>
    <row r="363" spans="1:22" x14ac:dyDescent="0.3">
      <c r="A363" s="47"/>
      <c r="B363" s="47"/>
      <c r="C363" s="47"/>
      <c r="D363" s="47"/>
      <c r="E363" s="47"/>
      <c r="F363" s="47"/>
      <c r="G363" s="47"/>
      <c r="H363" s="47"/>
      <c r="I363" s="47"/>
      <c r="J363" s="47"/>
      <c r="K363" s="47"/>
      <c r="L363" s="47"/>
      <c r="M363" s="47"/>
      <c r="N363" s="91"/>
      <c r="O363" s="47"/>
      <c r="P363" s="47"/>
      <c r="Q363" s="47"/>
      <c r="R363" s="47"/>
      <c r="S363" s="47"/>
      <c r="T363" s="47"/>
      <c r="U363" s="47"/>
      <c r="V363" s="47"/>
    </row>
    <row r="364" spans="1:22" x14ac:dyDescent="0.3">
      <c r="A364" s="47"/>
      <c r="B364" s="47"/>
      <c r="C364" s="47"/>
      <c r="D364" s="47"/>
      <c r="E364" s="47"/>
      <c r="F364" s="47"/>
      <c r="G364" s="47"/>
      <c r="H364" s="47"/>
      <c r="I364" s="47"/>
      <c r="J364" s="47"/>
      <c r="K364" s="47"/>
      <c r="L364" s="47"/>
      <c r="M364" s="47"/>
      <c r="N364" s="91"/>
      <c r="O364" s="47"/>
      <c r="P364" s="47"/>
      <c r="Q364" s="47"/>
      <c r="R364" s="47"/>
      <c r="S364" s="47"/>
      <c r="T364" s="47"/>
      <c r="U364" s="47"/>
      <c r="V364" s="47"/>
    </row>
    <row r="365" spans="1:22" x14ac:dyDescent="0.3">
      <c r="A365" s="47"/>
      <c r="B365" s="47"/>
      <c r="C365" s="47"/>
      <c r="D365" s="47"/>
      <c r="E365" s="47"/>
      <c r="F365" s="47"/>
      <c r="G365" s="47"/>
      <c r="H365" s="47"/>
      <c r="I365" s="47"/>
      <c r="J365" s="47"/>
      <c r="K365" s="47"/>
      <c r="L365" s="47"/>
      <c r="M365" s="47"/>
      <c r="N365" s="91"/>
      <c r="O365" s="47"/>
      <c r="P365" s="47"/>
      <c r="Q365" s="47"/>
      <c r="R365" s="47"/>
      <c r="S365" s="47"/>
      <c r="T365" s="47"/>
      <c r="U365" s="47"/>
      <c r="V365" s="47"/>
    </row>
    <row r="366" spans="1:22" x14ac:dyDescent="0.3">
      <c r="A366" s="47"/>
      <c r="B366" s="47"/>
      <c r="C366" s="47"/>
      <c r="D366" s="47"/>
      <c r="E366" s="47"/>
      <c r="F366" s="47"/>
      <c r="G366" s="47"/>
      <c r="H366" s="47"/>
      <c r="I366" s="47"/>
      <c r="J366" s="47"/>
      <c r="K366" s="47"/>
      <c r="L366" s="47"/>
      <c r="M366" s="47"/>
      <c r="N366" s="91"/>
      <c r="O366" s="47"/>
      <c r="P366" s="47"/>
      <c r="Q366" s="47"/>
      <c r="R366" s="47"/>
      <c r="S366" s="47"/>
      <c r="T366" s="47"/>
      <c r="U366" s="47"/>
      <c r="V366" s="47"/>
    </row>
    <row r="367" spans="1:22" x14ac:dyDescent="0.3">
      <c r="A367" s="47"/>
      <c r="B367" s="47"/>
      <c r="C367" s="47"/>
      <c r="D367" s="47"/>
      <c r="E367" s="47"/>
      <c r="F367" s="47"/>
      <c r="G367" s="47"/>
      <c r="H367" s="47"/>
      <c r="I367" s="47"/>
      <c r="J367" s="47"/>
      <c r="K367" s="47"/>
      <c r="L367" s="47"/>
      <c r="M367" s="47"/>
      <c r="N367" s="91"/>
      <c r="O367" s="47"/>
      <c r="P367" s="47"/>
      <c r="Q367" s="47"/>
      <c r="R367" s="47"/>
      <c r="S367" s="47"/>
      <c r="T367" s="47"/>
      <c r="U367" s="47"/>
      <c r="V367" s="47"/>
    </row>
    <row r="368" spans="1:22" x14ac:dyDescent="0.3">
      <c r="A368" s="47"/>
      <c r="B368" s="47"/>
      <c r="C368" s="47"/>
      <c r="D368" s="47"/>
      <c r="E368" s="47"/>
      <c r="F368" s="47"/>
      <c r="G368" s="47"/>
      <c r="H368" s="47"/>
      <c r="I368" s="47"/>
      <c r="J368" s="47"/>
      <c r="K368" s="47"/>
      <c r="L368" s="47"/>
      <c r="M368" s="47"/>
      <c r="N368" s="91"/>
      <c r="O368" s="47"/>
      <c r="P368" s="47"/>
      <c r="Q368" s="47"/>
      <c r="R368" s="47"/>
      <c r="S368" s="47"/>
      <c r="T368" s="47"/>
      <c r="U368" s="47"/>
      <c r="V368" s="47"/>
    </row>
    <row r="369" spans="1:22" x14ac:dyDescent="0.3">
      <c r="A369" s="47"/>
      <c r="B369" s="47"/>
      <c r="C369" s="47"/>
      <c r="D369" s="47"/>
      <c r="E369" s="47"/>
      <c r="F369" s="47"/>
      <c r="G369" s="47"/>
      <c r="H369" s="47"/>
      <c r="I369" s="47"/>
      <c r="J369" s="47"/>
      <c r="K369" s="47"/>
      <c r="L369" s="47"/>
      <c r="M369" s="47"/>
      <c r="N369" s="91"/>
      <c r="O369" s="47"/>
      <c r="P369" s="47"/>
      <c r="Q369" s="47"/>
      <c r="R369" s="47"/>
      <c r="S369" s="47"/>
      <c r="T369" s="47"/>
      <c r="U369" s="47"/>
      <c r="V369" s="47"/>
    </row>
    <row r="370" spans="1:22" x14ac:dyDescent="0.3">
      <c r="A370" s="47"/>
      <c r="B370" s="47"/>
      <c r="C370" s="47"/>
      <c r="D370" s="47"/>
      <c r="E370" s="47"/>
      <c r="F370" s="47"/>
      <c r="G370" s="47"/>
      <c r="H370" s="47"/>
      <c r="I370" s="47"/>
      <c r="J370" s="47"/>
      <c r="K370" s="47"/>
      <c r="L370" s="47"/>
      <c r="M370" s="47"/>
      <c r="N370" s="91"/>
      <c r="O370" s="47"/>
      <c r="P370" s="47"/>
      <c r="Q370" s="47"/>
      <c r="R370" s="47"/>
      <c r="S370" s="47"/>
      <c r="T370" s="47"/>
      <c r="U370" s="47"/>
      <c r="V370" s="47"/>
    </row>
    <row r="371" spans="1:22" x14ac:dyDescent="0.3">
      <c r="A371" s="47"/>
      <c r="B371" s="47"/>
      <c r="C371" s="47"/>
      <c r="D371" s="47"/>
      <c r="E371" s="47"/>
      <c r="F371" s="47"/>
      <c r="G371" s="47"/>
      <c r="H371" s="47"/>
      <c r="I371" s="47"/>
      <c r="J371" s="47"/>
      <c r="K371" s="47"/>
      <c r="L371" s="47"/>
      <c r="M371" s="47"/>
      <c r="N371" s="91"/>
      <c r="O371" s="47"/>
      <c r="P371" s="47"/>
      <c r="Q371" s="47"/>
      <c r="R371" s="47"/>
      <c r="S371" s="47"/>
      <c r="T371" s="47"/>
      <c r="U371" s="47"/>
      <c r="V371" s="47"/>
    </row>
    <row r="372" spans="1:22" x14ac:dyDescent="0.3">
      <c r="A372" s="47"/>
      <c r="B372" s="47"/>
      <c r="C372" s="47"/>
      <c r="D372" s="47"/>
      <c r="E372" s="47"/>
      <c r="F372" s="47"/>
      <c r="G372" s="47"/>
      <c r="H372" s="47"/>
      <c r="I372" s="47"/>
      <c r="J372" s="47"/>
      <c r="K372" s="47"/>
      <c r="L372" s="47"/>
      <c r="M372" s="47"/>
      <c r="N372" s="91"/>
      <c r="O372" s="47"/>
      <c r="P372" s="47"/>
      <c r="Q372" s="47"/>
      <c r="R372" s="47"/>
      <c r="S372" s="47"/>
      <c r="T372" s="47"/>
      <c r="U372" s="47"/>
      <c r="V372" s="47"/>
    </row>
    <row r="373" spans="1:22" x14ac:dyDescent="0.3">
      <c r="A373" s="47"/>
      <c r="B373" s="47"/>
      <c r="C373" s="47"/>
      <c r="D373" s="47"/>
      <c r="E373" s="47"/>
      <c r="F373" s="47"/>
      <c r="G373" s="47"/>
      <c r="H373" s="47"/>
      <c r="I373" s="47"/>
      <c r="J373" s="47"/>
      <c r="K373" s="47"/>
      <c r="L373" s="47"/>
      <c r="M373" s="47"/>
      <c r="N373" s="91"/>
      <c r="O373" s="47"/>
      <c r="P373" s="47"/>
      <c r="Q373" s="47"/>
      <c r="R373" s="47"/>
      <c r="S373" s="47"/>
      <c r="T373" s="47"/>
      <c r="U373" s="47"/>
      <c r="V373" s="47"/>
    </row>
    <row r="374" spans="1:22" x14ac:dyDescent="0.3">
      <c r="A374" s="47"/>
      <c r="B374" s="47"/>
      <c r="C374" s="47"/>
      <c r="D374" s="47"/>
      <c r="E374" s="47"/>
      <c r="F374" s="47"/>
      <c r="G374" s="47"/>
      <c r="H374" s="47"/>
      <c r="I374" s="47"/>
      <c r="J374" s="47"/>
      <c r="K374" s="47"/>
      <c r="L374" s="47"/>
      <c r="M374" s="47"/>
      <c r="N374" s="91"/>
      <c r="O374" s="47"/>
      <c r="P374" s="47"/>
      <c r="Q374" s="47"/>
      <c r="R374" s="47"/>
      <c r="S374" s="47"/>
      <c r="T374" s="47"/>
      <c r="U374" s="47"/>
      <c r="V374" s="47"/>
    </row>
    <row r="375" spans="1:22" x14ac:dyDescent="0.3">
      <c r="A375" s="47"/>
      <c r="B375" s="47"/>
      <c r="C375" s="47"/>
      <c r="D375" s="47"/>
      <c r="E375" s="47"/>
      <c r="F375" s="47"/>
      <c r="G375" s="47"/>
      <c r="H375" s="47"/>
      <c r="I375" s="47"/>
      <c r="J375" s="47"/>
      <c r="K375" s="47"/>
      <c r="L375" s="47"/>
      <c r="M375" s="47"/>
      <c r="N375" s="91"/>
      <c r="O375" s="47"/>
      <c r="P375" s="47"/>
      <c r="Q375" s="47"/>
      <c r="R375" s="47"/>
      <c r="S375" s="47"/>
      <c r="T375" s="47"/>
      <c r="U375" s="47"/>
      <c r="V375" s="47"/>
    </row>
    <row r="376" spans="1:22" x14ac:dyDescent="0.3">
      <c r="A376" s="47"/>
      <c r="B376" s="47"/>
      <c r="C376" s="47"/>
      <c r="D376" s="47"/>
      <c r="E376" s="47"/>
      <c r="F376" s="47"/>
      <c r="G376" s="47"/>
      <c r="H376" s="47"/>
      <c r="I376" s="47"/>
      <c r="J376" s="47"/>
      <c r="K376" s="47"/>
      <c r="L376" s="47"/>
      <c r="M376" s="47"/>
      <c r="N376" s="91"/>
      <c r="O376" s="47"/>
      <c r="P376" s="47"/>
      <c r="Q376" s="47"/>
      <c r="R376" s="47"/>
      <c r="S376" s="47"/>
      <c r="T376" s="47"/>
      <c r="U376" s="47"/>
      <c r="V376" s="47"/>
    </row>
    <row r="377" spans="1:22" x14ac:dyDescent="0.3">
      <c r="A377" s="47"/>
      <c r="B377" s="47"/>
      <c r="C377" s="47"/>
      <c r="D377" s="47"/>
      <c r="E377" s="47"/>
      <c r="F377" s="47"/>
      <c r="G377" s="47"/>
      <c r="H377" s="47"/>
      <c r="I377" s="47"/>
      <c r="J377" s="47"/>
      <c r="K377" s="47"/>
      <c r="L377" s="47"/>
      <c r="M377" s="47"/>
      <c r="N377" s="91"/>
      <c r="O377" s="47"/>
      <c r="P377" s="47"/>
      <c r="Q377" s="47"/>
      <c r="R377" s="47"/>
      <c r="S377" s="47"/>
      <c r="T377" s="47"/>
      <c r="U377" s="47"/>
      <c r="V377" s="47"/>
    </row>
    <row r="378" spans="1:22" x14ac:dyDescent="0.3">
      <c r="A378" s="47"/>
      <c r="B378" s="47"/>
      <c r="C378" s="47"/>
      <c r="D378" s="47"/>
      <c r="E378" s="47"/>
      <c r="F378" s="47"/>
      <c r="G378" s="47"/>
      <c r="H378" s="47"/>
      <c r="I378" s="47"/>
      <c r="J378" s="47"/>
      <c r="K378" s="47"/>
      <c r="L378" s="47"/>
      <c r="M378" s="47"/>
      <c r="N378" s="91"/>
      <c r="O378" s="47"/>
      <c r="P378" s="47"/>
      <c r="Q378" s="47"/>
      <c r="R378" s="47"/>
      <c r="S378" s="47"/>
      <c r="T378" s="47"/>
      <c r="U378" s="47"/>
      <c r="V378" s="47"/>
    </row>
    <row r="379" spans="1:22" x14ac:dyDescent="0.3">
      <c r="A379" s="47"/>
      <c r="B379" s="47"/>
      <c r="C379" s="47"/>
      <c r="D379" s="47"/>
      <c r="E379" s="47"/>
      <c r="F379" s="47"/>
      <c r="G379" s="47"/>
      <c r="H379" s="47"/>
      <c r="I379" s="47"/>
      <c r="J379" s="47"/>
      <c r="K379" s="47"/>
      <c r="L379" s="47"/>
      <c r="M379" s="47"/>
      <c r="N379" s="91"/>
      <c r="O379" s="47"/>
      <c r="P379" s="47"/>
      <c r="Q379" s="47"/>
      <c r="R379" s="47"/>
      <c r="S379" s="47"/>
      <c r="T379" s="47"/>
      <c r="U379" s="47"/>
      <c r="V379" s="47"/>
    </row>
    <row r="380" spans="1:22" x14ac:dyDescent="0.3">
      <c r="A380" s="47"/>
      <c r="B380" s="47"/>
      <c r="C380" s="47"/>
      <c r="D380" s="47"/>
      <c r="E380" s="47"/>
      <c r="F380" s="47"/>
      <c r="G380" s="47"/>
      <c r="H380" s="47"/>
      <c r="I380" s="47"/>
      <c r="J380" s="47"/>
      <c r="K380" s="47"/>
      <c r="L380" s="47"/>
      <c r="M380" s="47"/>
      <c r="N380" s="91"/>
      <c r="O380" s="47"/>
      <c r="P380" s="47"/>
      <c r="Q380" s="47"/>
      <c r="R380" s="47"/>
      <c r="S380" s="47"/>
      <c r="T380" s="47"/>
      <c r="U380" s="47"/>
      <c r="V380" s="47"/>
    </row>
    <row r="381" spans="1:22" x14ac:dyDescent="0.3">
      <c r="A381" s="47"/>
      <c r="B381" s="47"/>
      <c r="C381" s="47"/>
      <c r="D381" s="47"/>
      <c r="E381" s="47"/>
      <c r="F381" s="47"/>
      <c r="G381" s="47"/>
      <c r="H381" s="47"/>
      <c r="I381" s="47"/>
      <c r="J381" s="47"/>
      <c r="K381" s="47"/>
      <c r="L381" s="47"/>
      <c r="M381" s="47"/>
      <c r="N381" s="91"/>
      <c r="O381" s="47"/>
      <c r="P381" s="47"/>
      <c r="Q381" s="47"/>
      <c r="R381" s="47"/>
      <c r="S381" s="47"/>
      <c r="T381" s="47"/>
      <c r="U381" s="47"/>
      <c r="V381" s="47"/>
    </row>
    <row r="382" spans="1:22" x14ac:dyDescent="0.3">
      <c r="A382" s="47"/>
      <c r="B382" s="47"/>
      <c r="C382" s="47"/>
      <c r="D382" s="47"/>
      <c r="E382" s="47"/>
      <c r="F382" s="47"/>
      <c r="G382" s="47"/>
      <c r="H382" s="47"/>
      <c r="I382" s="47"/>
      <c r="J382" s="47"/>
      <c r="K382" s="47"/>
      <c r="L382" s="47"/>
      <c r="M382" s="47"/>
      <c r="N382" s="91"/>
      <c r="O382" s="47"/>
      <c r="P382" s="47"/>
      <c r="Q382" s="47"/>
      <c r="R382" s="47"/>
      <c r="S382" s="47"/>
      <c r="T382" s="47"/>
      <c r="U382" s="47"/>
      <c r="V382" s="47"/>
    </row>
    <row r="383" spans="1:22" x14ac:dyDescent="0.3">
      <c r="A383" s="47"/>
      <c r="B383" s="47"/>
      <c r="C383" s="47"/>
      <c r="D383" s="47"/>
      <c r="E383" s="47"/>
      <c r="F383" s="47"/>
      <c r="G383" s="47"/>
      <c r="H383" s="47"/>
      <c r="I383" s="47"/>
      <c r="J383" s="47"/>
      <c r="K383" s="47"/>
      <c r="L383" s="47"/>
      <c r="M383" s="47"/>
      <c r="N383" s="91"/>
      <c r="O383" s="47"/>
      <c r="P383" s="47"/>
      <c r="Q383" s="47"/>
      <c r="R383" s="47"/>
      <c r="S383" s="47"/>
      <c r="T383" s="47"/>
      <c r="U383" s="47"/>
      <c r="V383" s="47"/>
    </row>
    <row r="384" spans="1:22" x14ac:dyDescent="0.3">
      <c r="A384" s="47"/>
      <c r="B384" s="47"/>
      <c r="C384" s="47"/>
      <c r="D384" s="47"/>
      <c r="E384" s="47"/>
      <c r="F384" s="47"/>
      <c r="G384" s="47"/>
      <c r="H384" s="47"/>
      <c r="I384" s="47"/>
      <c r="J384" s="47"/>
      <c r="K384" s="47"/>
      <c r="L384" s="47"/>
      <c r="M384" s="47"/>
      <c r="N384" s="91"/>
      <c r="O384" s="47"/>
      <c r="P384" s="47"/>
      <c r="Q384" s="47"/>
      <c r="R384" s="47"/>
      <c r="S384" s="47"/>
      <c r="T384" s="47"/>
      <c r="U384" s="47"/>
      <c r="V384" s="47"/>
    </row>
    <row r="385" spans="1:22" x14ac:dyDescent="0.3">
      <c r="A385" s="47"/>
      <c r="B385" s="47"/>
      <c r="C385" s="47"/>
      <c r="D385" s="47"/>
      <c r="E385" s="47"/>
      <c r="F385" s="47"/>
      <c r="G385" s="47"/>
      <c r="H385" s="47"/>
      <c r="I385" s="47"/>
      <c r="J385" s="47"/>
      <c r="K385" s="47"/>
      <c r="L385" s="47"/>
      <c r="M385" s="47"/>
      <c r="N385" s="91"/>
      <c r="O385" s="47"/>
      <c r="P385" s="47"/>
      <c r="Q385" s="47"/>
      <c r="R385" s="47"/>
      <c r="S385" s="47"/>
      <c r="T385" s="47"/>
      <c r="U385" s="47"/>
      <c r="V385" s="47"/>
    </row>
    <row r="386" spans="1:22" x14ac:dyDescent="0.3">
      <c r="A386" s="47"/>
      <c r="B386" s="47"/>
      <c r="C386" s="47"/>
      <c r="D386" s="47"/>
      <c r="E386" s="47"/>
      <c r="F386" s="47"/>
      <c r="G386" s="47"/>
      <c r="H386" s="47"/>
      <c r="I386" s="47"/>
      <c r="J386" s="47"/>
      <c r="K386" s="47"/>
      <c r="L386" s="47"/>
      <c r="M386" s="47"/>
      <c r="N386" s="91"/>
      <c r="O386" s="47"/>
      <c r="P386" s="47"/>
      <c r="Q386" s="47"/>
      <c r="R386" s="47"/>
      <c r="S386" s="47"/>
      <c r="T386" s="47"/>
      <c r="U386" s="47"/>
      <c r="V386" s="47"/>
    </row>
    <row r="387" spans="1:22" x14ac:dyDescent="0.3">
      <c r="A387" s="47"/>
      <c r="B387" s="47"/>
      <c r="C387" s="47"/>
      <c r="D387" s="47"/>
      <c r="E387" s="47"/>
      <c r="F387" s="47"/>
      <c r="G387" s="47"/>
      <c r="H387" s="47"/>
      <c r="I387" s="47"/>
      <c r="J387" s="47"/>
      <c r="K387" s="47"/>
      <c r="L387" s="47"/>
      <c r="M387" s="47"/>
      <c r="N387" s="91"/>
      <c r="O387" s="47"/>
      <c r="P387" s="47"/>
      <c r="Q387" s="47"/>
      <c r="R387" s="47"/>
      <c r="S387" s="47"/>
      <c r="T387" s="47"/>
      <c r="U387" s="47"/>
      <c r="V387" s="47"/>
    </row>
    <row r="388" spans="1:22" x14ac:dyDescent="0.3">
      <c r="A388" s="47"/>
      <c r="B388" s="47"/>
      <c r="C388" s="47"/>
      <c r="D388" s="47"/>
      <c r="E388" s="47"/>
      <c r="F388" s="47"/>
      <c r="G388" s="47"/>
      <c r="H388" s="47"/>
      <c r="I388" s="47"/>
      <c r="J388" s="47"/>
      <c r="K388" s="47"/>
      <c r="L388" s="47"/>
      <c r="M388" s="47"/>
      <c r="N388" s="91"/>
      <c r="O388" s="47"/>
      <c r="P388" s="47"/>
      <c r="Q388" s="47"/>
      <c r="R388" s="47"/>
      <c r="S388" s="47"/>
      <c r="T388" s="47"/>
      <c r="U388" s="47"/>
      <c r="V388" s="47"/>
    </row>
    <row r="389" spans="1:22" x14ac:dyDescent="0.3">
      <c r="A389" s="47"/>
      <c r="B389" s="47"/>
      <c r="C389" s="47"/>
      <c r="D389" s="47"/>
      <c r="E389" s="47"/>
      <c r="F389" s="47"/>
      <c r="G389" s="47"/>
      <c r="H389" s="47"/>
      <c r="I389" s="47"/>
      <c r="J389" s="47"/>
      <c r="K389" s="47"/>
      <c r="L389" s="47"/>
      <c r="M389" s="47"/>
      <c r="N389" s="91"/>
      <c r="O389" s="47"/>
      <c r="P389" s="47"/>
      <c r="Q389" s="47"/>
      <c r="R389" s="47"/>
      <c r="S389" s="47"/>
      <c r="T389" s="47"/>
      <c r="U389" s="47"/>
      <c r="V389" s="47"/>
    </row>
    <row r="390" spans="1:22" x14ac:dyDescent="0.3">
      <c r="A390" s="47"/>
      <c r="B390" s="47"/>
      <c r="C390" s="47"/>
      <c r="D390" s="47"/>
      <c r="E390" s="47"/>
      <c r="F390" s="47"/>
      <c r="G390" s="47"/>
      <c r="H390" s="47"/>
      <c r="I390" s="47"/>
      <c r="J390" s="47"/>
      <c r="K390" s="47"/>
      <c r="L390" s="47"/>
      <c r="M390" s="47"/>
      <c r="N390" s="91"/>
      <c r="O390" s="47"/>
      <c r="P390" s="47"/>
      <c r="Q390" s="47"/>
      <c r="R390" s="47"/>
      <c r="S390" s="47"/>
      <c r="T390" s="47"/>
      <c r="U390" s="47"/>
      <c r="V390" s="47"/>
    </row>
    <row r="391" spans="1:22" x14ac:dyDescent="0.3">
      <c r="A391" s="47"/>
      <c r="B391" s="47"/>
      <c r="C391" s="47"/>
      <c r="D391" s="47"/>
      <c r="E391" s="47"/>
      <c r="F391" s="47"/>
      <c r="G391" s="47"/>
      <c r="H391" s="47"/>
      <c r="I391" s="47"/>
      <c r="J391" s="47"/>
      <c r="K391" s="47"/>
      <c r="L391" s="47"/>
      <c r="M391" s="47"/>
      <c r="N391" s="91"/>
      <c r="O391" s="47"/>
      <c r="P391" s="47"/>
      <c r="Q391" s="47"/>
      <c r="R391" s="47"/>
      <c r="S391" s="47"/>
      <c r="T391" s="47"/>
      <c r="U391" s="47"/>
      <c r="V391" s="47"/>
    </row>
    <row r="392" spans="1:22" x14ac:dyDescent="0.3">
      <c r="A392" s="47"/>
      <c r="B392" s="47"/>
      <c r="C392" s="47"/>
      <c r="D392" s="47"/>
      <c r="E392" s="47"/>
      <c r="F392" s="47"/>
      <c r="G392" s="47"/>
      <c r="H392" s="47"/>
      <c r="I392" s="47"/>
      <c r="J392" s="47"/>
      <c r="K392" s="47"/>
      <c r="L392" s="47"/>
      <c r="M392" s="47"/>
      <c r="N392" s="91"/>
      <c r="O392" s="47"/>
      <c r="P392" s="47"/>
      <c r="Q392" s="47"/>
      <c r="R392" s="47"/>
      <c r="S392" s="47"/>
      <c r="T392" s="47"/>
      <c r="U392" s="47"/>
      <c r="V392" s="47"/>
    </row>
    <row r="393" spans="1:22" x14ac:dyDescent="0.3">
      <c r="A393" s="47"/>
      <c r="B393" s="47"/>
      <c r="C393" s="47"/>
      <c r="D393" s="47"/>
      <c r="E393" s="47"/>
      <c r="F393" s="47"/>
      <c r="G393" s="47"/>
      <c r="H393" s="47"/>
      <c r="I393" s="47"/>
      <c r="J393" s="47"/>
      <c r="K393" s="47"/>
      <c r="L393" s="47"/>
      <c r="M393" s="47"/>
      <c r="N393" s="91"/>
      <c r="O393" s="47"/>
      <c r="P393" s="47"/>
      <c r="Q393" s="47"/>
      <c r="R393" s="47"/>
      <c r="S393" s="47"/>
      <c r="T393" s="47"/>
      <c r="U393" s="47"/>
      <c r="V393" s="47"/>
    </row>
    <row r="394" spans="1:22" x14ac:dyDescent="0.3">
      <c r="A394" s="47"/>
      <c r="B394" s="47"/>
      <c r="C394" s="47"/>
      <c r="D394" s="47"/>
      <c r="E394" s="47"/>
      <c r="F394" s="47"/>
      <c r="G394" s="47"/>
      <c r="H394" s="47"/>
      <c r="I394" s="47"/>
      <c r="J394" s="47"/>
      <c r="K394" s="47"/>
      <c r="L394" s="47"/>
      <c r="M394" s="47"/>
      <c r="N394" s="91"/>
      <c r="O394" s="47"/>
      <c r="P394" s="47"/>
      <c r="Q394" s="47"/>
      <c r="R394" s="47"/>
      <c r="S394" s="47"/>
      <c r="T394" s="47"/>
      <c r="U394" s="47"/>
      <c r="V394" s="47"/>
    </row>
    <row r="395" spans="1:22" x14ac:dyDescent="0.3">
      <c r="A395" s="47"/>
      <c r="B395" s="47"/>
      <c r="C395" s="47"/>
      <c r="D395" s="47"/>
      <c r="E395" s="47"/>
      <c r="F395" s="47"/>
      <c r="G395" s="47"/>
      <c r="H395" s="47"/>
      <c r="I395" s="47"/>
      <c r="J395" s="47"/>
      <c r="K395" s="47"/>
      <c r="L395" s="47"/>
      <c r="M395" s="47"/>
      <c r="N395" s="91"/>
      <c r="O395" s="47"/>
      <c r="P395" s="47"/>
      <c r="Q395" s="47"/>
      <c r="R395" s="47"/>
      <c r="S395" s="47"/>
      <c r="T395" s="47"/>
      <c r="U395" s="47"/>
      <c r="V395" s="47"/>
    </row>
    <row r="396" spans="1:22" x14ac:dyDescent="0.3">
      <c r="A396" s="47"/>
      <c r="B396" s="47"/>
      <c r="C396" s="47"/>
      <c r="D396" s="47"/>
      <c r="E396" s="47"/>
      <c r="F396" s="47"/>
      <c r="G396" s="47"/>
      <c r="H396" s="47"/>
      <c r="I396" s="47"/>
      <c r="J396" s="47"/>
      <c r="K396" s="47"/>
      <c r="L396" s="47"/>
      <c r="M396" s="47"/>
      <c r="N396" s="91"/>
      <c r="O396" s="47"/>
      <c r="P396" s="47"/>
      <c r="Q396" s="47"/>
      <c r="R396" s="47"/>
      <c r="S396" s="47"/>
      <c r="T396" s="47"/>
      <c r="U396" s="47"/>
      <c r="V396" s="47"/>
    </row>
    <row r="397" spans="1:22" x14ac:dyDescent="0.3">
      <c r="A397" s="47"/>
      <c r="B397" s="47"/>
      <c r="C397" s="47"/>
      <c r="D397" s="47"/>
      <c r="E397" s="47"/>
      <c r="F397" s="47"/>
      <c r="G397" s="47"/>
      <c r="H397" s="47"/>
      <c r="I397" s="47"/>
      <c r="J397" s="47"/>
      <c r="K397" s="47"/>
      <c r="L397" s="47"/>
      <c r="M397" s="47"/>
      <c r="N397" s="91"/>
      <c r="O397" s="47"/>
      <c r="P397" s="47"/>
      <c r="Q397" s="47"/>
      <c r="R397" s="47"/>
      <c r="S397" s="47"/>
      <c r="T397" s="47"/>
      <c r="U397" s="47"/>
      <c r="V397" s="47"/>
    </row>
    <row r="398" spans="1:22" x14ac:dyDescent="0.3">
      <c r="A398" s="47"/>
      <c r="B398" s="47"/>
      <c r="C398" s="47"/>
      <c r="D398" s="47"/>
      <c r="E398" s="47"/>
      <c r="F398" s="47"/>
      <c r="G398" s="47"/>
      <c r="H398" s="47"/>
      <c r="I398" s="47"/>
      <c r="J398" s="47"/>
      <c r="K398" s="47"/>
      <c r="L398" s="47"/>
      <c r="M398" s="47"/>
      <c r="N398" s="91"/>
      <c r="O398" s="47"/>
      <c r="P398" s="47"/>
      <c r="Q398" s="47"/>
      <c r="R398" s="47"/>
      <c r="S398" s="47"/>
      <c r="T398" s="47"/>
      <c r="U398" s="47"/>
      <c r="V398" s="47"/>
    </row>
    <row r="399" spans="1:22" x14ac:dyDescent="0.3">
      <c r="A399" s="47"/>
      <c r="B399" s="47"/>
      <c r="C399" s="47"/>
      <c r="D399" s="47"/>
      <c r="E399" s="47"/>
      <c r="F399" s="47"/>
      <c r="G399" s="47"/>
      <c r="H399" s="47"/>
      <c r="I399" s="47"/>
      <c r="J399" s="47"/>
      <c r="K399" s="47"/>
      <c r="L399" s="47"/>
      <c r="M399" s="47"/>
      <c r="N399" s="91"/>
      <c r="O399" s="47"/>
      <c r="P399" s="47"/>
      <c r="Q399" s="47"/>
      <c r="R399" s="47"/>
      <c r="S399" s="47"/>
      <c r="T399" s="47"/>
      <c r="U399" s="47"/>
      <c r="V399" s="47"/>
    </row>
    <row r="400" spans="1:22" x14ac:dyDescent="0.3">
      <c r="A400" s="47"/>
      <c r="B400" s="47"/>
      <c r="C400" s="47"/>
      <c r="D400" s="47"/>
      <c r="E400" s="47"/>
      <c r="F400" s="47"/>
      <c r="G400" s="47"/>
      <c r="H400" s="47"/>
      <c r="I400" s="47"/>
      <c r="J400" s="47"/>
      <c r="K400" s="47"/>
      <c r="L400" s="47"/>
      <c r="M400" s="47"/>
      <c r="N400" s="91"/>
      <c r="O400" s="47"/>
      <c r="P400" s="47"/>
      <c r="Q400" s="47"/>
      <c r="R400" s="47"/>
      <c r="S400" s="47"/>
      <c r="T400" s="47"/>
      <c r="U400" s="47"/>
      <c r="V400" s="47"/>
    </row>
    <row r="401" spans="1:22" x14ac:dyDescent="0.3">
      <c r="A401" s="47"/>
      <c r="B401" s="47"/>
      <c r="C401" s="47"/>
      <c r="D401" s="47"/>
      <c r="E401" s="47"/>
      <c r="F401" s="47"/>
      <c r="G401" s="47"/>
      <c r="H401" s="47"/>
      <c r="I401" s="47"/>
      <c r="J401" s="47"/>
      <c r="K401" s="47"/>
      <c r="L401" s="47"/>
      <c r="M401" s="47"/>
      <c r="N401" s="91"/>
      <c r="O401" s="47"/>
      <c r="P401" s="47"/>
      <c r="Q401" s="47"/>
      <c r="R401" s="47"/>
      <c r="S401" s="47"/>
      <c r="T401" s="47"/>
      <c r="U401" s="47"/>
      <c r="V401" s="47"/>
    </row>
    <row r="402" spans="1:22" x14ac:dyDescent="0.3">
      <c r="A402" s="47"/>
      <c r="B402" s="47"/>
      <c r="C402" s="47"/>
      <c r="D402" s="47"/>
      <c r="E402" s="47"/>
      <c r="F402" s="47"/>
      <c r="G402" s="47"/>
      <c r="H402" s="47"/>
      <c r="I402" s="47"/>
      <c r="J402" s="47"/>
      <c r="K402" s="47"/>
      <c r="L402" s="47"/>
      <c r="M402" s="47"/>
      <c r="N402" s="91"/>
      <c r="O402" s="47"/>
      <c r="P402" s="47"/>
      <c r="Q402" s="47"/>
      <c r="R402" s="47"/>
      <c r="S402" s="47"/>
      <c r="T402" s="47"/>
      <c r="U402" s="47"/>
      <c r="V402" s="47"/>
    </row>
    <row r="403" spans="1:22" x14ac:dyDescent="0.3">
      <c r="A403" s="47"/>
      <c r="B403" s="47"/>
      <c r="C403" s="47"/>
      <c r="D403" s="47"/>
      <c r="E403" s="47"/>
      <c r="F403" s="47"/>
      <c r="G403" s="47"/>
      <c r="H403" s="47"/>
      <c r="I403" s="47"/>
      <c r="J403" s="47"/>
      <c r="K403" s="47"/>
      <c r="L403" s="47"/>
      <c r="M403" s="47"/>
      <c r="N403" s="91"/>
      <c r="O403" s="47"/>
      <c r="P403" s="47"/>
      <c r="Q403" s="47"/>
      <c r="R403" s="47"/>
      <c r="S403" s="47"/>
      <c r="T403" s="47"/>
      <c r="U403" s="47"/>
      <c r="V403" s="47"/>
    </row>
    <row r="404" spans="1:22" x14ac:dyDescent="0.3">
      <c r="A404" s="47"/>
      <c r="B404" s="47"/>
      <c r="C404" s="47"/>
      <c r="D404" s="47"/>
      <c r="E404" s="47"/>
      <c r="F404" s="47"/>
      <c r="G404" s="47"/>
      <c r="H404" s="47"/>
      <c r="I404" s="47"/>
      <c r="J404" s="47"/>
      <c r="K404" s="47"/>
      <c r="L404" s="47"/>
      <c r="M404" s="47"/>
      <c r="N404" s="91"/>
      <c r="O404" s="47"/>
      <c r="P404" s="47"/>
      <c r="Q404" s="47"/>
      <c r="R404" s="47"/>
      <c r="S404" s="47"/>
      <c r="T404" s="47"/>
      <c r="U404" s="47"/>
      <c r="V404" s="47"/>
    </row>
    <row r="405" spans="1:22" x14ac:dyDescent="0.3">
      <c r="A405" s="47"/>
      <c r="B405" s="47"/>
      <c r="C405" s="47"/>
      <c r="D405" s="47"/>
      <c r="E405" s="47"/>
      <c r="F405" s="47"/>
      <c r="G405" s="47"/>
      <c r="H405" s="47"/>
      <c r="I405" s="47"/>
      <c r="J405" s="47"/>
      <c r="K405" s="47"/>
      <c r="L405" s="47"/>
      <c r="M405" s="47"/>
      <c r="N405" s="91"/>
      <c r="O405" s="47"/>
      <c r="P405" s="47"/>
      <c r="Q405" s="47"/>
      <c r="R405" s="47"/>
      <c r="S405" s="47"/>
      <c r="T405" s="47"/>
      <c r="U405" s="47"/>
      <c r="V405" s="47"/>
    </row>
    <row r="406" spans="1:22" x14ac:dyDescent="0.3">
      <c r="A406" s="47"/>
      <c r="B406" s="47"/>
      <c r="C406" s="47"/>
      <c r="D406" s="47"/>
      <c r="E406" s="47"/>
      <c r="F406" s="47"/>
      <c r="G406" s="47"/>
      <c r="H406" s="47"/>
      <c r="I406" s="47"/>
      <c r="J406" s="47"/>
      <c r="K406" s="47"/>
      <c r="L406" s="47"/>
      <c r="M406" s="47"/>
      <c r="N406" s="91"/>
      <c r="O406" s="47"/>
      <c r="P406" s="47"/>
      <c r="Q406" s="47"/>
      <c r="R406" s="47"/>
      <c r="S406" s="47"/>
      <c r="T406" s="47"/>
      <c r="U406" s="47"/>
      <c r="V406" s="47"/>
    </row>
    <row r="407" spans="1:22" x14ac:dyDescent="0.3">
      <c r="A407" s="47"/>
      <c r="B407" s="47"/>
      <c r="C407" s="47"/>
      <c r="D407" s="47"/>
      <c r="E407" s="47"/>
      <c r="F407" s="47"/>
      <c r="G407" s="47"/>
      <c r="H407" s="47"/>
      <c r="I407" s="47"/>
      <c r="J407" s="47"/>
      <c r="K407" s="47"/>
      <c r="L407" s="47"/>
      <c r="M407" s="47"/>
      <c r="N407" s="91"/>
      <c r="O407" s="47"/>
      <c r="P407" s="47"/>
      <c r="Q407" s="47"/>
      <c r="R407" s="47"/>
      <c r="S407" s="47"/>
      <c r="T407" s="47"/>
      <c r="U407" s="47"/>
      <c r="V407" s="47"/>
    </row>
    <row r="408" spans="1:22" x14ac:dyDescent="0.3">
      <c r="A408" s="47"/>
      <c r="B408" s="47"/>
      <c r="C408" s="47"/>
      <c r="D408" s="47"/>
      <c r="E408" s="47"/>
      <c r="F408" s="47"/>
      <c r="G408" s="47"/>
      <c r="H408" s="47"/>
      <c r="I408" s="47"/>
      <c r="J408" s="47"/>
      <c r="K408" s="47"/>
      <c r="L408" s="47"/>
      <c r="M408" s="47"/>
      <c r="N408" s="91"/>
      <c r="O408" s="47"/>
      <c r="P408" s="47"/>
      <c r="Q408" s="47"/>
      <c r="R408" s="47"/>
      <c r="S408" s="47"/>
      <c r="T408" s="47"/>
      <c r="U408" s="47"/>
      <c r="V408" s="47"/>
    </row>
    <row r="409" spans="1:22" x14ac:dyDescent="0.3">
      <c r="A409" s="47"/>
      <c r="B409" s="47"/>
      <c r="C409" s="47"/>
      <c r="D409" s="47"/>
      <c r="E409" s="47"/>
      <c r="F409" s="47"/>
      <c r="G409" s="47"/>
      <c r="H409" s="47"/>
      <c r="I409" s="47"/>
      <c r="J409" s="47"/>
      <c r="K409" s="47"/>
      <c r="L409" s="47"/>
      <c r="M409" s="47"/>
      <c r="N409" s="91"/>
      <c r="O409" s="47"/>
      <c r="P409" s="47"/>
      <c r="Q409" s="47"/>
      <c r="R409" s="47"/>
      <c r="S409" s="47"/>
      <c r="T409" s="47"/>
      <c r="U409" s="47"/>
      <c r="V409" s="47"/>
    </row>
    <row r="410" spans="1:22" x14ac:dyDescent="0.3">
      <c r="A410" s="47"/>
      <c r="B410" s="47"/>
      <c r="C410" s="47"/>
      <c r="D410" s="47"/>
      <c r="E410" s="47"/>
      <c r="F410" s="47"/>
      <c r="G410" s="47"/>
      <c r="H410" s="47"/>
      <c r="I410" s="47"/>
      <c r="J410" s="47"/>
      <c r="K410" s="47"/>
      <c r="L410" s="47"/>
      <c r="M410" s="47"/>
      <c r="N410" s="91"/>
      <c r="O410" s="47"/>
      <c r="P410" s="47"/>
      <c r="Q410" s="47"/>
      <c r="R410" s="47"/>
      <c r="S410" s="47"/>
      <c r="T410" s="47"/>
      <c r="U410" s="47"/>
      <c r="V410" s="47"/>
    </row>
    <row r="411" spans="1:22" x14ac:dyDescent="0.3">
      <c r="A411" s="47"/>
      <c r="B411" s="47"/>
      <c r="C411" s="47"/>
      <c r="D411" s="47"/>
      <c r="E411" s="47"/>
      <c r="F411" s="47"/>
      <c r="G411" s="47"/>
      <c r="H411" s="47"/>
      <c r="I411" s="47"/>
      <c r="J411" s="47"/>
      <c r="K411" s="47"/>
      <c r="L411" s="47"/>
      <c r="M411" s="47"/>
      <c r="N411" s="91"/>
      <c r="O411" s="47"/>
      <c r="P411" s="47"/>
      <c r="Q411" s="47"/>
      <c r="R411" s="47"/>
      <c r="S411" s="47"/>
      <c r="T411" s="47"/>
      <c r="U411" s="47"/>
      <c r="V411" s="47"/>
    </row>
    <row r="412" spans="1:22" x14ac:dyDescent="0.3">
      <c r="A412" s="47"/>
      <c r="B412" s="47"/>
      <c r="C412" s="47"/>
      <c r="D412" s="47"/>
      <c r="E412" s="47"/>
      <c r="F412" s="47"/>
      <c r="G412" s="47"/>
      <c r="H412" s="47"/>
      <c r="I412" s="47"/>
      <c r="J412" s="47"/>
      <c r="K412" s="47"/>
      <c r="L412" s="47"/>
      <c r="M412" s="47"/>
      <c r="N412" s="91"/>
      <c r="O412" s="47"/>
      <c r="P412" s="47"/>
      <c r="Q412" s="47"/>
      <c r="R412" s="47"/>
      <c r="S412" s="47"/>
      <c r="T412" s="47"/>
      <c r="U412" s="47"/>
      <c r="V412" s="47"/>
    </row>
    <row r="413" spans="1:22" x14ac:dyDescent="0.3">
      <c r="A413" s="47"/>
      <c r="B413" s="47"/>
      <c r="C413" s="47"/>
      <c r="D413" s="47"/>
      <c r="E413" s="47"/>
      <c r="F413" s="47"/>
      <c r="G413" s="47"/>
      <c r="H413" s="47"/>
      <c r="I413" s="47"/>
      <c r="J413" s="47"/>
      <c r="K413" s="47"/>
      <c r="L413" s="47"/>
      <c r="M413" s="47"/>
      <c r="N413" s="91"/>
      <c r="O413" s="47"/>
      <c r="P413" s="47"/>
      <c r="Q413" s="47"/>
      <c r="R413" s="47"/>
      <c r="S413" s="47"/>
      <c r="T413" s="47"/>
      <c r="U413" s="47"/>
      <c r="V413" s="47"/>
    </row>
    <row r="414" spans="1:22" x14ac:dyDescent="0.3">
      <c r="A414" s="47"/>
      <c r="B414" s="47"/>
      <c r="C414" s="47"/>
      <c r="D414" s="47"/>
      <c r="E414" s="47"/>
      <c r="F414" s="47"/>
      <c r="G414" s="47"/>
      <c r="H414" s="47"/>
      <c r="I414" s="47"/>
      <c r="J414" s="47"/>
      <c r="K414" s="47"/>
      <c r="L414" s="47"/>
      <c r="M414" s="47"/>
      <c r="N414" s="91"/>
      <c r="O414" s="47"/>
      <c r="P414" s="47"/>
      <c r="Q414" s="47"/>
      <c r="R414" s="47"/>
      <c r="S414" s="47"/>
      <c r="T414" s="47"/>
      <c r="U414" s="47"/>
      <c r="V414" s="47"/>
    </row>
    <row r="415" spans="1:22" x14ac:dyDescent="0.3">
      <c r="A415" s="47"/>
      <c r="B415" s="47"/>
      <c r="C415" s="47"/>
      <c r="D415" s="47"/>
      <c r="E415" s="47"/>
      <c r="F415" s="47"/>
      <c r="G415" s="47"/>
      <c r="H415" s="47"/>
      <c r="I415" s="47"/>
      <c r="J415" s="47"/>
      <c r="K415" s="47"/>
      <c r="L415" s="47"/>
      <c r="M415" s="47"/>
      <c r="N415" s="91"/>
      <c r="O415" s="47"/>
      <c r="P415" s="47"/>
      <c r="Q415" s="47"/>
      <c r="R415" s="47"/>
      <c r="S415" s="47"/>
      <c r="T415" s="47"/>
      <c r="U415" s="47"/>
      <c r="V415" s="47"/>
    </row>
    <row r="416" spans="1:22" x14ac:dyDescent="0.3">
      <c r="A416" s="47"/>
      <c r="B416" s="47"/>
      <c r="C416" s="47"/>
      <c r="D416" s="47"/>
      <c r="E416" s="47"/>
      <c r="F416" s="47"/>
      <c r="G416" s="47"/>
      <c r="H416" s="47"/>
      <c r="I416" s="47"/>
      <c r="J416" s="47"/>
      <c r="K416" s="47"/>
      <c r="L416" s="47"/>
      <c r="M416" s="47"/>
      <c r="N416" s="91"/>
      <c r="O416" s="47"/>
      <c r="P416" s="47"/>
      <c r="Q416" s="47"/>
      <c r="R416" s="47"/>
      <c r="S416" s="47"/>
      <c r="T416" s="47"/>
      <c r="U416" s="47"/>
      <c r="V416" s="47"/>
    </row>
    <row r="417" spans="1:22" x14ac:dyDescent="0.3">
      <c r="A417" s="47"/>
      <c r="B417" s="47"/>
      <c r="C417" s="47"/>
      <c r="D417" s="47"/>
      <c r="E417" s="47"/>
      <c r="F417" s="47"/>
      <c r="G417" s="47"/>
      <c r="H417" s="47"/>
      <c r="I417" s="47"/>
      <c r="J417" s="47"/>
      <c r="K417" s="47"/>
      <c r="L417" s="47"/>
      <c r="M417" s="47"/>
      <c r="N417" s="91"/>
      <c r="O417" s="47"/>
      <c r="P417" s="47"/>
      <c r="Q417" s="47"/>
      <c r="R417" s="47"/>
      <c r="S417" s="47"/>
      <c r="T417" s="47"/>
      <c r="U417" s="47"/>
      <c r="V417" s="47"/>
    </row>
    <row r="418" spans="1:22" x14ac:dyDescent="0.3">
      <c r="A418" s="47"/>
      <c r="B418" s="47"/>
      <c r="C418" s="47"/>
      <c r="D418" s="47"/>
      <c r="E418" s="47"/>
      <c r="F418" s="47"/>
      <c r="G418" s="47"/>
      <c r="H418" s="47"/>
      <c r="I418" s="47"/>
      <c r="J418" s="47"/>
      <c r="K418" s="47"/>
      <c r="L418" s="47"/>
      <c r="M418" s="47"/>
      <c r="N418" s="91"/>
      <c r="O418" s="47"/>
      <c r="P418" s="47"/>
      <c r="Q418" s="47"/>
      <c r="R418" s="47"/>
      <c r="S418" s="47"/>
      <c r="T418" s="47"/>
      <c r="U418" s="47"/>
      <c r="V418" s="47"/>
    </row>
    <row r="419" spans="1:22" x14ac:dyDescent="0.3">
      <c r="A419" s="47"/>
      <c r="B419" s="47"/>
      <c r="C419" s="47"/>
      <c r="D419" s="47"/>
      <c r="E419" s="47"/>
      <c r="F419" s="47"/>
      <c r="G419" s="47"/>
      <c r="H419" s="47"/>
      <c r="I419" s="47"/>
      <c r="J419" s="47"/>
      <c r="K419" s="47"/>
      <c r="L419" s="47"/>
      <c r="M419" s="47"/>
      <c r="N419" s="91"/>
      <c r="O419" s="47"/>
      <c r="P419" s="47"/>
      <c r="Q419" s="47"/>
      <c r="R419" s="47"/>
      <c r="S419" s="47"/>
      <c r="T419" s="47"/>
      <c r="U419" s="47"/>
      <c r="V419" s="47"/>
    </row>
    <row r="420" spans="1:22" x14ac:dyDescent="0.3">
      <c r="A420" s="47"/>
      <c r="B420" s="47"/>
      <c r="C420" s="47"/>
      <c r="D420" s="47"/>
      <c r="E420" s="47"/>
      <c r="F420" s="47"/>
      <c r="G420" s="47"/>
      <c r="H420" s="47"/>
      <c r="I420" s="47"/>
      <c r="J420" s="47"/>
      <c r="K420" s="47"/>
      <c r="L420" s="47"/>
      <c r="M420" s="47"/>
      <c r="N420" s="91"/>
      <c r="O420" s="47"/>
      <c r="P420" s="47"/>
      <c r="Q420" s="47"/>
      <c r="R420" s="47"/>
      <c r="S420" s="47"/>
      <c r="T420" s="47"/>
      <c r="U420" s="47"/>
      <c r="V420" s="47"/>
    </row>
    <row r="421" spans="1:22" x14ac:dyDescent="0.3">
      <c r="A421" s="47"/>
      <c r="B421" s="47"/>
      <c r="C421" s="47"/>
      <c r="D421" s="47"/>
      <c r="E421" s="47"/>
      <c r="F421" s="47"/>
      <c r="G421" s="47"/>
      <c r="H421" s="47"/>
      <c r="I421" s="47"/>
      <c r="J421" s="47"/>
      <c r="K421" s="47"/>
      <c r="L421" s="47"/>
      <c r="M421" s="47"/>
      <c r="N421" s="91"/>
      <c r="O421" s="47"/>
      <c r="P421" s="47"/>
      <c r="Q421" s="47"/>
      <c r="R421" s="47"/>
      <c r="S421" s="47"/>
      <c r="T421" s="47"/>
      <c r="U421" s="47"/>
      <c r="V421" s="47"/>
    </row>
    <row r="422" spans="1:22" x14ac:dyDescent="0.3">
      <c r="A422" s="47"/>
      <c r="B422" s="47"/>
      <c r="C422" s="47"/>
      <c r="D422" s="47"/>
      <c r="E422" s="47"/>
      <c r="F422" s="47"/>
      <c r="G422" s="47"/>
      <c r="H422" s="47"/>
      <c r="I422" s="47"/>
      <c r="J422" s="47"/>
      <c r="K422" s="47"/>
      <c r="L422" s="47"/>
      <c r="M422" s="47"/>
      <c r="N422" s="91"/>
      <c r="O422" s="47"/>
      <c r="P422" s="47"/>
      <c r="Q422" s="47"/>
      <c r="R422" s="47"/>
      <c r="S422" s="47"/>
      <c r="T422" s="47"/>
      <c r="U422" s="47"/>
      <c r="V422" s="47"/>
    </row>
    <row r="423" spans="1:22" x14ac:dyDescent="0.3">
      <c r="A423" s="47"/>
      <c r="B423" s="47"/>
      <c r="C423" s="47"/>
      <c r="D423" s="47"/>
      <c r="E423" s="47"/>
      <c r="F423" s="47"/>
      <c r="G423" s="47"/>
      <c r="H423" s="47"/>
      <c r="I423" s="47"/>
      <c r="J423" s="47"/>
      <c r="K423" s="47"/>
      <c r="L423" s="47"/>
      <c r="M423" s="47"/>
      <c r="N423" s="91"/>
      <c r="O423" s="47"/>
      <c r="P423" s="47"/>
      <c r="Q423" s="47"/>
      <c r="R423" s="47"/>
      <c r="S423" s="47"/>
      <c r="T423" s="47"/>
      <c r="U423" s="47"/>
      <c r="V423" s="47"/>
    </row>
    <row r="424" spans="1:22" x14ac:dyDescent="0.3">
      <c r="A424" s="47"/>
      <c r="B424" s="47"/>
      <c r="C424" s="47"/>
      <c r="D424" s="47"/>
      <c r="E424" s="47"/>
      <c r="F424" s="47"/>
      <c r="G424" s="47"/>
      <c r="H424" s="47"/>
      <c r="I424" s="47"/>
      <c r="J424" s="47"/>
      <c r="K424" s="47"/>
      <c r="L424" s="47"/>
      <c r="M424" s="47"/>
      <c r="N424" s="91"/>
      <c r="O424" s="47"/>
      <c r="P424" s="47"/>
      <c r="Q424" s="47"/>
      <c r="R424" s="47"/>
      <c r="S424" s="47"/>
      <c r="T424" s="47"/>
      <c r="U424" s="47"/>
      <c r="V424" s="47"/>
    </row>
    <row r="425" spans="1:22" x14ac:dyDescent="0.3">
      <c r="A425" s="47"/>
      <c r="B425" s="47"/>
      <c r="C425" s="47"/>
      <c r="D425" s="47"/>
      <c r="E425" s="47"/>
      <c r="F425" s="47"/>
      <c r="G425" s="47"/>
      <c r="H425" s="47"/>
      <c r="I425" s="47"/>
      <c r="J425" s="47"/>
      <c r="K425" s="47"/>
      <c r="L425" s="47"/>
      <c r="M425" s="47"/>
      <c r="N425" s="91"/>
      <c r="O425" s="47"/>
      <c r="P425" s="47"/>
      <c r="Q425" s="47"/>
      <c r="R425" s="47"/>
      <c r="S425" s="47"/>
      <c r="T425" s="47"/>
      <c r="U425" s="47"/>
      <c r="V425" s="47"/>
    </row>
    <row r="426" spans="1:22" x14ac:dyDescent="0.3">
      <c r="A426" s="47"/>
      <c r="B426" s="47"/>
      <c r="C426" s="47"/>
      <c r="D426" s="47"/>
      <c r="E426" s="47"/>
      <c r="F426" s="47"/>
      <c r="G426" s="47"/>
      <c r="H426" s="47"/>
      <c r="I426" s="47"/>
      <c r="J426" s="47"/>
      <c r="K426" s="47"/>
      <c r="L426" s="47"/>
      <c r="M426" s="47"/>
      <c r="N426" s="91"/>
      <c r="O426" s="47"/>
      <c r="P426" s="47"/>
      <c r="Q426" s="47"/>
      <c r="R426" s="47"/>
      <c r="S426" s="47"/>
      <c r="T426" s="47"/>
      <c r="U426" s="47"/>
      <c r="V426" s="47"/>
    </row>
    <row r="427" spans="1:22" x14ac:dyDescent="0.3">
      <c r="A427" s="47"/>
      <c r="B427" s="47"/>
      <c r="C427" s="47"/>
      <c r="D427" s="47"/>
      <c r="E427" s="47"/>
      <c r="F427" s="47"/>
      <c r="G427" s="47"/>
      <c r="H427" s="47"/>
      <c r="I427" s="47"/>
      <c r="J427" s="47"/>
      <c r="K427" s="47"/>
      <c r="L427" s="47"/>
      <c r="M427" s="47"/>
      <c r="N427" s="91"/>
      <c r="O427" s="47"/>
      <c r="P427" s="47"/>
      <c r="Q427" s="47"/>
      <c r="R427" s="47"/>
      <c r="S427" s="47"/>
      <c r="T427" s="47"/>
      <c r="U427" s="47"/>
      <c r="V427" s="47"/>
    </row>
    <row r="428" spans="1:22" x14ac:dyDescent="0.3">
      <c r="A428" s="47"/>
      <c r="B428" s="47"/>
      <c r="C428" s="47"/>
      <c r="D428" s="47"/>
      <c r="E428" s="47"/>
      <c r="F428" s="47"/>
      <c r="G428" s="47"/>
      <c r="H428" s="47"/>
      <c r="I428" s="47"/>
      <c r="J428" s="47"/>
      <c r="K428" s="47"/>
      <c r="L428" s="47"/>
      <c r="M428" s="47"/>
      <c r="N428" s="91"/>
      <c r="O428" s="47"/>
      <c r="P428" s="47"/>
      <c r="Q428" s="47"/>
      <c r="R428" s="47"/>
      <c r="S428" s="47"/>
      <c r="T428" s="47"/>
      <c r="U428" s="47"/>
      <c r="V428" s="47"/>
    </row>
    <row r="429" spans="1:22" x14ac:dyDescent="0.3">
      <c r="A429" s="47"/>
      <c r="B429" s="47"/>
      <c r="C429" s="47"/>
      <c r="D429" s="47"/>
      <c r="E429" s="47"/>
      <c r="F429" s="47"/>
      <c r="G429" s="47"/>
      <c r="H429" s="47"/>
      <c r="I429" s="47"/>
      <c r="J429" s="47"/>
      <c r="K429" s="47"/>
      <c r="L429" s="47"/>
      <c r="M429" s="47"/>
      <c r="N429" s="91"/>
      <c r="O429" s="47"/>
      <c r="P429" s="47"/>
      <c r="Q429" s="47"/>
      <c r="R429" s="47"/>
      <c r="S429" s="47"/>
      <c r="T429" s="47"/>
      <c r="U429" s="47"/>
      <c r="V429" s="47"/>
    </row>
    <row r="430" spans="1:22" x14ac:dyDescent="0.3">
      <c r="A430" s="47"/>
      <c r="B430" s="47"/>
      <c r="C430" s="47"/>
      <c r="D430" s="47"/>
      <c r="E430" s="47"/>
      <c r="F430" s="47"/>
      <c r="G430" s="47"/>
      <c r="H430" s="47"/>
      <c r="I430" s="47"/>
      <c r="J430" s="47"/>
      <c r="K430" s="47"/>
      <c r="L430" s="47"/>
      <c r="M430" s="47"/>
      <c r="N430" s="91"/>
      <c r="O430" s="47"/>
      <c r="P430" s="47"/>
      <c r="Q430" s="47"/>
      <c r="R430" s="47"/>
      <c r="S430" s="47"/>
      <c r="T430" s="47"/>
      <c r="U430" s="47"/>
      <c r="V430" s="47"/>
    </row>
    <row r="431" spans="1:22" x14ac:dyDescent="0.3">
      <c r="A431" s="47"/>
      <c r="B431" s="47"/>
      <c r="C431" s="47"/>
      <c r="D431" s="47"/>
      <c r="E431" s="47"/>
      <c r="F431" s="47"/>
      <c r="G431" s="47"/>
      <c r="H431" s="47"/>
      <c r="I431" s="47"/>
      <c r="J431" s="47"/>
      <c r="K431" s="47"/>
      <c r="L431" s="47"/>
      <c r="M431" s="47"/>
      <c r="N431" s="91"/>
      <c r="O431" s="47"/>
      <c r="P431" s="47"/>
      <c r="Q431" s="47"/>
      <c r="R431" s="47"/>
      <c r="S431" s="47"/>
      <c r="T431" s="47"/>
      <c r="U431" s="47"/>
      <c r="V431" s="47"/>
    </row>
    <row r="432" spans="1:22" x14ac:dyDescent="0.3">
      <c r="A432" s="47"/>
      <c r="B432" s="47"/>
      <c r="C432" s="47"/>
      <c r="D432" s="47"/>
      <c r="E432" s="47"/>
      <c r="F432" s="47"/>
      <c r="G432" s="47"/>
      <c r="H432" s="47"/>
      <c r="I432" s="47"/>
      <c r="J432" s="47"/>
      <c r="K432" s="47"/>
      <c r="L432" s="47"/>
      <c r="M432" s="47"/>
      <c r="N432" s="91"/>
      <c r="O432" s="47"/>
      <c r="P432" s="47"/>
      <c r="Q432" s="47"/>
      <c r="R432" s="47"/>
      <c r="S432" s="47"/>
      <c r="T432" s="47"/>
      <c r="U432" s="47"/>
      <c r="V432" s="47"/>
    </row>
    <row r="433" spans="1:22" x14ac:dyDescent="0.3">
      <c r="A433" s="47"/>
      <c r="B433" s="47"/>
      <c r="C433" s="47"/>
      <c r="D433" s="47"/>
      <c r="E433" s="47"/>
      <c r="F433" s="47"/>
      <c r="G433" s="47"/>
      <c r="H433" s="47"/>
      <c r="I433" s="47"/>
      <c r="J433" s="47"/>
      <c r="K433" s="47"/>
      <c r="L433" s="47"/>
      <c r="M433" s="47"/>
      <c r="N433" s="91"/>
      <c r="O433" s="47"/>
      <c r="P433" s="47"/>
      <c r="Q433" s="47"/>
      <c r="R433" s="47"/>
      <c r="S433" s="47"/>
      <c r="T433" s="47"/>
      <c r="U433" s="47"/>
      <c r="V433" s="47"/>
    </row>
    <row r="434" spans="1:22" x14ac:dyDescent="0.3">
      <c r="A434" s="47"/>
      <c r="B434" s="47"/>
      <c r="C434" s="47"/>
      <c r="D434" s="47"/>
      <c r="E434" s="47"/>
      <c r="F434" s="47"/>
      <c r="G434" s="47"/>
      <c r="H434" s="47"/>
      <c r="I434" s="47"/>
      <c r="J434" s="47"/>
      <c r="K434" s="47"/>
      <c r="L434" s="47"/>
      <c r="M434" s="47"/>
      <c r="N434" s="91"/>
      <c r="O434" s="47"/>
      <c r="P434" s="47"/>
      <c r="Q434" s="47"/>
      <c r="R434" s="47"/>
      <c r="S434" s="47"/>
      <c r="T434" s="47"/>
      <c r="U434" s="47"/>
      <c r="V434" s="47"/>
    </row>
    <row r="435" spans="1:22" x14ac:dyDescent="0.3">
      <c r="A435" s="47"/>
      <c r="B435" s="47"/>
      <c r="C435" s="47"/>
      <c r="D435" s="47"/>
      <c r="E435" s="47"/>
      <c r="F435" s="47"/>
      <c r="G435" s="47"/>
      <c r="H435" s="47"/>
      <c r="I435" s="47"/>
      <c r="J435" s="47"/>
      <c r="K435" s="47"/>
      <c r="L435" s="47"/>
      <c r="M435" s="47"/>
      <c r="N435" s="91"/>
      <c r="O435" s="47"/>
      <c r="P435" s="47"/>
      <c r="Q435" s="47"/>
      <c r="R435" s="47"/>
      <c r="S435" s="47"/>
      <c r="T435" s="47"/>
      <c r="U435" s="47"/>
      <c r="V435" s="47"/>
    </row>
    <row r="436" spans="1:22" x14ac:dyDescent="0.3">
      <c r="A436" s="47"/>
      <c r="B436" s="47"/>
      <c r="C436" s="47"/>
      <c r="D436" s="47"/>
      <c r="E436" s="47"/>
      <c r="F436" s="47"/>
      <c r="G436" s="47"/>
      <c r="H436" s="47"/>
      <c r="I436" s="47"/>
      <c r="J436" s="47"/>
      <c r="K436" s="47"/>
      <c r="L436" s="47"/>
      <c r="M436" s="47"/>
      <c r="N436" s="91"/>
      <c r="O436" s="47"/>
      <c r="P436" s="47"/>
      <c r="Q436" s="47"/>
      <c r="R436" s="47"/>
      <c r="S436" s="47"/>
      <c r="T436" s="47"/>
      <c r="U436" s="47"/>
      <c r="V436" s="47"/>
    </row>
    <row r="437" spans="1:22" x14ac:dyDescent="0.3">
      <c r="A437" s="47"/>
      <c r="B437" s="47"/>
      <c r="C437" s="47"/>
      <c r="D437" s="47"/>
      <c r="E437" s="47"/>
      <c r="F437" s="47"/>
      <c r="G437" s="47"/>
      <c r="H437" s="47"/>
      <c r="I437" s="47"/>
      <c r="J437" s="47"/>
      <c r="K437" s="47"/>
      <c r="L437" s="47"/>
      <c r="M437" s="47"/>
      <c r="N437" s="91"/>
      <c r="O437" s="47"/>
      <c r="P437" s="47"/>
      <c r="Q437" s="47"/>
      <c r="R437" s="47"/>
      <c r="S437" s="47"/>
      <c r="T437" s="47"/>
      <c r="U437" s="47"/>
      <c r="V437" s="47"/>
    </row>
    <row r="438" spans="1:22" x14ac:dyDescent="0.3">
      <c r="A438" s="47"/>
      <c r="B438" s="47"/>
      <c r="C438" s="47"/>
      <c r="D438" s="47"/>
      <c r="E438" s="47"/>
      <c r="F438" s="47"/>
      <c r="G438" s="47"/>
      <c r="H438" s="47"/>
      <c r="I438" s="47"/>
      <c r="J438" s="47"/>
      <c r="K438" s="47"/>
      <c r="L438" s="47"/>
      <c r="M438" s="47"/>
      <c r="N438" s="91"/>
      <c r="O438" s="47"/>
      <c r="P438" s="47"/>
      <c r="Q438" s="47"/>
      <c r="R438" s="47"/>
      <c r="S438" s="47"/>
      <c r="T438" s="47"/>
      <c r="U438" s="47"/>
      <c r="V438" s="47"/>
    </row>
    <row r="439" spans="1:22" x14ac:dyDescent="0.3">
      <c r="A439" s="47"/>
      <c r="B439" s="47"/>
      <c r="C439" s="47"/>
      <c r="D439" s="47"/>
      <c r="E439" s="47"/>
      <c r="F439" s="47"/>
      <c r="G439" s="47"/>
      <c r="H439" s="47"/>
      <c r="I439" s="47"/>
      <c r="J439" s="47"/>
      <c r="K439" s="47"/>
      <c r="L439" s="47"/>
      <c r="M439" s="47"/>
      <c r="N439" s="91"/>
      <c r="O439" s="47"/>
      <c r="P439" s="47"/>
      <c r="Q439" s="47"/>
      <c r="R439" s="47"/>
      <c r="S439" s="47"/>
      <c r="T439" s="47"/>
      <c r="U439" s="47"/>
      <c r="V439" s="47"/>
    </row>
    <row r="440" spans="1:22" x14ac:dyDescent="0.3">
      <c r="A440" s="47"/>
      <c r="B440" s="47"/>
      <c r="C440" s="47"/>
      <c r="D440" s="47"/>
      <c r="E440" s="47"/>
      <c r="F440" s="47"/>
      <c r="G440" s="47"/>
      <c r="H440" s="47"/>
      <c r="I440" s="47"/>
      <c r="J440" s="47"/>
      <c r="K440" s="47"/>
      <c r="L440" s="47"/>
      <c r="M440" s="47"/>
      <c r="N440" s="91"/>
      <c r="O440" s="47"/>
      <c r="P440" s="47"/>
      <c r="Q440" s="47"/>
      <c r="R440" s="47"/>
      <c r="S440" s="47"/>
      <c r="T440" s="47"/>
      <c r="U440" s="47"/>
      <c r="V440" s="47"/>
    </row>
    <row r="441" spans="1:22" x14ac:dyDescent="0.3">
      <c r="A441" s="47"/>
      <c r="B441" s="47"/>
      <c r="C441" s="47"/>
      <c r="D441" s="47"/>
      <c r="E441" s="47"/>
      <c r="F441" s="47"/>
      <c r="G441" s="47"/>
      <c r="H441" s="47"/>
      <c r="I441" s="47"/>
      <c r="J441" s="47"/>
      <c r="K441" s="47"/>
      <c r="L441" s="47"/>
      <c r="M441" s="47"/>
      <c r="N441" s="91"/>
      <c r="O441" s="47"/>
      <c r="P441" s="47"/>
      <c r="Q441" s="47"/>
      <c r="R441" s="47"/>
      <c r="S441" s="47"/>
      <c r="T441" s="47"/>
      <c r="U441" s="47"/>
      <c r="V441" s="47"/>
    </row>
    <row r="442" spans="1:22" x14ac:dyDescent="0.3">
      <c r="A442" s="47"/>
      <c r="B442" s="47"/>
      <c r="C442" s="47"/>
      <c r="D442" s="47"/>
      <c r="E442" s="47"/>
      <c r="F442" s="47"/>
      <c r="G442" s="47"/>
      <c r="H442" s="47"/>
      <c r="I442" s="47"/>
      <c r="J442" s="47"/>
      <c r="K442" s="47"/>
      <c r="L442" s="47"/>
      <c r="M442" s="47"/>
      <c r="N442" s="91"/>
      <c r="O442" s="47"/>
      <c r="P442" s="47"/>
      <c r="Q442" s="47"/>
      <c r="R442" s="47"/>
      <c r="S442" s="47"/>
      <c r="T442" s="47"/>
      <c r="U442" s="47"/>
      <c r="V442" s="47"/>
    </row>
    <row r="443" spans="1:22" x14ac:dyDescent="0.3">
      <c r="A443" s="47"/>
      <c r="B443" s="47"/>
      <c r="C443" s="47"/>
      <c r="D443" s="47"/>
      <c r="E443" s="47"/>
      <c r="F443" s="47"/>
      <c r="G443" s="47"/>
      <c r="H443" s="47"/>
      <c r="I443" s="47"/>
      <c r="J443" s="47"/>
      <c r="K443" s="47"/>
      <c r="L443" s="47"/>
      <c r="M443" s="47"/>
      <c r="N443" s="91"/>
      <c r="O443" s="47"/>
      <c r="P443" s="47"/>
      <c r="Q443" s="47"/>
      <c r="R443" s="47"/>
      <c r="S443" s="47"/>
      <c r="T443" s="47"/>
      <c r="U443" s="47"/>
      <c r="V443" s="47"/>
    </row>
    <row r="444" spans="1:22" x14ac:dyDescent="0.3">
      <c r="A444" s="47"/>
      <c r="B444" s="47"/>
      <c r="C444" s="47"/>
      <c r="D444" s="47"/>
      <c r="E444" s="47"/>
      <c r="F444" s="47"/>
      <c r="G444" s="47"/>
      <c r="H444" s="47"/>
      <c r="I444" s="47"/>
      <c r="J444" s="47"/>
      <c r="K444" s="47"/>
      <c r="L444" s="47"/>
      <c r="M444" s="47"/>
      <c r="N444" s="91"/>
      <c r="O444" s="47"/>
      <c r="P444" s="47"/>
      <c r="Q444" s="47"/>
      <c r="R444" s="47"/>
      <c r="S444" s="47"/>
      <c r="T444" s="47"/>
      <c r="U444" s="47"/>
      <c r="V444" s="47"/>
    </row>
    <row r="445" spans="1:22" x14ac:dyDescent="0.3">
      <c r="A445" s="47"/>
      <c r="B445" s="47"/>
      <c r="C445" s="47"/>
      <c r="D445" s="47"/>
      <c r="E445" s="47"/>
      <c r="F445" s="47"/>
      <c r="G445" s="47"/>
      <c r="H445" s="47"/>
      <c r="I445" s="47"/>
      <c r="J445" s="47"/>
      <c r="K445" s="47"/>
      <c r="L445" s="47"/>
      <c r="M445" s="47"/>
      <c r="N445" s="91"/>
      <c r="O445" s="47"/>
      <c r="P445" s="47"/>
      <c r="Q445" s="47"/>
      <c r="R445" s="47"/>
      <c r="S445" s="47"/>
      <c r="T445" s="47"/>
      <c r="U445" s="47"/>
      <c r="V445" s="47"/>
    </row>
    <row r="446" spans="1:22" x14ac:dyDescent="0.3">
      <c r="A446" s="47"/>
      <c r="B446" s="47"/>
      <c r="C446" s="47"/>
      <c r="D446" s="47"/>
      <c r="E446" s="47"/>
      <c r="F446" s="47"/>
      <c r="G446" s="47"/>
      <c r="H446" s="47"/>
      <c r="I446" s="47"/>
      <c r="J446" s="47"/>
      <c r="K446" s="47"/>
      <c r="L446" s="47"/>
      <c r="M446" s="47"/>
      <c r="N446" s="91"/>
      <c r="O446" s="47"/>
      <c r="P446" s="47"/>
      <c r="Q446" s="47"/>
      <c r="R446" s="47"/>
      <c r="S446" s="47"/>
      <c r="T446" s="47"/>
      <c r="U446" s="47"/>
      <c r="V446" s="47"/>
    </row>
    <row r="447" spans="1:22" x14ac:dyDescent="0.3">
      <c r="A447" s="47"/>
      <c r="B447" s="47"/>
      <c r="C447" s="47"/>
      <c r="D447" s="47"/>
      <c r="E447" s="47"/>
      <c r="F447" s="47"/>
      <c r="G447" s="47"/>
      <c r="H447" s="47"/>
      <c r="I447" s="47"/>
      <c r="J447" s="47"/>
      <c r="K447" s="47"/>
      <c r="L447" s="47"/>
      <c r="M447" s="47"/>
      <c r="N447" s="91"/>
      <c r="O447" s="47"/>
      <c r="P447" s="47"/>
      <c r="Q447" s="47"/>
      <c r="R447" s="47"/>
      <c r="S447" s="47"/>
      <c r="T447" s="47"/>
      <c r="U447" s="47"/>
      <c r="V447" s="47"/>
    </row>
    <row r="448" spans="1:22" x14ac:dyDescent="0.3">
      <c r="A448" s="47"/>
      <c r="B448" s="47"/>
      <c r="C448" s="47"/>
      <c r="D448" s="47"/>
      <c r="E448" s="47"/>
      <c r="F448" s="47"/>
      <c r="G448" s="47"/>
      <c r="H448" s="47"/>
      <c r="I448" s="47"/>
      <c r="J448" s="47"/>
      <c r="K448" s="47"/>
      <c r="L448" s="47"/>
      <c r="M448" s="47"/>
      <c r="N448" s="91"/>
      <c r="O448" s="47"/>
      <c r="P448" s="47"/>
      <c r="Q448" s="47"/>
      <c r="R448" s="47"/>
      <c r="S448" s="47"/>
      <c r="T448" s="47"/>
      <c r="U448" s="47"/>
      <c r="V448" s="47"/>
    </row>
    <row r="449" spans="1:22" x14ac:dyDescent="0.3">
      <c r="A449" s="47"/>
      <c r="B449" s="47"/>
      <c r="C449" s="47"/>
      <c r="D449" s="47"/>
      <c r="E449" s="47"/>
      <c r="F449" s="47"/>
      <c r="G449" s="47"/>
      <c r="H449" s="47"/>
      <c r="I449" s="47"/>
      <c r="J449" s="47"/>
      <c r="K449" s="47"/>
      <c r="L449" s="47"/>
      <c r="M449" s="47"/>
      <c r="N449" s="91"/>
      <c r="O449" s="47"/>
      <c r="P449" s="47"/>
      <c r="Q449" s="47"/>
      <c r="R449" s="47"/>
      <c r="S449" s="47"/>
      <c r="T449" s="47"/>
      <c r="U449" s="47"/>
      <c r="V449" s="47"/>
    </row>
    <row r="450" spans="1:22" x14ac:dyDescent="0.3">
      <c r="A450" s="47"/>
      <c r="B450" s="47"/>
      <c r="C450" s="47"/>
      <c r="D450" s="47"/>
      <c r="E450" s="47"/>
      <c r="F450" s="47"/>
      <c r="G450" s="47"/>
      <c r="H450" s="47"/>
      <c r="I450" s="47"/>
      <c r="J450" s="47"/>
      <c r="K450" s="47"/>
      <c r="L450" s="47"/>
      <c r="M450" s="47"/>
      <c r="N450" s="91"/>
      <c r="O450" s="47"/>
      <c r="P450" s="47"/>
      <c r="Q450" s="47"/>
      <c r="R450" s="47"/>
      <c r="S450" s="47"/>
      <c r="T450" s="47"/>
      <c r="U450" s="47"/>
      <c r="V450" s="47"/>
    </row>
    <row r="451" spans="1:22" x14ac:dyDescent="0.3">
      <c r="A451" s="47"/>
      <c r="B451" s="47"/>
      <c r="C451" s="47"/>
      <c r="D451" s="47"/>
      <c r="E451" s="47"/>
      <c r="F451" s="47"/>
      <c r="G451" s="47"/>
      <c r="H451" s="47"/>
      <c r="I451" s="47"/>
      <c r="J451" s="47"/>
      <c r="K451" s="47"/>
      <c r="L451" s="47"/>
      <c r="M451" s="47"/>
      <c r="N451" s="91"/>
      <c r="O451" s="47"/>
      <c r="P451" s="47"/>
      <c r="Q451" s="47"/>
      <c r="R451" s="47"/>
      <c r="S451" s="47"/>
      <c r="T451" s="47"/>
      <c r="U451" s="47"/>
      <c r="V451" s="47"/>
    </row>
    <row r="452" spans="1:22" x14ac:dyDescent="0.3">
      <c r="A452" s="47"/>
      <c r="B452" s="47"/>
      <c r="C452" s="47"/>
      <c r="D452" s="47"/>
      <c r="E452" s="47"/>
      <c r="F452" s="47"/>
      <c r="G452" s="47"/>
      <c r="H452" s="47"/>
      <c r="I452" s="47"/>
      <c r="J452" s="47"/>
      <c r="K452" s="47"/>
      <c r="L452" s="47"/>
      <c r="M452" s="47"/>
      <c r="N452" s="91"/>
      <c r="O452" s="47"/>
      <c r="P452" s="47"/>
      <c r="Q452" s="47"/>
      <c r="R452" s="47"/>
      <c r="S452" s="47"/>
      <c r="T452" s="47"/>
      <c r="U452" s="47"/>
      <c r="V452" s="47"/>
    </row>
    <row r="453" spans="1:22" x14ac:dyDescent="0.3">
      <c r="A453" s="47"/>
      <c r="B453" s="47"/>
      <c r="C453" s="47"/>
      <c r="D453" s="47"/>
      <c r="E453" s="47"/>
      <c r="F453" s="47"/>
      <c r="G453" s="47"/>
      <c r="H453" s="47"/>
      <c r="I453" s="47"/>
      <c r="J453" s="47"/>
      <c r="K453" s="47"/>
      <c r="L453" s="47"/>
      <c r="M453" s="47"/>
      <c r="N453" s="91"/>
      <c r="O453" s="47"/>
      <c r="P453" s="47"/>
      <c r="Q453" s="47"/>
      <c r="R453" s="47"/>
      <c r="S453" s="47"/>
      <c r="T453" s="47"/>
      <c r="U453" s="47"/>
      <c r="V453" s="47"/>
    </row>
    <row r="454" spans="1:22" x14ac:dyDescent="0.3">
      <c r="A454" s="47"/>
      <c r="B454" s="47"/>
      <c r="C454" s="47"/>
      <c r="D454" s="47"/>
      <c r="E454" s="47"/>
      <c r="F454" s="47"/>
      <c r="G454" s="47"/>
      <c r="H454" s="47"/>
      <c r="I454" s="47"/>
      <c r="J454" s="47"/>
      <c r="K454" s="47"/>
      <c r="L454" s="47"/>
      <c r="M454" s="47"/>
      <c r="N454" s="91"/>
      <c r="O454" s="47"/>
      <c r="P454" s="47"/>
      <c r="Q454" s="47"/>
      <c r="R454" s="47"/>
      <c r="S454" s="47"/>
      <c r="T454" s="47"/>
      <c r="U454" s="47"/>
      <c r="V454" s="47"/>
    </row>
    <row r="455" spans="1:22" x14ac:dyDescent="0.3">
      <c r="A455" s="47"/>
      <c r="B455" s="47"/>
      <c r="C455" s="47"/>
      <c r="D455" s="47"/>
      <c r="E455" s="47"/>
      <c r="F455" s="47"/>
      <c r="G455" s="47"/>
      <c r="H455" s="47"/>
      <c r="I455" s="47"/>
      <c r="J455" s="47"/>
      <c r="K455" s="47"/>
      <c r="L455" s="47"/>
      <c r="M455" s="47"/>
      <c r="N455" s="91"/>
      <c r="O455" s="47"/>
      <c r="P455" s="47"/>
      <c r="Q455" s="47"/>
      <c r="R455" s="47"/>
      <c r="S455" s="47"/>
      <c r="T455" s="47"/>
      <c r="U455" s="47"/>
      <c r="V455" s="47"/>
    </row>
    <row r="456" spans="1:22" x14ac:dyDescent="0.3">
      <c r="A456" s="47"/>
      <c r="B456" s="47"/>
      <c r="C456" s="47"/>
      <c r="D456" s="47"/>
      <c r="E456" s="47"/>
      <c r="F456" s="47"/>
      <c r="G456" s="47"/>
      <c r="H456" s="47"/>
      <c r="I456" s="47"/>
      <c r="J456" s="47"/>
      <c r="K456" s="47"/>
      <c r="L456" s="47"/>
      <c r="M456" s="47"/>
      <c r="N456" s="91"/>
      <c r="O456" s="47"/>
      <c r="P456" s="47"/>
      <c r="Q456" s="47"/>
      <c r="R456" s="47"/>
      <c r="S456" s="47"/>
      <c r="T456" s="47"/>
      <c r="U456" s="47"/>
      <c r="V456" s="47"/>
    </row>
    <row r="457" spans="1:22" x14ac:dyDescent="0.3">
      <c r="A457" s="47"/>
      <c r="B457" s="47"/>
      <c r="C457" s="47"/>
      <c r="D457" s="47"/>
      <c r="E457" s="47"/>
      <c r="F457" s="47"/>
      <c r="G457" s="47"/>
      <c r="H457" s="47"/>
      <c r="I457" s="47"/>
      <c r="J457" s="47"/>
      <c r="K457" s="47"/>
      <c r="L457" s="47"/>
      <c r="M457" s="47"/>
      <c r="N457" s="91"/>
      <c r="O457" s="47"/>
      <c r="P457" s="47"/>
      <c r="Q457" s="47"/>
      <c r="R457" s="47"/>
      <c r="S457" s="47"/>
      <c r="T457" s="47"/>
      <c r="U457" s="47"/>
      <c r="V457" s="47"/>
    </row>
    <row r="458" spans="1:22" x14ac:dyDescent="0.3">
      <c r="A458" s="47"/>
      <c r="B458" s="47"/>
      <c r="C458" s="47"/>
      <c r="D458" s="47"/>
      <c r="E458" s="47"/>
      <c r="F458" s="47"/>
      <c r="G458" s="47"/>
      <c r="H458" s="47"/>
      <c r="I458" s="47"/>
      <c r="J458" s="47"/>
      <c r="K458" s="47"/>
      <c r="L458" s="47"/>
      <c r="M458" s="47"/>
      <c r="N458" s="91"/>
      <c r="O458" s="47"/>
      <c r="P458" s="47"/>
      <c r="Q458" s="47"/>
      <c r="R458" s="47"/>
      <c r="S458" s="47"/>
      <c r="T458" s="47"/>
      <c r="U458" s="47"/>
      <c r="V458" s="47"/>
    </row>
    <row r="459" spans="1:22" x14ac:dyDescent="0.3">
      <c r="A459" s="47"/>
      <c r="B459" s="47"/>
      <c r="C459" s="47"/>
      <c r="D459" s="47"/>
      <c r="E459" s="47"/>
      <c r="F459" s="47"/>
      <c r="G459" s="47"/>
      <c r="H459" s="47"/>
      <c r="I459" s="47"/>
      <c r="J459" s="47"/>
      <c r="K459" s="47"/>
      <c r="L459" s="47"/>
      <c r="M459" s="47"/>
      <c r="N459" s="91"/>
      <c r="O459" s="47"/>
      <c r="P459" s="47"/>
      <c r="Q459" s="47"/>
      <c r="R459" s="47"/>
      <c r="S459" s="47"/>
      <c r="T459" s="47"/>
      <c r="U459" s="47"/>
      <c r="V459" s="47"/>
    </row>
    <row r="460" spans="1:22" x14ac:dyDescent="0.3">
      <c r="A460" s="47"/>
      <c r="B460" s="47"/>
      <c r="C460" s="47"/>
      <c r="D460" s="47"/>
      <c r="E460" s="47"/>
      <c r="F460" s="47"/>
      <c r="G460" s="47"/>
      <c r="H460" s="47"/>
      <c r="I460" s="47"/>
      <c r="J460" s="47"/>
      <c r="K460" s="47"/>
      <c r="L460" s="47"/>
      <c r="M460" s="47"/>
      <c r="N460" s="91"/>
      <c r="O460" s="47"/>
      <c r="P460" s="47"/>
      <c r="Q460" s="47"/>
      <c r="R460" s="47"/>
      <c r="S460" s="47"/>
      <c r="T460" s="47"/>
      <c r="U460" s="47"/>
      <c r="V460" s="47"/>
    </row>
    <row r="461" spans="1:22" x14ac:dyDescent="0.3">
      <c r="A461" s="47"/>
      <c r="B461" s="47"/>
      <c r="C461" s="47"/>
      <c r="D461" s="47"/>
      <c r="E461" s="47"/>
      <c r="F461" s="47"/>
      <c r="G461" s="47"/>
      <c r="H461" s="47"/>
      <c r="I461" s="47"/>
      <c r="J461" s="47"/>
      <c r="K461" s="47"/>
      <c r="L461" s="47"/>
      <c r="M461" s="47"/>
      <c r="N461" s="91"/>
      <c r="O461" s="47"/>
      <c r="P461" s="47"/>
      <c r="Q461" s="47"/>
      <c r="R461" s="47"/>
      <c r="S461" s="47"/>
      <c r="T461" s="47"/>
      <c r="U461" s="47"/>
      <c r="V461" s="47"/>
    </row>
    <row r="462" spans="1:22" x14ac:dyDescent="0.3">
      <c r="A462" s="47"/>
      <c r="B462" s="47"/>
      <c r="C462" s="47"/>
      <c r="D462" s="47"/>
      <c r="E462" s="47"/>
      <c r="F462" s="47"/>
      <c r="G462" s="47"/>
      <c r="H462" s="47"/>
      <c r="I462" s="47"/>
      <c r="J462" s="47"/>
      <c r="K462" s="47"/>
      <c r="L462" s="47"/>
      <c r="M462" s="47"/>
      <c r="N462" s="91"/>
      <c r="O462" s="47"/>
      <c r="P462" s="47"/>
      <c r="Q462" s="47"/>
      <c r="R462" s="47"/>
      <c r="S462" s="47"/>
      <c r="T462" s="47"/>
      <c r="U462" s="47"/>
      <c r="V462" s="47"/>
    </row>
    <row r="463" spans="1:22" x14ac:dyDescent="0.3">
      <c r="A463" s="47"/>
      <c r="B463" s="47"/>
      <c r="C463" s="47"/>
      <c r="D463" s="47"/>
      <c r="E463" s="47"/>
      <c r="F463" s="47"/>
      <c r="G463" s="47"/>
      <c r="H463" s="47"/>
      <c r="I463" s="47"/>
      <c r="J463" s="47"/>
      <c r="K463" s="47"/>
      <c r="L463" s="47"/>
      <c r="M463" s="47"/>
      <c r="N463" s="91"/>
      <c r="O463" s="47"/>
      <c r="P463" s="47"/>
      <c r="Q463" s="47"/>
      <c r="R463" s="47"/>
      <c r="S463" s="47"/>
      <c r="T463" s="47"/>
      <c r="U463" s="47"/>
      <c r="V463" s="47"/>
    </row>
    <row r="464" spans="1:22" x14ac:dyDescent="0.3">
      <c r="A464" s="47"/>
      <c r="B464" s="47"/>
      <c r="C464" s="47"/>
      <c r="D464" s="47"/>
      <c r="E464" s="47"/>
      <c r="F464" s="47"/>
      <c r="G464" s="47"/>
      <c r="H464" s="47"/>
      <c r="I464" s="47"/>
      <c r="J464" s="47"/>
      <c r="K464" s="47"/>
      <c r="L464" s="47"/>
      <c r="M464" s="47"/>
      <c r="N464" s="91"/>
      <c r="O464" s="47"/>
      <c r="P464" s="47"/>
      <c r="Q464" s="47"/>
      <c r="R464" s="47"/>
      <c r="S464" s="47"/>
      <c r="T464" s="47"/>
      <c r="U464" s="47"/>
      <c r="V464" s="47"/>
    </row>
    <row r="465" spans="1:22" x14ac:dyDescent="0.3">
      <c r="A465" s="47"/>
      <c r="B465" s="47"/>
      <c r="C465" s="47"/>
      <c r="D465" s="47"/>
      <c r="E465" s="47"/>
      <c r="F465" s="47"/>
      <c r="G465" s="47"/>
      <c r="H465" s="47"/>
      <c r="I465" s="47"/>
      <c r="J465" s="47"/>
      <c r="K465" s="47"/>
      <c r="L465" s="47"/>
      <c r="M465" s="47"/>
      <c r="N465" s="91"/>
      <c r="O465" s="47"/>
      <c r="P465" s="47"/>
      <c r="Q465" s="47"/>
      <c r="R465" s="47"/>
      <c r="S465" s="47"/>
      <c r="T465" s="47"/>
      <c r="U465" s="47"/>
      <c r="V465" s="47"/>
    </row>
    <row r="466" spans="1:22" x14ac:dyDescent="0.3">
      <c r="A466" s="47"/>
      <c r="B466" s="47"/>
      <c r="C466" s="47"/>
      <c r="D466" s="47"/>
      <c r="E466" s="47"/>
      <c r="F466" s="47"/>
      <c r="G466" s="47"/>
      <c r="H466" s="47"/>
      <c r="I466" s="47"/>
      <c r="J466" s="47"/>
      <c r="K466" s="47"/>
      <c r="L466" s="47"/>
      <c r="M466" s="47"/>
      <c r="N466" s="91"/>
      <c r="O466" s="47"/>
      <c r="P466" s="47"/>
      <c r="Q466" s="47"/>
      <c r="R466" s="47"/>
      <c r="S466" s="47"/>
      <c r="T466" s="47"/>
      <c r="U466" s="47"/>
      <c r="V466" s="47"/>
    </row>
    <row r="467" spans="1:22" x14ac:dyDescent="0.3">
      <c r="A467" s="47"/>
      <c r="B467" s="47"/>
      <c r="C467" s="47"/>
      <c r="D467" s="47"/>
      <c r="E467" s="47"/>
      <c r="F467" s="47"/>
      <c r="G467" s="47"/>
      <c r="H467" s="47"/>
      <c r="I467" s="47"/>
      <c r="J467" s="47"/>
      <c r="K467" s="47"/>
      <c r="L467" s="47"/>
      <c r="M467" s="47"/>
      <c r="N467" s="91"/>
      <c r="O467" s="47"/>
      <c r="P467" s="47"/>
      <c r="Q467" s="47"/>
      <c r="R467" s="47"/>
      <c r="S467" s="47"/>
      <c r="T467" s="47"/>
      <c r="U467" s="47"/>
      <c r="V467" s="47"/>
    </row>
    <row r="468" spans="1:22" x14ac:dyDescent="0.3">
      <c r="A468" s="47"/>
      <c r="B468" s="47"/>
      <c r="C468" s="47"/>
      <c r="D468" s="47"/>
      <c r="E468" s="47"/>
      <c r="F468" s="47"/>
      <c r="G468" s="47"/>
      <c r="H468" s="47"/>
      <c r="I468" s="47"/>
      <c r="J468" s="47"/>
      <c r="K468" s="47"/>
      <c r="L468" s="47"/>
      <c r="M468" s="47"/>
      <c r="N468" s="91"/>
      <c r="O468" s="47"/>
      <c r="P468" s="47"/>
      <c r="Q468" s="47"/>
      <c r="R468" s="47"/>
      <c r="S468" s="47"/>
      <c r="T468" s="47"/>
      <c r="U468" s="47"/>
      <c r="V468" s="47"/>
    </row>
    <row r="469" spans="1:22" x14ac:dyDescent="0.3">
      <c r="A469" s="47"/>
      <c r="B469" s="47"/>
      <c r="C469" s="47"/>
      <c r="D469" s="47"/>
      <c r="E469" s="47"/>
      <c r="F469" s="47"/>
      <c r="G469" s="47"/>
      <c r="H469" s="47"/>
      <c r="I469" s="47"/>
      <c r="J469" s="47"/>
      <c r="K469" s="47"/>
      <c r="L469" s="47"/>
      <c r="M469" s="47"/>
      <c r="N469" s="91"/>
      <c r="O469" s="47"/>
      <c r="P469" s="47"/>
      <c r="Q469" s="47"/>
      <c r="R469" s="47"/>
      <c r="S469" s="47"/>
      <c r="T469" s="47"/>
      <c r="U469" s="47"/>
      <c r="V469" s="47"/>
    </row>
    <row r="470" spans="1:22" x14ac:dyDescent="0.3">
      <c r="A470" s="47"/>
      <c r="B470" s="47"/>
      <c r="C470" s="47"/>
      <c r="D470" s="47"/>
      <c r="E470" s="47"/>
      <c r="F470" s="47"/>
      <c r="G470" s="47"/>
      <c r="H470" s="47"/>
      <c r="I470" s="47"/>
      <c r="J470" s="47"/>
      <c r="K470" s="47"/>
      <c r="L470" s="47"/>
      <c r="M470" s="47"/>
      <c r="N470" s="91"/>
      <c r="O470" s="47"/>
      <c r="P470" s="47"/>
      <c r="Q470" s="47"/>
      <c r="R470" s="47"/>
      <c r="S470" s="47"/>
      <c r="T470" s="47"/>
      <c r="U470" s="47"/>
      <c r="V470" s="47"/>
    </row>
    <row r="471" spans="1:22" x14ac:dyDescent="0.3">
      <c r="A471" s="47"/>
      <c r="B471" s="47"/>
      <c r="C471" s="47"/>
      <c r="D471" s="47"/>
      <c r="E471" s="47"/>
      <c r="F471" s="47"/>
      <c r="G471" s="47"/>
      <c r="H471" s="47"/>
      <c r="I471" s="47"/>
      <c r="J471" s="47"/>
      <c r="K471" s="47"/>
      <c r="L471" s="47"/>
      <c r="M471" s="47"/>
      <c r="N471" s="91"/>
      <c r="O471" s="47"/>
      <c r="P471" s="47"/>
      <c r="Q471" s="47"/>
      <c r="R471" s="47"/>
      <c r="S471" s="47"/>
      <c r="T471" s="47"/>
      <c r="U471" s="47"/>
      <c r="V471" s="47"/>
    </row>
    <row r="472" spans="1:22" x14ac:dyDescent="0.3">
      <c r="A472" s="47"/>
      <c r="B472" s="47"/>
      <c r="C472" s="47"/>
      <c r="D472" s="47"/>
      <c r="E472" s="47"/>
      <c r="F472" s="47"/>
      <c r="G472" s="47"/>
      <c r="H472" s="47"/>
      <c r="I472" s="47"/>
      <c r="J472" s="47"/>
      <c r="K472" s="47"/>
      <c r="L472" s="47"/>
      <c r="M472" s="47"/>
      <c r="N472" s="91"/>
      <c r="O472" s="47"/>
      <c r="P472" s="47"/>
      <c r="Q472" s="47"/>
      <c r="R472" s="47"/>
      <c r="S472" s="47"/>
      <c r="T472" s="47"/>
      <c r="U472" s="47"/>
      <c r="V472" s="47"/>
    </row>
    <row r="473" spans="1:22" x14ac:dyDescent="0.3">
      <c r="A473" s="47"/>
      <c r="B473" s="47"/>
      <c r="C473" s="47"/>
      <c r="D473" s="47"/>
      <c r="E473" s="47"/>
      <c r="F473" s="47"/>
      <c r="G473" s="47"/>
      <c r="H473" s="47"/>
      <c r="I473" s="47"/>
      <c r="J473" s="47"/>
      <c r="K473" s="47"/>
      <c r="L473" s="47"/>
      <c r="M473" s="47"/>
      <c r="N473" s="91"/>
      <c r="O473" s="47"/>
      <c r="P473" s="47"/>
      <c r="Q473" s="47"/>
      <c r="R473" s="47"/>
      <c r="S473" s="47"/>
      <c r="T473" s="47"/>
      <c r="U473" s="47"/>
      <c r="V473" s="47"/>
    </row>
    <row r="474" spans="1:22" x14ac:dyDescent="0.3">
      <c r="A474" s="47"/>
      <c r="B474" s="47"/>
      <c r="C474" s="47"/>
      <c r="D474" s="47"/>
      <c r="E474" s="47"/>
      <c r="F474" s="47"/>
      <c r="G474" s="47"/>
      <c r="H474" s="47"/>
      <c r="I474" s="47"/>
      <c r="J474" s="47"/>
      <c r="K474" s="47"/>
      <c r="L474" s="47"/>
      <c r="M474" s="47"/>
      <c r="N474" s="91"/>
      <c r="O474" s="47"/>
      <c r="P474" s="47"/>
      <c r="Q474" s="47"/>
      <c r="R474" s="47"/>
      <c r="S474" s="47"/>
      <c r="T474" s="47"/>
      <c r="U474" s="47"/>
      <c r="V474" s="47"/>
    </row>
    <row r="475" spans="1:22" x14ac:dyDescent="0.3">
      <c r="A475" s="47"/>
      <c r="B475" s="47"/>
      <c r="C475" s="47"/>
      <c r="D475" s="47"/>
      <c r="E475" s="47"/>
      <c r="F475" s="47"/>
      <c r="G475" s="47"/>
      <c r="H475" s="47"/>
      <c r="I475" s="47"/>
      <c r="J475" s="47"/>
      <c r="K475" s="47"/>
      <c r="L475" s="47"/>
      <c r="M475" s="47"/>
      <c r="N475" s="91"/>
      <c r="O475" s="47"/>
      <c r="P475" s="47"/>
      <c r="Q475" s="47"/>
      <c r="R475" s="47"/>
      <c r="S475" s="47"/>
      <c r="T475" s="47"/>
      <c r="U475" s="47"/>
      <c r="V475" s="47"/>
    </row>
    <row r="476" spans="1:22" x14ac:dyDescent="0.3">
      <c r="A476" s="47"/>
      <c r="B476" s="47"/>
      <c r="C476" s="47"/>
      <c r="D476" s="47"/>
      <c r="E476" s="47"/>
      <c r="F476" s="47"/>
      <c r="G476" s="47"/>
      <c r="H476" s="47"/>
      <c r="I476" s="47"/>
      <c r="J476" s="47"/>
      <c r="K476" s="47"/>
      <c r="L476" s="47"/>
      <c r="M476" s="47"/>
      <c r="N476" s="91"/>
      <c r="O476" s="47"/>
      <c r="P476" s="47"/>
      <c r="Q476" s="47"/>
      <c r="R476" s="47"/>
      <c r="S476" s="47"/>
      <c r="T476" s="47"/>
      <c r="U476" s="47"/>
      <c r="V476" s="47"/>
    </row>
    <row r="477" spans="1:22" x14ac:dyDescent="0.3">
      <c r="A477" s="47"/>
      <c r="B477" s="47"/>
      <c r="C477" s="47"/>
      <c r="D477" s="47"/>
      <c r="E477" s="47"/>
      <c r="F477" s="47"/>
      <c r="G477" s="47"/>
      <c r="H477" s="47"/>
      <c r="I477" s="47"/>
      <c r="J477" s="47"/>
      <c r="K477" s="47"/>
      <c r="L477" s="47"/>
      <c r="M477" s="47"/>
      <c r="N477" s="91"/>
      <c r="O477" s="47"/>
      <c r="P477" s="47"/>
      <c r="Q477" s="47"/>
      <c r="R477" s="47"/>
      <c r="S477" s="47"/>
      <c r="T477" s="47"/>
      <c r="U477" s="47"/>
      <c r="V477" s="47"/>
    </row>
    <row r="478" spans="1:22" x14ac:dyDescent="0.3">
      <c r="A478" s="47"/>
      <c r="B478" s="47"/>
      <c r="C478" s="47"/>
      <c r="D478" s="47"/>
      <c r="E478" s="47"/>
      <c r="F478" s="47"/>
      <c r="G478" s="47"/>
      <c r="H478" s="47"/>
      <c r="I478" s="47"/>
      <c r="J478" s="47"/>
      <c r="K478" s="47"/>
      <c r="L478" s="47"/>
      <c r="M478" s="47"/>
      <c r="N478" s="91"/>
      <c r="O478" s="47"/>
      <c r="P478" s="47"/>
      <c r="Q478" s="47"/>
      <c r="R478" s="47"/>
      <c r="S478" s="47"/>
      <c r="T478" s="47"/>
      <c r="U478" s="47"/>
      <c r="V478" s="47"/>
    </row>
    <row r="479" spans="1:22" x14ac:dyDescent="0.3">
      <c r="A479" s="47"/>
      <c r="B479" s="47"/>
      <c r="C479" s="47"/>
      <c r="D479" s="47"/>
      <c r="E479" s="47"/>
      <c r="F479" s="47"/>
      <c r="G479" s="47"/>
      <c r="H479" s="47"/>
      <c r="I479" s="47"/>
      <c r="J479" s="47"/>
      <c r="K479" s="47"/>
      <c r="L479" s="47"/>
      <c r="M479" s="47"/>
      <c r="N479" s="91"/>
      <c r="O479" s="47"/>
      <c r="P479" s="47"/>
      <c r="Q479" s="47"/>
      <c r="R479" s="47"/>
      <c r="S479" s="47"/>
      <c r="T479" s="47"/>
      <c r="U479" s="47"/>
      <c r="V479" s="47"/>
    </row>
    <row r="480" spans="1:22" x14ac:dyDescent="0.3">
      <c r="A480" s="47"/>
      <c r="B480" s="47"/>
      <c r="C480" s="47"/>
      <c r="D480" s="47"/>
      <c r="E480" s="47"/>
      <c r="F480" s="47"/>
      <c r="G480" s="47"/>
      <c r="H480" s="47"/>
      <c r="I480" s="47"/>
      <c r="J480" s="47"/>
      <c r="K480" s="47"/>
      <c r="L480" s="47"/>
      <c r="M480" s="47"/>
      <c r="N480" s="91"/>
      <c r="O480" s="47"/>
      <c r="P480" s="47"/>
      <c r="Q480" s="47"/>
      <c r="R480" s="47"/>
      <c r="S480" s="47"/>
      <c r="T480" s="47"/>
      <c r="U480" s="47"/>
      <c r="V480" s="47"/>
    </row>
    <row r="481" spans="1:22" x14ac:dyDescent="0.3">
      <c r="A481" s="47"/>
      <c r="B481" s="47"/>
      <c r="C481" s="47"/>
      <c r="D481" s="47"/>
      <c r="E481" s="47"/>
      <c r="F481" s="47"/>
      <c r="G481" s="47"/>
      <c r="H481" s="47"/>
      <c r="I481" s="47"/>
      <c r="J481" s="47"/>
      <c r="K481" s="47"/>
      <c r="L481" s="47"/>
      <c r="M481" s="47"/>
      <c r="N481" s="91"/>
      <c r="O481" s="47"/>
      <c r="P481" s="47"/>
      <c r="Q481" s="47"/>
      <c r="R481" s="47"/>
      <c r="S481" s="47"/>
      <c r="T481" s="47"/>
      <c r="U481" s="47"/>
      <c r="V481" s="47"/>
    </row>
    <row r="482" spans="1:22" x14ac:dyDescent="0.3">
      <c r="A482" s="47"/>
      <c r="B482" s="47"/>
      <c r="C482" s="47"/>
      <c r="D482" s="47"/>
      <c r="E482" s="47"/>
      <c r="F482" s="47"/>
      <c r="G482" s="47"/>
      <c r="H482" s="47"/>
      <c r="I482" s="47"/>
      <c r="J482" s="47"/>
      <c r="K482" s="47"/>
      <c r="L482" s="47"/>
      <c r="M482" s="47"/>
      <c r="N482" s="91"/>
      <c r="O482" s="47"/>
      <c r="P482" s="47"/>
      <c r="Q482" s="47"/>
      <c r="R482" s="47"/>
      <c r="S482" s="47"/>
      <c r="T482" s="47"/>
      <c r="U482" s="47"/>
      <c r="V482" s="47"/>
    </row>
    <row r="483" spans="1:22" x14ac:dyDescent="0.3">
      <c r="A483" s="47"/>
      <c r="B483" s="47"/>
      <c r="C483" s="47"/>
      <c r="D483" s="47"/>
      <c r="E483" s="47"/>
      <c r="F483" s="47"/>
      <c r="G483" s="47"/>
      <c r="H483" s="47"/>
      <c r="I483" s="47"/>
      <c r="J483" s="47"/>
      <c r="K483" s="47"/>
      <c r="L483" s="47"/>
      <c r="M483" s="47"/>
      <c r="N483" s="91"/>
      <c r="O483" s="47"/>
      <c r="P483" s="47"/>
      <c r="Q483" s="47"/>
      <c r="R483" s="47"/>
      <c r="S483" s="47"/>
      <c r="T483" s="47"/>
      <c r="U483" s="47"/>
      <c r="V483" s="47"/>
    </row>
    <row r="484" spans="1:22" x14ac:dyDescent="0.3">
      <c r="A484" s="47"/>
      <c r="B484" s="47"/>
      <c r="C484" s="47"/>
      <c r="D484" s="47"/>
      <c r="E484" s="47"/>
      <c r="F484" s="47"/>
      <c r="G484" s="47"/>
      <c r="H484" s="47"/>
      <c r="I484" s="47"/>
      <c r="J484" s="47"/>
      <c r="K484" s="47"/>
      <c r="L484" s="47"/>
      <c r="M484" s="47"/>
      <c r="N484" s="91"/>
      <c r="O484" s="47"/>
      <c r="P484" s="47"/>
      <c r="Q484" s="47"/>
      <c r="R484" s="47"/>
      <c r="S484" s="47"/>
      <c r="T484" s="47"/>
      <c r="U484" s="47"/>
      <c r="V484" s="47"/>
    </row>
    <row r="485" spans="1:22" x14ac:dyDescent="0.3">
      <c r="A485" s="47"/>
      <c r="B485" s="47"/>
      <c r="C485" s="47"/>
      <c r="D485" s="47"/>
      <c r="E485" s="47"/>
      <c r="F485" s="47"/>
      <c r="G485" s="47"/>
      <c r="H485" s="47"/>
      <c r="I485" s="47"/>
      <c r="J485" s="47"/>
      <c r="K485" s="47"/>
      <c r="L485" s="47"/>
      <c r="M485" s="47"/>
      <c r="N485" s="91"/>
      <c r="O485" s="47"/>
      <c r="P485" s="47"/>
      <c r="Q485" s="47"/>
      <c r="R485" s="47"/>
      <c r="S485" s="47"/>
      <c r="T485" s="47"/>
      <c r="U485" s="47"/>
      <c r="V485" s="47"/>
    </row>
    <row r="486" spans="1:22" x14ac:dyDescent="0.3">
      <c r="A486" s="47"/>
      <c r="B486" s="47"/>
      <c r="C486" s="47"/>
      <c r="D486" s="47"/>
      <c r="E486" s="47"/>
      <c r="F486" s="47"/>
      <c r="G486" s="47"/>
      <c r="H486" s="47"/>
      <c r="I486" s="47"/>
      <c r="J486" s="47"/>
      <c r="K486" s="47"/>
      <c r="L486" s="47"/>
      <c r="M486" s="47"/>
      <c r="N486" s="91"/>
      <c r="O486" s="47"/>
      <c r="P486" s="47"/>
      <c r="Q486" s="47"/>
      <c r="R486" s="47"/>
      <c r="S486" s="47"/>
      <c r="T486" s="47"/>
      <c r="U486" s="47"/>
      <c r="V486" s="47"/>
    </row>
    <row r="487" spans="1:22" x14ac:dyDescent="0.3">
      <c r="A487" s="47"/>
      <c r="B487" s="47"/>
      <c r="C487" s="47"/>
      <c r="D487" s="47"/>
      <c r="E487" s="47"/>
      <c r="F487" s="47"/>
      <c r="G487" s="47"/>
      <c r="H487" s="47"/>
      <c r="I487" s="47"/>
      <c r="J487" s="47"/>
      <c r="K487" s="47"/>
      <c r="L487" s="47"/>
      <c r="M487" s="47"/>
      <c r="N487" s="91"/>
      <c r="O487" s="47"/>
      <c r="P487" s="47"/>
      <c r="Q487" s="47"/>
      <c r="R487" s="47"/>
      <c r="S487" s="47"/>
      <c r="T487" s="47"/>
      <c r="U487" s="47"/>
      <c r="V487" s="47"/>
    </row>
    <row r="488" spans="1:22" x14ac:dyDescent="0.3">
      <c r="A488" s="47"/>
      <c r="B488" s="47"/>
      <c r="C488" s="47"/>
      <c r="D488" s="47"/>
      <c r="E488" s="47"/>
      <c r="F488" s="47"/>
      <c r="G488" s="47"/>
      <c r="H488" s="47"/>
      <c r="I488" s="47"/>
      <c r="J488" s="47"/>
      <c r="K488" s="47"/>
      <c r="L488" s="47"/>
      <c r="M488" s="47"/>
      <c r="N488" s="91"/>
      <c r="O488" s="47"/>
      <c r="P488" s="47"/>
      <c r="Q488" s="47"/>
      <c r="R488" s="47"/>
      <c r="S488" s="47"/>
      <c r="T488" s="47"/>
      <c r="U488" s="47"/>
      <c r="V488" s="47"/>
    </row>
    <row r="489" spans="1:22" x14ac:dyDescent="0.3">
      <c r="A489" s="47"/>
      <c r="B489" s="47"/>
      <c r="C489" s="47"/>
      <c r="D489" s="47"/>
      <c r="E489" s="47"/>
      <c r="F489" s="47"/>
      <c r="G489" s="47"/>
      <c r="H489" s="47"/>
      <c r="I489" s="47"/>
      <c r="J489" s="47"/>
      <c r="K489" s="47"/>
      <c r="L489" s="47"/>
      <c r="M489" s="47"/>
      <c r="N489" s="91"/>
      <c r="O489" s="47"/>
      <c r="P489" s="47"/>
      <c r="Q489" s="47"/>
      <c r="R489" s="47"/>
      <c r="S489" s="47"/>
      <c r="T489" s="47"/>
      <c r="U489" s="47"/>
      <c r="V489" s="47"/>
    </row>
    <row r="490" spans="1:22" x14ac:dyDescent="0.3">
      <c r="A490" s="47"/>
      <c r="B490" s="47"/>
      <c r="C490" s="47"/>
      <c r="D490" s="47"/>
      <c r="E490" s="47"/>
      <c r="F490" s="47"/>
      <c r="G490" s="47"/>
      <c r="H490" s="47"/>
      <c r="I490" s="47"/>
      <c r="J490" s="47"/>
      <c r="K490" s="47"/>
      <c r="L490" s="47"/>
      <c r="M490" s="47"/>
      <c r="N490" s="91"/>
      <c r="O490" s="47"/>
      <c r="P490" s="47"/>
      <c r="Q490" s="47"/>
      <c r="R490" s="47"/>
      <c r="S490" s="47"/>
      <c r="T490" s="47"/>
      <c r="U490" s="47"/>
      <c r="V490" s="47"/>
    </row>
    <row r="491" spans="1:22" x14ac:dyDescent="0.3">
      <c r="A491" s="47"/>
      <c r="B491" s="47"/>
      <c r="C491" s="47"/>
      <c r="D491" s="47"/>
      <c r="E491" s="47"/>
      <c r="F491" s="47"/>
      <c r="G491" s="47"/>
      <c r="H491" s="47"/>
      <c r="I491" s="47"/>
      <c r="J491" s="47"/>
      <c r="K491" s="47"/>
      <c r="L491" s="47"/>
      <c r="M491" s="47"/>
      <c r="N491" s="91"/>
      <c r="O491" s="47"/>
      <c r="P491" s="47"/>
      <c r="Q491" s="47"/>
      <c r="R491" s="47"/>
      <c r="S491" s="47"/>
      <c r="T491" s="47"/>
      <c r="U491" s="47"/>
      <c r="V491" s="47"/>
    </row>
    <row r="492" spans="1:22" x14ac:dyDescent="0.3">
      <c r="A492" s="47"/>
      <c r="B492" s="47"/>
      <c r="C492" s="47"/>
      <c r="D492" s="47"/>
      <c r="E492" s="47"/>
      <c r="F492" s="47"/>
      <c r="G492" s="47"/>
      <c r="H492" s="47"/>
      <c r="I492" s="47"/>
      <c r="J492" s="47"/>
      <c r="K492" s="47"/>
      <c r="L492" s="47"/>
      <c r="M492" s="47"/>
      <c r="N492" s="91"/>
      <c r="O492" s="47"/>
      <c r="P492" s="47"/>
      <c r="Q492" s="47"/>
      <c r="R492" s="47"/>
      <c r="S492" s="47"/>
      <c r="T492" s="47"/>
      <c r="U492" s="47"/>
      <c r="V492" s="47"/>
    </row>
    <row r="493" spans="1:22" x14ac:dyDescent="0.3">
      <c r="A493" s="47"/>
      <c r="B493" s="47"/>
      <c r="C493" s="47"/>
      <c r="D493" s="47"/>
      <c r="E493" s="47"/>
      <c r="F493" s="47"/>
      <c r="G493" s="47"/>
      <c r="H493" s="47"/>
      <c r="I493" s="47"/>
      <c r="J493" s="47"/>
      <c r="K493" s="47"/>
      <c r="L493" s="47"/>
      <c r="M493" s="47"/>
      <c r="N493" s="91"/>
      <c r="O493" s="47"/>
      <c r="P493" s="47"/>
      <c r="Q493" s="47"/>
      <c r="R493" s="47"/>
      <c r="S493" s="47"/>
      <c r="T493" s="47"/>
      <c r="U493" s="47"/>
      <c r="V493" s="47"/>
    </row>
    <row r="494" spans="1:22" x14ac:dyDescent="0.3">
      <c r="A494" s="47"/>
      <c r="B494" s="47"/>
      <c r="C494" s="47"/>
      <c r="D494" s="47"/>
      <c r="E494" s="47"/>
      <c r="F494" s="47"/>
      <c r="G494" s="47"/>
      <c r="H494" s="47"/>
      <c r="I494" s="47"/>
      <c r="J494" s="47"/>
      <c r="K494" s="47"/>
      <c r="L494" s="47"/>
      <c r="M494" s="47"/>
      <c r="N494" s="91"/>
      <c r="O494" s="47"/>
      <c r="P494" s="47"/>
      <c r="Q494" s="47"/>
      <c r="R494" s="47"/>
      <c r="S494" s="47"/>
      <c r="T494" s="47"/>
      <c r="U494" s="47"/>
      <c r="V494" s="47"/>
    </row>
    <row r="495" spans="1:22" x14ac:dyDescent="0.3">
      <c r="A495" s="47"/>
      <c r="B495" s="47"/>
      <c r="C495" s="47"/>
      <c r="D495" s="47"/>
      <c r="E495" s="47"/>
      <c r="F495" s="47"/>
      <c r="G495" s="47"/>
      <c r="H495" s="47"/>
      <c r="I495" s="47"/>
      <c r="J495" s="47"/>
      <c r="K495" s="47"/>
      <c r="L495" s="47"/>
      <c r="M495" s="47"/>
      <c r="N495" s="91"/>
      <c r="O495" s="47"/>
      <c r="P495" s="47"/>
      <c r="Q495" s="47"/>
      <c r="R495" s="47"/>
      <c r="S495" s="47"/>
      <c r="T495" s="47"/>
      <c r="U495" s="47"/>
      <c r="V495" s="47"/>
    </row>
    <row r="496" spans="1:22" x14ac:dyDescent="0.3">
      <c r="A496" s="47"/>
      <c r="B496" s="47"/>
      <c r="C496" s="47"/>
      <c r="D496" s="47"/>
      <c r="E496" s="47"/>
      <c r="F496" s="47"/>
      <c r="G496" s="47"/>
      <c r="H496" s="47"/>
      <c r="I496" s="47"/>
      <c r="J496" s="47"/>
      <c r="K496" s="47"/>
      <c r="L496" s="47"/>
      <c r="M496" s="47"/>
      <c r="N496" s="91"/>
      <c r="O496" s="47"/>
      <c r="P496" s="47"/>
      <c r="Q496" s="47"/>
      <c r="R496" s="47"/>
      <c r="S496" s="47"/>
      <c r="T496" s="47"/>
      <c r="U496" s="47"/>
      <c r="V496" s="47"/>
    </row>
    <row r="497" spans="1:22" x14ac:dyDescent="0.3">
      <c r="A497" s="47"/>
      <c r="B497" s="47"/>
      <c r="C497" s="47"/>
      <c r="D497" s="47"/>
      <c r="E497" s="47"/>
      <c r="F497" s="47"/>
      <c r="G497" s="47"/>
      <c r="H497" s="47"/>
      <c r="I497" s="47"/>
      <c r="J497" s="47"/>
      <c r="K497" s="47"/>
      <c r="L497" s="47"/>
      <c r="M497" s="47"/>
      <c r="N497" s="91"/>
      <c r="O497" s="47"/>
      <c r="P497" s="47"/>
      <c r="Q497" s="47"/>
      <c r="R497" s="47"/>
      <c r="S497" s="47"/>
      <c r="T497" s="47"/>
      <c r="U497" s="47"/>
      <c r="V497" s="47"/>
    </row>
    <row r="498" spans="1:22" x14ac:dyDescent="0.3">
      <c r="A498" s="47"/>
      <c r="B498" s="47"/>
      <c r="C498" s="47"/>
      <c r="D498" s="47"/>
      <c r="E498" s="47"/>
      <c r="F498" s="47"/>
      <c r="G498" s="47"/>
      <c r="H498" s="47"/>
      <c r="I498" s="47"/>
      <c r="J498" s="47"/>
      <c r="K498" s="47"/>
      <c r="L498" s="47"/>
      <c r="M498" s="47"/>
      <c r="N498" s="91"/>
      <c r="O498" s="47"/>
      <c r="P498" s="47"/>
      <c r="Q498" s="47"/>
      <c r="R498" s="47"/>
      <c r="S498" s="47"/>
      <c r="T498" s="47"/>
      <c r="U498" s="47"/>
      <c r="V498" s="47"/>
    </row>
    <row r="499" spans="1:22" x14ac:dyDescent="0.3">
      <c r="A499" s="47"/>
      <c r="B499" s="47"/>
      <c r="C499" s="47"/>
      <c r="D499" s="47"/>
      <c r="E499" s="47"/>
      <c r="F499" s="47"/>
      <c r="G499" s="47"/>
      <c r="H499" s="47"/>
      <c r="I499" s="47"/>
      <c r="J499" s="47"/>
      <c r="K499" s="47"/>
      <c r="L499" s="47"/>
      <c r="M499" s="47"/>
      <c r="N499" s="91"/>
      <c r="O499" s="47"/>
      <c r="P499" s="47"/>
      <c r="Q499" s="47"/>
      <c r="R499" s="47"/>
      <c r="S499" s="47"/>
      <c r="T499" s="47"/>
      <c r="U499" s="47"/>
      <c r="V499" s="47"/>
    </row>
    <row r="500" spans="1:22" x14ac:dyDescent="0.3">
      <c r="A500" s="47"/>
      <c r="B500" s="47"/>
      <c r="C500" s="47"/>
      <c r="D500" s="47"/>
      <c r="E500" s="47"/>
      <c r="F500" s="47"/>
      <c r="G500" s="47"/>
      <c r="H500" s="47"/>
      <c r="I500" s="47"/>
      <c r="J500" s="47"/>
      <c r="K500" s="47"/>
      <c r="L500" s="47"/>
      <c r="M500" s="47"/>
      <c r="N500" s="91"/>
      <c r="O500" s="47"/>
      <c r="P500" s="47"/>
      <c r="Q500" s="47"/>
      <c r="R500" s="47"/>
      <c r="S500" s="47"/>
      <c r="T500" s="47"/>
      <c r="U500" s="47"/>
      <c r="V500" s="47"/>
    </row>
    <row r="501" spans="1:22" x14ac:dyDescent="0.3">
      <c r="A501" s="47"/>
      <c r="B501" s="47"/>
      <c r="C501" s="47"/>
      <c r="D501" s="47"/>
      <c r="E501" s="47"/>
      <c r="F501" s="47"/>
      <c r="G501" s="47"/>
      <c r="H501" s="47"/>
      <c r="I501" s="47"/>
      <c r="J501" s="47"/>
      <c r="K501" s="47"/>
      <c r="L501" s="47"/>
      <c r="M501" s="47"/>
      <c r="N501" s="91"/>
      <c r="O501" s="47"/>
      <c r="P501" s="47"/>
      <c r="Q501" s="47"/>
      <c r="R501" s="47"/>
      <c r="S501" s="47"/>
      <c r="T501" s="47"/>
      <c r="U501" s="47"/>
      <c r="V501" s="47"/>
    </row>
    <row r="502" spans="1:22" x14ac:dyDescent="0.3">
      <c r="A502" s="47"/>
      <c r="B502" s="47"/>
      <c r="C502" s="47"/>
      <c r="D502" s="47"/>
      <c r="E502" s="47"/>
      <c r="F502" s="47"/>
      <c r="G502" s="47"/>
      <c r="H502" s="47"/>
      <c r="I502" s="47"/>
      <c r="J502" s="47"/>
      <c r="K502" s="47"/>
      <c r="L502" s="47"/>
      <c r="M502" s="47"/>
      <c r="N502" s="91"/>
      <c r="O502" s="47"/>
      <c r="P502" s="47"/>
      <c r="Q502" s="47"/>
      <c r="R502" s="47"/>
      <c r="S502" s="47"/>
      <c r="T502" s="47"/>
      <c r="U502" s="47"/>
      <c r="V502" s="47"/>
    </row>
    <row r="503" spans="1:22" x14ac:dyDescent="0.3">
      <c r="A503" s="47"/>
      <c r="B503" s="47"/>
      <c r="C503" s="47"/>
      <c r="D503" s="47"/>
      <c r="E503" s="47"/>
      <c r="F503" s="47"/>
      <c r="G503" s="47"/>
      <c r="H503" s="47"/>
      <c r="I503" s="47"/>
      <c r="J503" s="47"/>
      <c r="K503" s="47"/>
      <c r="L503" s="47"/>
      <c r="M503" s="47"/>
      <c r="N503" s="91"/>
      <c r="O503" s="47"/>
      <c r="P503" s="47"/>
      <c r="Q503" s="47"/>
      <c r="R503" s="47"/>
      <c r="S503" s="47"/>
      <c r="T503" s="47"/>
      <c r="U503" s="47"/>
      <c r="V503" s="47"/>
    </row>
    <row r="504" spans="1:22" x14ac:dyDescent="0.3">
      <c r="A504" s="47"/>
      <c r="B504" s="47"/>
      <c r="C504" s="47"/>
      <c r="D504" s="47"/>
      <c r="E504" s="47"/>
      <c r="F504" s="47"/>
      <c r="G504" s="47"/>
      <c r="H504" s="47"/>
      <c r="I504" s="47"/>
      <c r="J504" s="47"/>
      <c r="K504" s="47"/>
      <c r="L504" s="47"/>
      <c r="M504" s="47"/>
      <c r="N504" s="91"/>
      <c r="O504" s="47"/>
      <c r="P504" s="47"/>
      <c r="Q504" s="47"/>
      <c r="R504" s="47"/>
      <c r="S504" s="47"/>
      <c r="T504" s="47"/>
      <c r="U504" s="47"/>
      <c r="V504" s="47"/>
    </row>
    <row r="505" spans="1:22" x14ac:dyDescent="0.3">
      <c r="A505" s="47"/>
      <c r="B505" s="47"/>
      <c r="C505" s="47"/>
      <c r="D505" s="47"/>
      <c r="E505" s="47"/>
      <c r="F505" s="47"/>
      <c r="G505" s="47"/>
      <c r="H505" s="47"/>
      <c r="I505" s="47"/>
      <c r="J505" s="47"/>
      <c r="K505" s="47"/>
      <c r="L505" s="47"/>
      <c r="M505" s="47"/>
      <c r="N505" s="91"/>
      <c r="O505" s="47"/>
      <c r="P505" s="47"/>
      <c r="Q505" s="47"/>
      <c r="R505" s="47"/>
      <c r="S505" s="47"/>
      <c r="T505" s="47"/>
      <c r="U505" s="47"/>
      <c r="V505" s="47"/>
    </row>
    <row r="506" spans="1:22" x14ac:dyDescent="0.3">
      <c r="A506" s="47"/>
      <c r="B506" s="47"/>
      <c r="C506" s="47"/>
      <c r="D506" s="47"/>
      <c r="E506" s="47"/>
      <c r="F506" s="47"/>
      <c r="G506" s="47"/>
      <c r="H506" s="47"/>
      <c r="I506" s="47"/>
      <c r="J506" s="47"/>
      <c r="K506" s="47"/>
      <c r="L506" s="47"/>
      <c r="M506" s="47"/>
      <c r="N506" s="91"/>
      <c r="O506" s="47"/>
      <c r="P506" s="47"/>
      <c r="Q506" s="47"/>
      <c r="R506" s="47"/>
      <c r="S506" s="47"/>
      <c r="T506" s="47"/>
      <c r="U506" s="47"/>
      <c r="V506" s="47"/>
    </row>
    <row r="507" spans="1:22" x14ac:dyDescent="0.3">
      <c r="A507" s="47"/>
      <c r="B507" s="47"/>
      <c r="C507" s="47"/>
      <c r="D507" s="47"/>
      <c r="E507" s="47"/>
      <c r="F507" s="47"/>
      <c r="G507" s="47"/>
      <c r="H507" s="47"/>
      <c r="I507" s="47"/>
      <c r="J507" s="47"/>
      <c r="K507" s="47"/>
      <c r="L507" s="47"/>
      <c r="M507" s="47"/>
      <c r="N507" s="91"/>
      <c r="O507" s="47"/>
      <c r="P507" s="47"/>
      <c r="Q507" s="47"/>
      <c r="R507" s="47"/>
      <c r="S507" s="47"/>
      <c r="T507" s="47"/>
      <c r="U507" s="47"/>
      <c r="V507" s="47"/>
    </row>
    <row r="508" spans="1:22" x14ac:dyDescent="0.3">
      <c r="A508" s="47"/>
      <c r="B508" s="47"/>
      <c r="C508" s="47"/>
      <c r="D508" s="47"/>
      <c r="E508" s="47"/>
      <c r="F508" s="47"/>
      <c r="G508" s="47"/>
      <c r="H508" s="47"/>
      <c r="I508" s="47"/>
      <c r="J508" s="47"/>
      <c r="K508" s="47"/>
      <c r="L508" s="47"/>
      <c r="M508" s="47"/>
      <c r="N508" s="91"/>
      <c r="O508" s="47"/>
      <c r="P508" s="47"/>
      <c r="Q508" s="47"/>
      <c r="R508" s="47"/>
      <c r="S508" s="47"/>
      <c r="T508" s="47"/>
      <c r="U508" s="47"/>
      <c r="V508" s="47"/>
    </row>
    <row r="509" spans="1:22" x14ac:dyDescent="0.3">
      <c r="A509" s="47"/>
      <c r="B509" s="47"/>
      <c r="C509" s="47"/>
      <c r="D509" s="47"/>
      <c r="E509" s="47"/>
      <c r="F509" s="47"/>
      <c r="G509" s="47"/>
      <c r="H509" s="47"/>
      <c r="I509" s="47"/>
      <c r="J509" s="47"/>
      <c r="K509" s="47"/>
      <c r="L509" s="47"/>
      <c r="M509" s="47"/>
      <c r="N509" s="91"/>
      <c r="O509" s="47"/>
      <c r="P509" s="47"/>
      <c r="Q509" s="47"/>
      <c r="R509" s="47"/>
      <c r="S509" s="47"/>
      <c r="T509" s="47"/>
      <c r="U509" s="47"/>
      <c r="V509" s="47"/>
    </row>
    <row r="510" spans="1:22" x14ac:dyDescent="0.3">
      <c r="A510" s="47"/>
      <c r="B510" s="47"/>
      <c r="C510" s="47"/>
      <c r="D510" s="47"/>
      <c r="E510" s="47"/>
      <c r="F510" s="47"/>
      <c r="G510" s="47"/>
      <c r="H510" s="47"/>
      <c r="I510" s="47"/>
      <c r="J510" s="47"/>
      <c r="K510" s="47"/>
      <c r="L510" s="47"/>
      <c r="M510" s="47"/>
      <c r="N510" s="91"/>
      <c r="O510" s="47"/>
      <c r="P510" s="47"/>
      <c r="Q510" s="47"/>
      <c r="R510" s="47"/>
      <c r="S510" s="47"/>
      <c r="T510" s="47"/>
      <c r="U510" s="47"/>
      <c r="V510" s="47"/>
    </row>
    <row r="511" spans="1:22" x14ac:dyDescent="0.3">
      <c r="A511" s="47"/>
      <c r="B511" s="47"/>
      <c r="C511" s="47"/>
      <c r="D511" s="47"/>
      <c r="E511" s="47"/>
      <c r="F511" s="47"/>
      <c r="G511" s="47"/>
      <c r="H511" s="47"/>
      <c r="I511" s="47"/>
      <c r="J511" s="47"/>
      <c r="K511" s="47"/>
      <c r="L511" s="47"/>
      <c r="M511" s="47"/>
      <c r="N511" s="91"/>
      <c r="O511" s="47"/>
      <c r="P511" s="47"/>
      <c r="Q511" s="47"/>
      <c r="R511" s="47"/>
      <c r="S511" s="47"/>
      <c r="T511" s="47"/>
      <c r="U511" s="47"/>
      <c r="V511" s="47"/>
    </row>
    <row r="512" spans="1:22" x14ac:dyDescent="0.3">
      <c r="A512" s="47"/>
      <c r="B512" s="47"/>
      <c r="C512" s="47"/>
      <c r="D512" s="47"/>
      <c r="E512" s="47"/>
      <c r="F512" s="47"/>
      <c r="G512" s="47"/>
      <c r="H512" s="47"/>
      <c r="I512" s="47"/>
      <c r="J512" s="47"/>
      <c r="K512" s="47"/>
      <c r="L512" s="47"/>
      <c r="M512" s="47"/>
      <c r="N512" s="91"/>
      <c r="O512" s="47"/>
      <c r="P512" s="47"/>
      <c r="Q512" s="47"/>
      <c r="R512" s="47"/>
      <c r="S512" s="47"/>
      <c r="T512" s="47"/>
      <c r="U512" s="47"/>
      <c r="V512" s="47"/>
    </row>
    <row r="513" spans="1:22" x14ac:dyDescent="0.3">
      <c r="A513" s="47"/>
      <c r="B513" s="47"/>
      <c r="C513" s="47"/>
      <c r="D513" s="47"/>
      <c r="E513" s="47"/>
      <c r="F513" s="47"/>
      <c r="G513" s="47"/>
      <c r="H513" s="47"/>
      <c r="I513" s="47"/>
      <c r="J513" s="47"/>
      <c r="K513" s="47"/>
      <c r="L513" s="47"/>
      <c r="M513" s="47"/>
      <c r="N513" s="91"/>
      <c r="O513" s="47"/>
      <c r="P513" s="47"/>
      <c r="Q513" s="47"/>
      <c r="R513" s="47"/>
      <c r="S513" s="47"/>
      <c r="T513" s="47"/>
      <c r="U513" s="47"/>
      <c r="V513" s="47"/>
    </row>
    <row r="514" spans="1:22" x14ac:dyDescent="0.3">
      <c r="A514" s="47"/>
      <c r="B514" s="47"/>
      <c r="C514" s="47"/>
      <c r="D514" s="47"/>
      <c r="E514" s="47"/>
      <c r="F514" s="47"/>
      <c r="G514" s="47"/>
      <c r="H514" s="47"/>
      <c r="I514" s="47"/>
      <c r="J514" s="47"/>
      <c r="K514" s="47"/>
      <c r="L514" s="47"/>
      <c r="M514" s="47"/>
      <c r="N514" s="91"/>
      <c r="O514" s="47"/>
      <c r="P514" s="47"/>
      <c r="Q514" s="47"/>
      <c r="R514" s="47"/>
      <c r="S514" s="47"/>
      <c r="T514" s="47"/>
      <c r="U514" s="47"/>
      <c r="V514" s="47"/>
    </row>
    <row r="515" spans="1:22" x14ac:dyDescent="0.3">
      <c r="A515" s="47"/>
      <c r="B515" s="47"/>
      <c r="C515" s="47"/>
      <c r="D515" s="47"/>
      <c r="E515" s="47"/>
      <c r="F515" s="47"/>
      <c r="G515" s="47"/>
      <c r="H515" s="47"/>
      <c r="I515" s="47"/>
      <c r="J515" s="47"/>
      <c r="K515" s="47"/>
      <c r="L515" s="47"/>
      <c r="M515" s="47"/>
      <c r="N515" s="91"/>
      <c r="O515" s="47"/>
      <c r="P515" s="47"/>
      <c r="Q515" s="47"/>
      <c r="R515" s="47"/>
      <c r="S515" s="47"/>
      <c r="T515" s="47"/>
      <c r="U515" s="47"/>
      <c r="V515" s="47"/>
    </row>
    <row r="516" spans="1:22" x14ac:dyDescent="0.3">
      <c r="A516" s="47"/>
      <c r="B516" s="47"/>
      <c r="C516" s="47"/>
      <c r="D516" s="47"/>
      <c r="E516" s="47"/>
      <c r="F516" s="47"/>
      <c r="G516" s="47"/>
      <c r="H516" s="47"/>
      <c r="I516" s="47"/>
      <c r="J516" s="47"/>
      <c r="K516" s="47"/>
      <c r="L516" s="47"/>
      <c r="M516" s="47"/>
      <c r="N516" s="91"/>
      <c r="O516" s="47"/>
      <c r="P516" s="47"/>
      <c r="Q516" s="47"/>
      <c r="R516" s="47"/>
      <c r="S516" s="47"/>
      <c r="T516" s="47"/>
      <c r="U516" s="47"/>
      <c r="V516" s="47"/>
    </row>
    <row r="517" spans="1:22" x14ac:dyDescent="0.3">
      <c r="A517" s="47"/>
      <c r="B517" s="47"/>
      <c r="C517" s="47"/>
      <c r="D517" s="47"/>
      <c r="E517" s="47"/>
      <c r="F517" s="47"/>
      <c r="G517" s="47"/>
      <c r="H517" s="47"/>
      <c r="I517" s="47"/>
      <c r="J517" s="47"/>
      <c r="K517" s="47"/>
      <c r="L517" s="47"/>
      <c r="M517" s="47"/>
      <c r="N517" s="91"/>
      <c r="O517" s="47"/>
      <c r="P517" s="47"/>
      <c r="Q517" s="47"/>
      <c r="R517" s="47"/>
      <c r="S517" s="47"/>
      <c r="T517" s="47"/>
      <c r="U517" s="47"/>
      <c r="V517" s="47"/>
    </row>
    <row r="518" spans="1:22" x14ac:dyDescent="0.3">
      <c r="A518" s="47"/>
      <c r="B518" s="47"/>
      <c r="C518" s="47"/>
      <c r="D518" s="47"/>
      <c r="E518" s="47"/>
      <c r="F518" s="47"/>
      <c r="G518" s="47"/>
      <c r="H518" s="47"/>
      <c r="I518" s="47"/>
      <c r="J518" s="47"/>
      <c r="K518" s="47"/>
      <c r="L518" s="47"/>
      <c r="M518" s="47"/>
      <c r="N518" s="91"/>
      <c r="O518" s="47"/>
      <c r="P518" s="47"/>
      <c r="Q518" s="47"/>
      <c r="R518" s="47"/>
      <c r="S518" s="47"/>
      <c r="T518" s="47"/>
      <c r="U518" s="47"/>
      <c r="V518" s="47"/>
    </row>
    <row r="519" spans="1:22" x14ac:dyDescent="0.3">
      <c r="A519" s="47"/>
      <c r="B519" s="47"/>
      <c r="C519" s="47"/>
      <c r="D519" s="47"/>
      <c r="E519" s="47"/>
      <c r="F519" s="47"/>
      <c r="G519" s="47"/>
      <c r="H519" s="47"/>
      <c r="I519" s="47"/>
      <c r="J519" s="47"/>
      <c r="K519" s="47"/>
      <c r="L519" s="47"/>
      <c r="M519" s="47"/>
      <c r="N519" s="91"/>
      <c r="O519" s="47"/>
      <c r="P519" s="47"/>
      <c r="Q519" s="47"/>
      <c r="R519" s="47"/>
      <c r="S519" s="47"/>
      <c r="T519" s="47"/>
      <c r="U519" s="47"/>
      <c r="V519" s="47"/>
    </row>
    <row r="520" spans="1:22" x14ac:dyDescent="0.3">
      <c r="A520" s="47"/>
      <c r="B520" s="47"/>
      <c r="C520" s="47"/>
      <c r="D520" s="47"/>
      <c r="E520" s="47"/>
      <c r="F520" s="47"/>
      <c r="G520" s="47"/>
      <c r="H520" s="47"/>
      <c r="I520" s="47"/>
      <c r="J520" s="47"/>
      <c r="K520" s="47"/>
      <c r="L520" s="47"/>
      <c r="M520" s="47"/>
      <c r="N520" s="91"/>
      <c r="O520" s="47"/>
      <c r="P520" s="47"/>
      <c r="Q520" s="47"/>
      <c r="R520" s="47"/>
      <c r="S520" s="47"/>
      <c r="T520" s="47"/>
      <c r="U520" s="47"/>
      <c r="V520" s="47"/>
    </row>
    <row r="521" spans="1:22" x14ac:dyDescent="0.3">
      <c r="A521" s="47"/>
      <c r="B521" s="47"/>
      <c r="C521" s="47"/>
      <c r="D521" s="47"/>
      <c r="E521" s="47"/>
      <c r="F521" s="47"/>
      <c r="G521" s="47"/>
      <c r="H521" s="47"/>
      <c r="I521" s="47"/>
      <c r="J521" s="47"/>
      <c r="K521" s="47"/>
      <c r="L521" s="47"/>
      <c r="M521" s="47"/>
      <c r="N521" s="91"/>
      <c r="O521" s="47"/>
      <c r="P521" s="47"/>
      <c r="Q521" s="47"/>
      <c r="R521" s="47"/>
      <c r="S521" s="47"/>
      <c r="T521" s="47"/>
      <c r="U521" s="47"/>
      <c r="V521" s="47"/>
    </row>
    <row r="522" spans="1:22" x14ac:dyDescent="0.3">
      <c r="A522" s="47"/>
      <c r="B522" s="47"/>
      <c r="C522" s="47"/>
      <c r="D522" s="47"/>
      <c r="E522" s="47"/>
      <c r="F522" s="47"/>
      <c r="G522" s="47"/>
      <c r="H522" s="47"/>
      <c r="I522" s="47"/>
      <c r="J522" s="47"/>
      <c r="K522" s="47"/>
      <c r="L522" s="47"/>
      <c r="M522" s="47"/>
      <c r="N522" s="91"/>
      <c r="O522" s="47"/>
      <c r="P522" s="47"/>
      <c r="Q522" s="47"/>
      <c r="R522" s="47"/>
      <c r="S522" s="47"/>
      <c r="T522" s="47"/>
      <c r="U522" s="47"/>
      <c r="V522" s="47"/>
    </row>
    <row r="523" spans="1:22" x14ac:dyDescent="0.3">
      <c r="A523" s="47"/>
      <c r="B523" s="47"/>
      <c r="C523" s="47"/>
      <c r="D523" s="47"/>
      <c r="E523" s="47"/>
      <c r="F523" s="47"/>
      <c r="G523" s="47"/>
      <c r="H523" s="47"/>
      <c r="I523" s="47"/>
      <c r="J523" s="47"/>
      <c r="K523" s="47"/>
      <c r="L523" s="47"/>
      <c r="M523" s="47"/>
      <c r="N523" s="91"/>
      <c r="O523" s="47"/>
      <c r="P523" s="47"/>
      <c r="Q523" s="47"/>
      <c r="R523" s="47"/>
      <c r="S523" s="47"/>
      <c r="T523" s="47"/>
      <c r="U523" s="47"/>
      <c r="V523" s="47"/>
    </row>
    <row r="524" spans="1:22" x14ac:dyDescent="0.3">
      <c r="A524" s="47"/>
      <c r="B524" s="47"/>
      <c r="C524" s="47"/>
      <c r="D524" s="47"/>
      <c r="E524" s="47"/>
      <c r="F524" s="47"/>
      <c r="G524" s="47"/>
      <c r="H524" s="47"/>
      <c r="I524" s="47"/>
      <c r="J524" s="47"/>
      <c r="K524" s="47"/>
      <c r="L524" s="47"/>
      <c r="M524" s="47"/>
      <c r="N524" s="91"/>
      <c r="O524" s="47"/>
      <c r="P524" s="47"/>
      <c r="Q524" s="47"/>
      <c r="R524" s="47"/>
      <c r="S524" s="47"/>
      <c r="T524" s="47"/>
      <c r="U524" s="47"/>
      <c r="V524" s="47"/>
    </row>
    <row r="525" spans="1:22" x14ac:dyDescent="0.3">
      <c r="A525" s="47"/>
      <c r="B525" s="47"/>
      <c r="C525" s="47"/>
      <c r="D525" s="47"/>
      <c r="E525" s="47"/>
      <c r="F525" s="47"/>
      <c r="G525" s="47"/>
      <c r="H525" s="47"/>
      <c r="I525" s="47"/>
      <c r="J525" s="47"/>
      <c r="K525" s="47"/>
      <c r="L525" s="47"/>
      <c r="M525" s="47"/>
      <c r="N525" s="91"/>
      <c r="O525" s="47"/>
      <c r="P525" s="47"/>
      <c r="Q525" s="47"/>
      <c r="R525" s="47"/>
      <c r="S525" s="47"/>
      <c r="T525" s="47"/>
      <c r="U525" s="47"/>
      <c r="V525" s="47"/>
    </row>
    <row r="526" spans="1:22" x14ac:dyDescent="0.3">
      <c r="A526" s="47"/>
      <c r="B526" s="47"/>
      <c r="C526" s="47"/>
      <c r="D526" s="47"/>
      <c r="E526" s="47"/>
      <c r="F526" s="47"/>
      <c r="G526" s="47"/>
      <c r="H526" s="47"/>
      <c r="I526" s="47"/>
      <c r="J526" s="47"/>
      <c r="K526" s="47"/>
      <c r="L526" s="47"/>
      <c r="M526" s="47"/>
      <c r="N526" s="91"/>
      <c r="O526" s="47"/>
      <c r="P526" s="47"/>
      <c r="Q526" s="47"/>
      <c r="R526" s="47"/>
      <c r="S526" s="47"/>
      <c r="T526" s="47"/>
      <c r="U526" s="47"/>
      <c r="V526" s="47"/>
    </row>
    <row r="527" spans="1:22" x14ac:dyDescent="0.3">
      <c r="A527" s="47"/>
      <c r="B527" s="47"/>
      <c r="C527" s="47"/>
      <c r="D527" s="47"/>
      <c r="E527" s="47"/>
      <c r="F527" s="47"/>
      <c r="G527" s="47"/>
      <c r="H527" s="47"/>
      <c r="I527" s="47"/>
      <c r="J527" s="47"/>
      <c r="K527" s="47"/>
      <c r="L527" s="47"/>
      <c r="M527" s="47"/>
      <c r="N527" s="91"/>
      <c r="O527" s="47"/>
      <c r="P527" s="47"/>
      <c r="Q527" s="47"/>
      <c r="R527" s="47"/>
      <c r="S527" s="47"/>
      <c r="T527" s="47"/>
      <c r="U527" s="47"/>
      <c r="V527" s="47"/>
    </row>
    <row r="528" spans="1:22" x14ac:dyDescent="0.3">
      <c r="A528" s="47"/>
      <c r="B528" s="47"/>
      <c r="C528" s="47"/>
      <c r="D528" s="47"/>
      <c r="E528" s="47"/>
      <c r="F528" s="47"/>
      <c r="G528" s="47"/>
      <c r="H528" s="47"/>
      <c r="I528" s="47"/>
      <c r="J528" s="47"/>
      <c r="K528" s="47"/>
      <c r="L528" s="47"/>
      <c r="M528" s="47"/>
      <c r="N528" s="91"/>
      <c r="O528" s="47"/>
      <c r="P528" s="47"/>
      <c r="Q528" s="47"/>
      <c r="R528" s="47"/>
      <c r="S528" s="47"/>
      <c r="T528" s="47"/>
      <c r="U528" s="47"/>
      <c r="V528" s="47"/>
    </row>
    <row r="529" spans="1:22" x14ac:dyDescent="0.3">
      <c r="A529" s="47"/>
      <c r="B529" s="47"/>
      <c r="C529" s="47"/>
      <c r="D529" s="47"/>
      <c r="E529" s="47"/>
      <c r="F529" s="47"/>
      <c r="G529" s="47"/>
      <c r="H529" s="47"/>
      <c r="I529" s="47"/>
      <c r="J529" s="47"/>
      <c r="K529" s="47"/>
      <c r="L529" s="47"/>
      <c r="M529" s="47"/>
      <c r="N529" s="91"/>
      <c r="O529" s="47"/>
      <c r="P529" s="47"/>
      <c r="Q529" s="47"/>
      <c r="R529" s="47"/>
      <c r="S529" s="47"/>
      <c r="T529" s="47"/>
      <c r="U529" s="47"/>
      <c r="V529" s="47"/>
    </row>
    <row r="530" spans="1:22" x14ac:dyDescent="0.3">
      <c r="A530" s="47"/>
      <c r="B530" s="47"/>
      <c r="C530" s="47"/>
      <c r="D530" s="47"/>
      <c r="E530" s="47"/>
      <c r="F530" s="47"/>
      <c r="G530" s="47"/>
      <c r="H530" s="47"/>
      <c r="I530" s="47"/>
      <c r="J530" s="47"/>
      <c r="K530" s="47"/>
      <c r="L530" s="47"/>
      <c r="M530" s="47"/>
      <c r="N530" s="91"/>
      <c r="O530" s="47"/>
      <c r="P530" s="47"/>
      <c r="Q530" s="47"/>
      <c r="R530" s="47"/>
      <c r="S530" s="47"/>
      <c r="T530" s="47"/>
      <c r="U530" s="47"/>
      <c r="V530" s="47"/>
    </row>
    <row r="531" spans="1:22" x14ac:dyDescent="0.3">
      <c r="A531" s="47"/>
      <c r="B531" s="47"/>
      <c r="C531" s="47"/>
      <c r="D531" s="47"/>
      <c r="E531" s="47"/>
      <c r="F531" s="47"/>
      <c r="G531" s="47"/>
      <c r="H531" s="47"/>
      <c r="I531" s="47"/>
      <c r="J531" s="47"/>
      <c r="K531" s="47"/>
      <c r="L531" s="47"/>
      <c r="M531" s="47"/>
      <c r="N531" s="91"/>
      <c r="O531" s="47"/>
      <c r="P531" s="47"/>
      <c r="Q531" s="47"/>
      <c r="R531" s="47"/>
      <c r="S531" s="47"/>
      <c r="T531" s="47"/>
      <c r="U531" s="47"/>
      <c r="V531" s="47"/>
    </row>
    <row r="532" spans="1:22" x14ac:dyDescent="0.3">
      <c r="A532" s="47"/>
      <c r="B532" s="47"/>
      <c r="C532" s="47"/>
      <c r="D532" s="47"/>
      <c r="E532" s="47"/>
      <c r="F532" s="47"/>
      <c r="G532" s="47"/>
      <c r="H532" s="47"/>
      <c r="I532" s="47"/>
      <c r="J532" s="47"/>
      <c r="K532" s="47"/>
      <c r="L532" s="47"/>
      <c r="M532" s="47"/>
      <c r="N532" s="91"/>
      <c r="O532" s="47"/>
      <c r="P532" s="47"/>
      <c r="Q532" s="47"/>
      <c r="R532" s="47"/>
      <c r="S532" s="47"/>
      <c r="T532" s="47"/>
      <c r="U532" s="47"/>
      <c r="V532" s="47"/>
    </row>
    <row r="533" spans="1:22" x14ac:dyDescent="0.3">
      <c r="A533" s="47"/>
      <c r="B533" s="47"/>
      <c r="C533" s="47"/>
      <c r="D533" s="47"/>
      <c r="E533" s="47"/>
      <c r="F533" s="47"/>
      <c r="G533" s="47"/>
      <c r="H533" s="47"/>
      <c r="I533" s="47"/>
      <c r="J533" s="47"/>
      <c r="K533" s="47"/>
      <c r="L533" s="47"/>
      <c r="M533" s="47"/>
      <c r="N533" s="91"/>
      <c r="O533" s="47"/>
      <c r="P533" s="47"/>
      <c r="Q533" s="47"/>
      <c r="R533" s="47"/>
      <c r="S533" s="47"/>
      <c r="T533" s="47"/>
      <c r="U533" s="47"/>
      <c r="V533" s="47"/>
    </row>
    <row r="534" spans="1:22" x14ac:dyDescent="0.3">
      <c r="A534" s="47"/>
      <c r="B534" s="47"/>
      <c r="C534" s="47"/>
      <c r="D534" s="47"/>
      <c r="E534" s="47"/>
      <c r="F534" s="47"/>
      <c r="G534" s="47"/>
      <c r="H534" s="47"/>
      <c r="I534" s="47"/>
      <c r="J534" s="47"/>
      <c r="K534" s="47"/>
      <c r="L534" s="47"/>
      <c r="M534" s="47"/>
      <c r="N534" s="91"/>
      <c r="O534" s="47"/>
      <c r="P534" s="47"/>
      <c r="Q534" s="47"/>
      <c r="R534" s="47"/>
      <c r="S534" s="47"/>
      <c r="T534" s="47"/>
      <c r="U534" s="47"/>
      <c r="V534" s="47"/>
    </row>
    <row r="535" spans="1:22" x14ac:dyDescent="0.3">
      <c r="A535" s="47"/>
      <c r="B535" s="47"/>
      <c r="C535" s="47"/>
      <c r="D535" s="47"/>
      <c r="E535" s="47"/>
      <c r="F535" s="47"/>
      <c r="G535" s="47"/>
      <c r="H535" s="47"/>
      <c r="I535" s="47"/>
      <c r="J535" s="47"/>
      <c r="K535" s="47"/>
      <c r="L535" s="47"/>
      <c r="M535" s="47"/>
      <c r="N535" s="91"/>
      <c r="O535" s="47"/>
      <c r="P535" s="47"/>
      <c r="Q535" s="47"/>
      <c r="R535" s="47"/>
      <c r="S535" s="47"/>
      <c r="T535" s="47"/>
      <c r="U535" s="47"/>
      <c r="V535" s="47"/>
    </row>
    <row r="536" spans="1:22" x14ac:dyDescent="0.3">
      <c r="A536" s="47"/>
      <c r="B536" s="47"/>
      <c r="C536" s="47"/>
      <c r="D536" s="47"/>
      <c r="E536" s="47"/>
      <c r="F536" s="47"/>
      <c r="G536" s="47"/>
      <c r="H536" s="47"/>
      <c r="I536" s="47"/>
      <c r="J536" s="47"/>
      <c r="K536" s="47"/>
      <c r="L536" s="47"/>
      <c r="M536" s="47"/>
      <c r="N536" s="91"/>
      <c r="O536" s="47"/>
      <c r="P536" s="47"/>
      <c r="Q536" s="47"/>
      <c r="R536" s="47"/>
      <c r="S536" s="47"/>
      <c r="T536" s="47"/>
      <c r="U536" s="47"/>
      <c r="V536" s="47"/>
    </row>
    <row r="537" spans="1:22" x14ac:dyDescent="0.3">
      <c r="A537" s="47"/>
      <c r="B537" s="47"/>
      <c r="C537" s="47"/>
      <c r="D537" s="47"/>
      <c r="E537" s="47"/>
      <c r="F537" s="47"/>
      <c r="G537" s="47"/>
      <c r="H537" s="47"/>
      <c r="I537" s="47"/>
      <c r="J537" s="47"/>
      <c r="K537" s="47"/>
      <c r="L537" s="47"/>
      <c r="M537" s="47"/>
      <c r="N537" s="91"/>
      <c r="O537" s="47"/>
      <c r="P537" s="47"/>
      <c r="Q537" s="47"/>
      <c r="R537" s="47"/>
      <c r="S537" s="47"/>
      <c r="T537" s="47"/>
      <c r="U537" s="47"/>
      <c r="V537" s="47"/>
    </row>
    <row r="538" spans="1:22" x14ac:dyDescent="0.3">
      <c r="A538" s="47"/>
      <c r="B538" s="47"/>
      <c r="C538" s="47"/>
      <c r="D538" s="47"/>
      <c r="E538" s="47"/>
      <c r="F538" s="47"/>
      <c r="G538" s="47"/>
      <c r="H538" s="47"/>
      <c r="I538" s="47"/>
      <c r="J538" s="47"/>
      <c r="K538" s="47"/>
      <c r="L538" s="47"/>
      <c r="M538" s="47"/>
      <c r="N538" s="91"/>
      <c r="O538" s="47"/>
      <c r="P538" s="47"/>
      <c r="Q538" s="47"/>
      <c r="R538" s="47"/>
      <c r="S538" s="47"/>
      <c r="T538" s="47"/>
      <c r="U538" s="47"/>
      <c r="V538" s="47"/>
    </row>
    <row r="539" spans="1:22" x14ac:dyDescent="0.3">
      <c r="A539" s="47"/>
      <c r="B539" s="47"/>
      <c r="C539" s="47"/>
      <c r="D539" s="47"/>
      <c r="E539" s="47"/>
      <c r="F539" s="47"/>
      <c r="G539" s="47"/>
      <c r="H539" s="47"/>
      <c r="I539" s="47"/>
      <c r="J539" s="47"/>
      <c r="K539" s="47"/>
      <c r="L539" s="47"/>
      <c r="M539" s="47"/>
      <c r="N539" s="91"/>
      <c r="O539" s="47"/>
      <c r="P539" s="47"/>
      <c r="Q539" s="47"/>
      <c r="R539" s="47"/>
      <c r="S539" s="47"/>
      <c r="T539" s="47"/>
      <c r="U539" s="47"/>
      <c r="V539" s="47"/>
    </row>
    <row r="540" spans="1:22" x14ac:dyDescent="0.3">
      <c r="A540" s="47"/>
      <c r="B540" s="47"/>
      <c r="C540" s="47"/>
      <c r="D540" s="47"/>
      <c r="E540" s="47"/>
      <c r="F540" s="47"/>
      <c r="G540" s="47"/>
      <c r="H540" s="47"/>
      <c r="I540" s="47"/>
      <c r="J540" s="47"/>
      <c r="K540" s="47"/>
      <c r="L540" s="47"/>
      <c r="M540" s="47"/>
      <c r="N540" s="91"/>
      <c r="O540" s="47"/>
      <c r="P540" s="47"/>
      <c r="Q540" s="47"/>
      <c r="R540" s="47"/>
      <c r="S540" s="47"/>
      <c r="T540" s="47"/>
      <c r="U540" s="47"/>
      <c r="V540" s="47"/>
    </row>
    <row r="541" spans="1:22" x14ac:dyDescent="0.3">
      <c r="A541" s="47"/>
      <c r="B541" s="47"/>
      <c r="C541" s="47"/>
      <c r="D541" s="47"/>
      <c r="E541" s="47"/>
      <c r="F541" s="47"/>
      <c r="G541" s="47"/>
      <c r="H541" s="47"/>
      <c r="I541" s="47"/>
      <c r="J541" s="47"/>
      <c r="K541" s="47"/>
      <c r="L541" s="47"/>
      <c r="M541" s="47"/>
      <c r="N541" s="91"/>
      <c r="O541" s="47"/>
      <c r="P541" s="47"/>
      <c r="Q541" s="47"/>
      <c r="R541" s="47"/>
      <c r="S541" s="47"/>
      <c r="T541" s="47"/>
      <c r="U541" s="47"/>
      <c r="V541" s="47"/>
    </row>
    <row r="542" spans="1:22" x14ac:dyDescent="0.3">
      <c r="A542" s="47"/>
      <c r="B542" s="47"/>
      <c r="C542" s="47"/>
      <c r="D542" s="47"/>
      <c r="E542" s="47"/>
      <c r="F542" s="47"/>
      <c r="G542" s="47"/>
      <c r="H542" s="47"/>
      <c r="I542" s="47"/>
      <c r="J542" s="47"/>
      <c r="K542" s="47"/>
      <c r="L542" s="47"/>
      <c r="M542" s="47"/>
      <c r="N542" s="91"/>
      <c r="O542" s="47"/>
      <c r="P542" s="47"/>
      <c r="Q542" s="47"/>
      <c r="R542" s="47"/>
      <c r="S542" s="47"/>
      <c r="T542" s="47"/>
      <c r="U542" s="47"/>
      <c r="V542" s="47"/>
    </row>
    <row r="543" spans="1:22" x14ac:dyDescent="0.3">
      <c r="A543" s="47"/>
      <c r="B543" s="47"/>
      <c r="C543" s="47"/>
      <c r="D543" s="47"/>
      <c r="E543" s="47"/>
      <c r="F543" s="47"/>
      <c r="G543" s="47"/>
      <c r="H543" s="47"/>
      <c r="I543" s="47"/>
      <c r="J543" s="47"/>
      <c r="K543" s="47"/>
      <c r="L543" s="47"/>
      <c r="M543" s="47"/>
      <c r="N543" s="91"/>
      <c r="O543" s="47"/>
      <c r="P543" s="47"/>
      <c r="Q543" s="47"/>
      <c r="R543" s="47"/>
      <c r="S543" s="47"/>
      <c r="T543" s="47"/>
      <c r="U543" s="47"/>
      <c r="V543" s="47"/>
    </row>
    <row r="544" spans="1:22" x14ac:dyDescent="0.3">
      <c r="A544" s="47"/>
      <c r="B544" s="47"/>
      <c r="C544" s="47"/>
      <c r="D544" s="47"/>
      <c r="E544" s="47"/>
      <c r="F544" s="47"/>
      <c r="G544" s="47"/>
      <c r="H544" s="47"/>
      <c r="I544" s="47"/>
      <c r="J544" s="47"/>
      <c r="K544" s="47"/>
      <c r="L544" s="47"/>
      <c r="M544" s="47"/>
      <c r="N544" s="91"/>
      <c r="O544" s="47"/>
      <c r="P544" s="47"/>
      <c r="Q544" s="47"/>
      <c r="R544" s="47"/>
      <c r="S544" s="47"/>
      <c r="T544" s="47"/>
      <c r="U544" s="47"/>
      <c r="V544" s="47"/>
    </row>
    <row r="545" spans="1:22" x14ac:dyDescent="0.3">
      <c r="A545" s="47"/>
      <c r="B545" s="47"/>
      <c r="C545" s="47"/>
      <c r="D545" s="47"/>
      <c r="E545" s="47"/>
      <c r="F545" s="47"/>
      <c r="G545" s="47"/>
      <c r="H545" s="47"/>
      <c r="I545" s="47"/>
      <c r="J545" s="47"/>
      <c r="K545" s="47"/>
      <c r="L545" s="47"/>
      <c r="M545" s="47"/>
      <c r="N545" s="91"/>
      <c r="O545" s="47"/>
      <c r="P545" s="47"/>
      <c r="Q545" s="47"/>
      <c r="R545" s="47"/>
      <c r="S545" s="47"/>
      <c r="T545" s="47"/>
      <c r="U545" s="47"/>
      <c r="V545" s="47"/>
    </row>
    <row r="546" spans="1:22" x14ac:dyDescent="0.3">
      <c r="A546" s="47"/>
      <c r="B546" s="47"/>
      <c r="C546" s="47"/>
      <c r="D546" s="47"/>
      <c r="E546" s="47"/>
      <c r="F546" s="47"/>
      <c r="G546" s="47"/>
      <c r="H546" s="47"/>
      <c r="I546" s="47"/>
      <c r="J546" s="47"/>
      <c r="K546" s="47"/>
      <c r="L546" s="47"/>
      <c r="M546" s="47"/>
      <c r="N546" s="91"/>
      <c r="O546" s="47"/>
      <c r="P546" s="47"/>
      <c r="Q546" s="47"/>
      <c r="R546" s="47"/>
      <c r="S546" s="47"/>
      <c r="T546" s="47"/>
      <c r="U546" s="47"/>
      <c r="V546" s="47"/>
    </row>
    <row r="547" spans="1:22" x14ac:dyDescent="0.3">
      <c r="A547" s="47"/>
      <c r="B547" s="47"/>
      <c r="C547" s="47"/>
      <c r="D547" s="47"/>
      <c r="E547" s="47"/>
      <c r="F547" s="47"/>
      <c r="G547" s="47"/>
      <c r="H547" s="47"/>
      <c r="I547" s="47"/>
      <c r="J547" s="47"/>
      <c r="K547" s="47"/>
      <c r="L547" s="47"/>
      <c r="M547" s="47"/>
      <c r="N547" s="91"/>
      <c r="O547" s="47"/>
      <c r="P547" s="47"/>
      <c r="Q547" s="47"/>
      <c r="R547" s="47"/>
      <c r="S547" s="47"/>
      <c r="T547" s="47"/>
      <c r="U547" s="47"/>
      <c r="V547" s="47"/>
    </row>
    <row r="548" spans="1:22" x14ac:dyDescent="0.3">
      <c r="A548" s="47"/>
      <c r="B548" s="47"/>
      <c r="C548" s="47"/>
      <c r="D548" s="47"/>
      <c r="E548" s="47"/>
      <c r="F548" s="47"/>
      <c r="G548" s="47"/>
      <c r="H548" s="47"/>
      <c r="I548" s="47"/>
      <c r="J548" s="47"/>
      <c r="K548" s="47"/>
      <c r="L548" s="47"/>
      <c r="M548" s="47"/>
      <c r="N548" s="91"/>
      <c r="O548" s="47"/>
      <c r="P548" s="47"/>
      <c r="Q548" s="47"/>
      <c r="R548" s="47"/>
      <c r="S548" s="47"/>
      <c r="T548" s="47"/>
      <c r="U548" s="47"/>
      <c r="V548" s="47"/>
    </row>
    <row r="549" spans="1:22" x14ac:dyDescent="0.3">
      <c r="A549" s="47"/>
      <c r="B549" s="47"/>
      <c r="C549" s="47"/>
      <c r="D549" s="47"/>
      <c r="E549" s="47"/>
      <c r="F549" s="47"/>
      <c r="G549" s="47"/>
      <c r="H549" s="47"/>
      <c r="I549" s="47"/>
      <c r="J549" s="47"/>
      <c r="K549" s="47"/>
      <c r="L549" s="47"/>
      <c r="M549" s="47"/>
      <c r="N549" s="91"/>
      <c r="O549" s="47"/>
      <c r="P549" s="47"/>
      <c r="Q549" s="47"/>
      <c r="R549" s="47"/>
      <c r="S549" s="47"/>
      <c r="T549" s="47"/>
      <c r="U549" s="47"/>
      <c r="V549" s="47"/>
    </row>
    <row r="550" spans="1:22" x14ac:dyDescent="0.3">
      <c r="A550" s="47"/>
      <c r="B550" s="47"/>
      <c r="C550" s="47"/>
      <c r="D550" s="47"/>
      <c r="E550" s="47"/>
      <c r="F550" s="47"/>
      <c r="G550" s="47"/>
      <c r="H550" s="47"/>
      <c r="I550" s="47"/>
      <c r="J550" s="47"/>
      <c r="K550" s="47"/>
      <c r="L550" s="47"/>
      <c r="M550" s="47"/>
      <c r="N550" s="91"/>
      <c r="O550" s="47"/>
      <c r="P550" s="47"/>
      <c r="Q550" s="47"/>
      <c r="R550" s="47"/>
      <c r="S550" s="47"/>
      <c r="T550" s="47"/>
      <c r="U550" s="47"/>
      <c r="V550" s="47"/>
    </row>
    <row r="551" spans="1:22" x14ac:dyDescent="0.3">
      <c r="A551" s="47"/>
      <c r="B551" s="47"/>
      <c r="C551" s="47"/>
      <c r="D551" s="47"/>
      <c r="E551" s="47"/>
      <c r="F551" s="47"/>
      <c r="G551" s="47"/>
      <c r="H551" s="47"/>
      <c r="I551" s="47"/>
      <c r="J551" s="47"/>
      <c r="K551" s="47"/>
      <c r="L551" s="47"/>
      <c r="M551" s="47"/>
      <c r="N551" s="91"/>
      <c r="O551" s="47"/>
      <c r="P551" s="47"/>
      <c r="Q551" s="47"/>
      <c r="R551" s="47"/>
      <c r="S551" s="47"/>
      <c r="T551" s="47"/>
      <c r="U551" s="47"/>
      <c r="V551" s="47"/>
    </row>
    <row r="552" spans="1:22" x14ac:dyDescent="0.3">
      <c r="A552" s="47"/>
      <c r="B552" s="47"/>
      <c r="C552" s="47"/>
      <c r="D552" s="47"/>
      <c r="E552" s="47"/>
      <c r="F552" s="47"/>
      <c r="G552" s="47"/>
      <c r="H552" s="47"/>
      <c r="I552" s="47"/>
      <c r="J552" s="47"/>
      <c r="K552" s="47"/>
      <c r="L552" s="47"/>
      <c r="M552" s="47"/>
      <c r="N552" s="91"/>
      <c r="O552" s="47"/>
      <c r="P552" s="47"/>
      <c r="Q552" s="47"/>
      <c r="R552" s="47"/>
      <c r="S552" s="47"/>
      <c r="T552" s="47"/>
      <c r="U552" s="47"/>
      <c r="V552" s="47"/>
    </row>
    <row r="553" spans="1:22" x14ac:dyDescent="0.3">
      <c r="A553" s="47"/>
      <c r="B553" s="47"/>
      <c r="C553" s="47"/>
      <c r="D553" s="47"/>
      <c r="E553" s="47"/>
      <c r="F553" s="47"/>
      <c r="G553" s="47"/>
      <c r="H553" s="47"/>
      <c r="I553" s="47"/>
      <c r="J553" s="47"/>
      <c r="K553" s="47"/>
      <c r="L553" s="47"/>
      <c r="M553" s="47"/>
      <c r="N553" s="91"/>
      <c r="O553" s="47"/>
      <c r="P553" s="47"/>
      <c r="Q553" s="47"/>
      <c r="R553" s="47"/>
      <c r="S553" s="47"/>
      <c r="T553" s="47"/>
      <c r="U553" s="47"/>
      <c r="V553" s="47"/>
    </row>
    <row r="554" spans="1:22" x14ac:dyDescent="0.3">
      <c r="A554" s="47"/>
      <c r="B554" s="47"/>
      <c r="C554" s="47"/>
      <c r="D554" s="47"/>
      <c r="E554" s="47"/>
      <c r="F554" s="47"/>
      <c r="G554" s="47"/>
      <c r="H554" s="47"/>
      <c r="I554" s="47"/>
      <c r="J554" s="47"/>
      <c r="K554" s="47"/>
      <c r="L554" s="47"/>
      <c r="M554" s="47"/>
      <c r="N554" s="91"/>
      <c r="O554" s="47"/>
      <c r="P554" s="47"/>
      <c r="Q554" s="47"/>
      <c r="R554" s="47"/>
      <c r="S554" s="47"/>
      <c r="T554" s="47"/>
      <c r="U554" s="47"/>
      <c r="V554" s="47"/>
    </row>
    <row r="555" spans="1:22" x14ac:dyDescent="0.3">
      <c r="A555" s="47"/>
      <c r="B555" s="47"/>
      <c r="C555" s="47"/>
      <c r="D555" s="47"/>
      <c r="E555" s="47"/>
      <c r="F555" s="47"/>
      <c r="G555" s="47"/>
      <c r="H555" s="47"/>
      <c r="I555" s="47"/>
      <c r="J555" s="47"/>
      <c r="K555" s="47"/>
      <c r="L555" s="47"/>
      <c r="M555" s="47"/>
      <c r="N555" s="91"/>
      <c r="O555" s="47"/>
      <c r="P555" s="47"/>
      <c r="Q555" s="47"/>
      <c r="R555" s="47"/>
      <c r="S555" s="47"/>
      <c r="T555" s="47"/>
      <c r="U555" s="47"/>
      <c r="V555" s="47"/>
    </row>
    <row r="556" spans="1:22" x14ac:dyDescent="0.3">
      <c r="A556" s="47"/>
      <c r="B556" s="47"/>
      <c r="C556" s="47"/>
      <c r="D556" s="47"/>
      <c r="E556" s="47"/>
      <c r="F556" s="47"/>
      <c r="G556" s="47"/>
      <c r="H556" s="47"/>
      <c r="I556" s="47"/>
      <c r="J556" s="47"/>
      <c r="K556" s="47"/>
      <c r="L556" s="47"/>
      <c r="M556" s="47"/>
      <c r="N556" s="91"/>
      <c r="O556" s="47"/>
      <c r="P556" s="47"/>
      <c r="Q556" s="47"/>
      <c r="R556" s="47"/>
      <c r="S556" s="47"/>
      <c r="T556" s="47"/>
      <c r="U556" s="47"/>
      <c r="V556" s="47"/>
    </row>
    <row r="557" spans="1:22" x14ac:dyDescent="0.3">
      <c r="A557" s="47"/>
      <c r="B557" s="47"/>
      <c r="C557" s="47"/>
      <c r="D557" s="47"/>
      <c r="E557" s="47"/>
      <c r="F557" s="47"/>
      <c r="G557" s="47"/>
      <c r="H557" s="47"/>
      <c r="I557" s="47"/>
      <c r="J557" s="47"/>
      <c r="K557" s="47"/>
      <c r="L557" s="47"/>
      <c r="M557" s="47"/>
      <c r="N557" s="91"/>
      <c r="O557" s="47"/>
      <c r="P557" s="47"/>
      <c r="Q557" s="47"/>
      <c r="R557" s="47"/>
      <c r="S557" s="47"/>
      <c r="T557" s="47"/>
      <c r="U557" s="47"/>
      <c r="V557" s="47"/>
    </row>
    <row r="558" spans="1:22" x14ac:dyDescent="0.3">
      <c r="A558" s="47"/>
      <c r="B558" s="47"/>
      <c r="C558" s="47"/>
      <c r="D558" s="47"/>
      <c r="E558" s="47"/>
      <c r="F558" s="47"/>
      <c r="G558" s="47"/>
      <c r="H558" s="47"/>
      <c r="I558" s="47"/>
      <c r="J558" s="47"/>
      <c r="K558" s="47"/>
      <c r="L558" s="47"/>
      <c r="M558" s="47"/>
      <c r="N558" s="91"/>
      <c r="O558" s="47"/>
      <c r="P558" s="47"/>
      <c r="Q558" s="47"/>
      <c r="R558" s="47"/>
      <c r="S558" s="47"/>
      <c r="T558" s="47"/>
      <c r="U558" s="47"/>
      <c r="V558" s="47"/>
    </row>
    <row r="559" spans="1:22" x14ac:dyDescent="0.3">
      <c r="A559" s="47"/>
      <c r="B559" s="47"/>
      <c r="C559" s="47"/>
      <c r="D559" s="47"/>
      <c r="E559" s="47"/>
      <c r="F559" s="47"/>
      <c r="G559" s="47"/>
      <c r="H559" s="47"/>
      <c r="I559" s="47"/>
      <c r="J559" s="47"/>
      <c r="K559" s="47"/>
      <c r="L559" s="47"/>
      <c r="M559" s="47"/>
      <c r="N559" s="91"/>
      <c r="O559" s="47"/>
      <c r="P559" s="47"/>
      <c r="Q559" s="47"/>
      <c r="R559" s="47"/>
      <c r="S559" s="47"/>
      <c r="T559" s="47"/>
      <c r="U559" s="47"/>
      <c r="V559" s="47"/>
    </row>
    <row r="560" spans="1:22" x14ac:dyDescent="0.3">
      <c r="A560" s="47"/>
      <c r="B560" s="47"/>
      <c r="C560" s="47"/>
      <c r="D560" s="47"/>
      <c r="E560" s="47"/>
      <c r="F560" s="47"/>
      <c r="G560" s="47"/>
      <c r="H560" s="47"/>
      <c r="I560" s="47"/>
      <c r="J560" s="47"/>
      <c r="K560" s="47"/>
      <c r="L560" s="47"/>
      <c r="M560" s="47"/>
      <c r="N560" s="91"/>
      <c r="O560" s="47"/>
      <c r="P560" s="47"/>
      <c r="Q560" s="47"/>
      <c r="R560" s="47"/>
      <c r="S560" s="47"/>
      <c r="T560" s="47"/>
      <c r="U560" s="47"/>
      <c r="V560" s="47"/>
    </row>
    <row r="561" spans="1:22" x14ac:dyDescent="0.3">
      <c r="A561" s="47"/>
      <c r="B561" s="47"/>
      <c r="C561" s="47"/>
      <c r="D561" s="47"/>
      <c r="E561" s="47"/>
      <c r="F561" s="47"/>
      <c r="G561" s="47"/>
      <c r="H561" s="47"/>
      <c r="I561" s="47"/>
      <c r="J561" s="47"/>
      <c r="K561" s="47"/>
      <c r="L561" s="47"/>
      <c r="M561" s="47"/>
      <c r="N561" s="91"/>
      <c r="O561" s="47"/>
      <c r="P561" s="47"/>
      <c r="Q561" s="47"/>
      <c r="R561" s="47"/>
      <c r="S561" s="47"/>
      <c r="T561" s="47"/>
      <c r="U561" s="47"/>
      <c r="V561" s="47"/>
    </row>
    <row r="562" spans="1:22" x14ac:dyDescent="0.3">
      <c r="A562" s="47"/>
      <c r="B562" s="47"/>
      <c r="C562" s="47"/>
      <c r="D562" s="47"/>
      <c r="E562" s="47"/>
      <c r="F562" s="47"/>
      <c r="G562" s="47"/>
      <c r="H562" s="47"/>
      <c r="I562" s="47"/>
      <c r="J562" s="47"/>
      <c r="K562" s="47"/>
      <c r="L562" s="47"/>
      <c r="M562" s="47"/>
      <c r="N562" s="91"/>
      <c r="O562" s="47"/>
      <c r="P562" s="47"/>
      <c r="Q562" s="47"/>
      <c r="R562" s="47"/>
      <c r="S562" s="47"/>
      <c r="T562" s="47"/>
      <c r="U562" s="47"/>
      <c r="V562" s="47"/>
    </row>
    <row r="563" spans="1:22" x14ac:dyDescent="0.3">
      <c r="A563" s="47"/>
      <c r="B563" s="47"/>
      <c r="C563" s="47"/>
      <c r="D563" s="47"/>
      <c r="E563" s="47"/>
      <c r="F563" s="47"/>
      <c r="G563" s="47"/>
      <c r="H563" s="47"/>
      <c r="I563" s="47"/>
      <c r="J563" s="47"/>
      <c r="K563" s="47"/>
      <c r="L563" s="47"/>
      <c r="M563" s="47"/>
      <c r="N563" s="91"/>
      <c r="O563" s="47"/>
      <c r="P563" s="47"/>
      <c r="Q563" s="47"/>
      <c r="R563" s="47"/>
      <c r="S563" s="47"/>
      <c r="T563" s="47"/>
      <c r="U563" s="47"/>
      <c r="V563" s="47"/>
    </row>
    <row r="564" spans="1:22" x14ac:dyDescent="0.3">
      <c r="A564" s="47"/>
      <c r="B564" s="47"/>
      <c r="C564" s="47"/>
      <c r="D564" s="47"/>
      <c r="E564" s="47"/>
      <c r="F564" s="47"/>
      <c r="G564" s="47"/>
      <c r="H564" s="47"/>
      <c r="I564" s="47"/>
      <c r="J564" s="47"/>
      <c r="K564" s="47"/>
      <c r="L564" s="47"/>
      <c r="M564" s="47"/>
      <c r="N564" s="91"/>
      <c r="O564" s="47"/>
      <c r="P564" s="47"/>
      <c r="Q564" s="47"/>
      <c r="R564" s="47"/>
      <c r="S564" s="47"/>
      <c r="T564" s="47"/>
      <c r="U564" s="47"/>
      <c r="V564" s="47"/>
    </row>
    <row r="565" spans="1:22" x14ac:dyDescent="0.3">
      <c r="A565" s="47"/>
      <c r="B565" s="47"/>
      <c r="C565" s="47"/>
      <c r="D565" s="47"/>
      <c r="E565" s="47"/>
      <c r="F565" s="47"/>
      <c r="G565" s="47"/>
      <c r="H565" s="47"/>
      <c r="I565" s="47"/>
      <c r="J565" s="47"/>
      <c r="K565" s="47"/>
      <c r="L565" s="47"/>
      <c r="M565" s="47"/>
      <c r="N565" s="91"/>
      <c r="O565" s="47"/>
      <c r="P565" s="47"/>
      <c r="Q565" s="47"/>
      <c r="R565" s="47"/>
      <c r="S565" s="47"/>
      <c r="T565" s="47"/>
      <c r="U565" s="47"/>
      <c r="V565" s="47"/>
    </row>
    <row r="566" spans="1:22" x14ac:dyDescent="0.3">
      <c r="A566" s="47"/>
      <c r="B566" s="47"/>
      <c r="C566" s="47"/>
      <c r="D566" s="47"/>
      <c r="E566" s="47"/>
      <c r="F566" s="47"/>
      <c r="G566" s="47"/>
      <c r="H566" s="47"/>
      <c r="I566" s="47"/>
      <c r="J566" s="47"/>
      <c r="K566" s="47"/>
      <c r="L566" s="47"/>
      <c r="M566" s="47"/>
      <c r="N566" s="91"/>
      <c r="O566" s="47"/>
      <c r="P566" s="47"/>
      <c r="Q566" s="47"/>
      <c r="R566" s="47"/>
      <c r="S566" s="47"/>
      <c r="T566" s="47"/>
      <c r="U566" s="47"/>
      <c r="V566" s="47"/>
    </row>
    <row r="567" spans="1:22" x14ac:dyDescent="0.3">
      <c r="A567" s="47"/>
      <c r="B567" s="47"/>
      <c r="C567" s="47"/>
      <c r="D567" s="47"/>
      <c r="E567" s="47"/>
      <c r="F567" s="47"/>
      <c r="G567" s="47"/>
      <c r="H567" s="47"/>
      <c r="I567" s="47"/>
      <c r="J567" s="47"/>
      <c r="K567" s="47"/>
      <c r="L567" s="47"/>
      <c r="M567" s="47"/>
      <c r="N567" s="91"/>
      <c r="O567" s="47"/>
      <c r="P567" s="47"/>
      <c r="Q567" s="47"/>
      <c r="R567" s="47"/>
      <c r="S567" s="47"/>
      <c r="T567" s="47"/>
      <c r="U567" s="47"/>
      <c r="V567" s="47"/>
    </row>
    <row r="568" spans="1:22" x14ac:dyDescent="0.3">
      <c r="A568" s="47"/>
      <c r="B568" s="47"/>
      <c r="C568" s="47"/>
      <c r="D568" s="47"/>
      <c r="E568" s="47"/>
      <c r="F568" s="47"/>
      <c r="G568" s="47"/>
      <c r="H568" s="47"/>
      <c r="I568" s="47"/>
      <c r="J568" s="47"/>
      <c r="K568" s="47"/>
      <c r="L568" s="47"/>
      <c r="M568" s="47"/>
      <c r="N568" s="91"/>
      <c r="O568" s="47"/>
      <c r="P568" s="47"/>
      <c r="Q568" s="47"/>
      <c r="R568" s="47"/>
      <c r="S568" s="47"/>
      <c r="T568" s="47"/>
      <c r="U568" s="47"/>
      <c r="V568" s="47"/>
    </row>
    <row r="569" spans="1:22" x14ac:dyDescent="0.3">
      <c r="A569" s="47"/>
      <c r="B569" s="47"/>
      <c r="C569" s="47"/>
      <c r="D569" s="47"/>
      <c r="E569" s="47"/>
      <c r="F569" s="47"/>
      <c r="G569" s="47"/>
      <c r="H569" s="47"/>
      <c r="I569" s="47"/>
      <c r="J569" s="47"/>
      <c r="K569" s="47"/>
      <c r="L569" s="47"/>
      <c r="M569" s="47"/>
      <c r="N569" s="91"/>
      <c r="O569" s="47"/>
      <c r="P569" s="47"/>
      <c r="Q569" s="47"/>
      <c r="R569" s="47"/>
      <c r="S569" s="47"/>
      <c r="T569" s="47"/>
      <c r="U569" s="47"/>
      <c r="V569" s="47"/>
    </row>
    <row r="570" spans="1:22" x14ac:dyDescent="0.3">
      <c r="A570" s="47"/>
      <c r="B570" s="47"/>
      <c r="C570" s="47"/>
      <c r="D570" s="47"/>
      <c r="E570" s="47"/>
      <c r="F570" s="47"/>
      <c r="G570" s="47"/>
      <c r="H570" s="47"/>
      <c r="I570" s="47"/>
      <c r="J570" s="47"/>
      <c r="K570" s="47"/>
      <c r="L570" s="47"/>
      <c r="M570" s="47"/>
      <c r="N570" s="91"/>
      <c r="O570" s="47"/>
      <c r="P570" s="47"/>
      <c r="Q570" s="47"/>
      <c r="R570" s="47"/>
      <c r="S570" s="47"/>
      <c r="T570" s="47"/>
      <c r="U570" s="47"/>
      <c r="V570" s="47"/>
    </row>
    <row r="571" spans="1:22" x14ac:dyDescent="0.3">
      <c r="A571" s="47"/>
      <c r="B571" s="47"/>
      <c r="C571" s="47"/>
      <c r="D571" s="47"/>
      <c r="E571" s="47"/>
      <c r="F571" s="47"/>
      <c r="G571" s="47"/>
      <c r="H571" s="47"/>
      <c r="I571" s="47"/>
      <c r="J571" s="47"/>
      <c r="K571" s="47"/>
      <c r="L571" s="47"/>
      <c r="M571" s="47"/>
      <c r="N571" s="91"/>
      <c r="O571" s="47"/>
      <c r="P571" s="47"/>
      <c r="Q571" s="47"/>
      <c r="R571" s="47"/>
      <c r="S571" s="47"/>
      <c r="T571" s="47"/>
      <c r="U571" s="47"/>
      <c r="V571" s="47"/>
    </row>
    <row r="572" spans="1:22" x14ac:dyDescent="0.3">
      <c r="A572" s="47"/>
      <c r="B572" s="47"/>
      <c r="C572" s="47"/>
      <c r="D572" s="47"/>
      <c r="E572" s="47"/>
      <c r="F572" s="47"/>
      <c r="G572" s="47"/>
      <c r="H572" s="47"/>
      <c r="I572" s="47"/>
      <c r="J572" s="47"/>
      <c r="K572" s="47"/>
      <c r="L572" s="47"/>
      <c r="M572" s="47"/>
      <c r="N572" s="91"/>
      <c r="O572" s="47"/>
      <c r="P572" s="47"/>
      <c r="Q572" s="47"/>
      <c r="R572" s="47"/>
      <c r="S572" s="47"/>
      <c r="T572" s="47"/>
      <c r="U572" s="47"/>
      <c r="V572" s="47"/>
    </row>
    <row r="573" spans="1:22" x14ac:dyDescent="0.3">
      <c r="A573" s="47"/>
      <c r="B573" s="47"/>
      <c r="C573" s="47"/>
      <c r="D573" s="47"/>
      <c r="E573" s="47"/>
      <c r="F573" s="47"/>
      <c r="G573" s="47"/>
      <c r="H573" s="47"/>
      <c r="I573" s="47"/>
      <c r="J573" s="47"/>
      <c r="K573" s="47"/>
      <c r="L573" s="47"/>
      <c r="M573" s="47"/>
      <c r="N573" s="91"/>
      <c r="O573" s="47"/>
      <c r="P573" s="47"/>
      <c r="Q573" s="47"/>
      <c r="R573" s="47"/>
      <c r="S573" s="47"/>
      <c r="T573" s="47"/>
      <c r="U573" s="47"/>
      <c r="V573" s="47"/>
    </row>
    <row r="574" spans="1:22" x14ac:dyDescent="0.3">
      <c r="A574" s="47"/>
      <c r="B574" s="47"/>
      <c r="C574" s="47"/>
      <c r="D574" s="47"/>
      <c r="E574" s="47"/>
      <c r="F574" s="47"/>
      <c r="G574" s="47"/>
      <c r="H574" s="47"/>
      <c r="I574" s="47"/>
      <c r="J574" s="47"/>
      <c r="K574" s="47"/>
      <c r="L574" s="47"/>
      <c r="M574" s="47"/>
      <c r="N574" s="91"/>
      <c r="O574" s="47"/>
      <c r="P574" s="47"/>
      <c r="Q574" s="47"/>
      <c r="R574" s="47"/>
      <c r="S574" s="47"/>
      <c r="T574" s="47"/>
      <c r="U574" s="47"/>
      <c r="V574" s="47"/>
    </row>
    <row r="575" spans="1:22" x14ac:dyDescent="0.3">
      <c r="A575" s="47"/>
      <c r="B575" s="47"/>
      <c r="C575" s="47"/>
      <c r="D575" s="47"/>
      <c r="E575" s="47"/>
      <c r="F575" s="47"/>
      <c r="G575" s="47"/>
      <c r="H575" s="47"/>
      <c r="I575" s="47"/>
      <c r="J575" s="47"/>
      <c r="K575" s="47"/>
      <c r="L575" s="47"/>
      <c r="M575" s="47"/>
      <c r="N575" s="91"/>
      <c r="O575" s="47"/>
      <c r="P575" s="47"/>
      <c r="Q575" s="47"/>
      <c r="R575" s="47"/>
      <c r="S575" s="47"/>
      <c r="T575" s="47"/>
      <c r="U575" s="47"/>
      <c r="V575" s="47"/>
    </row>
    <row r="576" spans="1:22" x14ac:dyDescent="0.3">
      <c r="A576" s="47"/>
      <c r="B576" s="47"/>
      <c r="C576" s="47"/>
      <c r="D576" s="47"/>
      <c r="E576" s="47"/>
      <c r="F576" s="47"/>
      <c r="G576" s="47"/>
      <c r="H576" s="47"/>
      <c r="I576" s="47"/>
      <c r="J576" s="47"/>
      <c r="K576" s="47"/>
      <c r="L576" s="47"/>
      <c r="M576" s="47"/>
      <c r="N576" s="91"/>
      <c r="O576" s="47"/>
      <c r="P576" s="47"/>
      <c r="Q576" s="47"/>
      <c r="R576" s="47"/>
      <c r="S576" s="47"/>
      <c r="T576" s="47"/>
      <c r="U576" s="47"/>
      <c r="V576" s="47"/>
    </row>
    <row r="577" spans="1:22" x14ac:dyDescent="0.3">
      <c r="A577" s="47"/>
      <c r="B577" s="47"/>
      <c r="C577" s="47"/>
      <c r="D577" s="47"/>
      <c r="E577" s="47"/>
      <c r="F577" s="47"/>
      <c r="G577" s="47"/>
      <c r="H577" s="47"/>
      <c r="I577" s="47"/>
      <c r="J577" s="47"/>
      <c r="K577" s="47"/>
      <c r="L577" s="47"/>
      <c r="M577" s="47"/>
      <c r="N577" s="91"/>
      <c r="O577" s="47"/>
      <c r="P577" s="47"/>
      <c r="Q577" s="47"/>
      <c r="R577" s="47"/>
      <c r="S577" s="47"/>
      <c r="T577" s="47"/>
      <c r="U577" s="47"/>
      <c r="V577" s="47"/>
    </row>
    <row r="578" spans="1:22" x14ac:dyDescent="0.3">
      <c r="A578" s="47"/>
      <c r="B578" s="47"/>
      <c r="C578" s="47"/>
      <c r="D578" s="47"/>
      <c r="E578" s="47"/>
      <c r="F578" s="47"/>
      <c r="G578" s="47"/>
      <c r="H578" s="47"/>
      <c r="I578" s="47"/>
      <c r="J578" s="47"/>
      <c r="K578" s="47"/>
      <c r="L578" s="47"/>
      <c r="M578" s="47"/>
      <c r="N578" s="91"/>
      <c r="O578" s="47"/>
      <c r="P578" s="47"/>
      <c r="Q578" s="47"/>
      <c r="R578" s="47"/>
      <c r="S578" s="47"/>
      <c r="T578" s="47"/>
      <c r="U578" s="47"/>
      <c r="V578" s="47"/>
    </row>
    <row r="579" spans="1:22" x14ac:dyDescent="0.3">
      <c r="A579" s="47"/>
      <c r="B579" s="47"/>
      <c r="C579" s="47"/>
      <c r="D579" s="47"/>
      <c r="E579" s="47"/>
      <c r="F579" s="47"/>
      <c r="G579" s="47"/>
      <c r="H579" s="47"/>
      <c r="I579" s="47"/>
      <c r="J579" s="47"/>
      <c r="K579" s="47"/>
      <c r="L579" s="47"/>
      <c r="M579" s="47"/>
      <c r="N579" s="91"/>
      <c r="O579" s="47"/>
      <c r="P579" s="47"/>
      <c r="Q579" s="47"/>
      <c r="R579" s="47"/>
      <c r="S579" s="47"/>
      <c r="T579" s="47"/>
      <c r="U579" s="47"/>
      <c r="V579" s="47"/>
    </row>
    <row r="580" spans="1:22" x14ac:dyDescent="0.3">
      <c r="A580" s="47"/>
      <c r="B580" s="47"/>
      <c r="C580" s="47"/>
      <c r="D580" s="47"/>
      <c r="E580" s="47"/>
      <c r="F580" s="47"/>
      <c r="G580" s="47"/>
      <c r="H580" s="47"/>
      <c r="I580" s="47"/>
      <c r="J580" s="47"/>
      <c r="K580" s="47"/>
      <c r="L580" s="47"/>
      <c r="M580" s="47"/>
      <c r="N580" s="91"/>
      <c r="O580" s="47"/>
      <c r="P580" s="47"/>
      <c r="Q580" s="47"/>
      <c r="R580" s="47"/>
      <c r="S580" s="47"/>
      <c r="T580" s="47"/>
      <c r="U580" s="47"/>
      <c r="V580" s="47"/>
    </row>
    <row r="581" spans="1:22" x14ac:dyDescent="0.3">
      <c r="A581" s="47"/>
      <c r="B581" s="47"/>
      <c r="C581" s="47"/>
      <c r="D581" s="47"/>
      <c r="E581" s="47"/>
      <c r="F581" s="47"/>
      <c r="G581" s="47"/>
      <c r="H581" s="47"/>
      <c r="I581" s="47"/>
      <c r="J581" s="47"/>
      <c r="K581" s="47"/>
      <c r="L581" s="47"/>
      <c r="M581" s="47"/>
      <c r="N581" s="91"/>
      <c r="O581" s="47"/>
      <c r="P581" s="47"/>
      <c r="Q581" s="47"/>
      <c r="R581" s="47"/>
      <c r="S581" s="47"/>
      <c r="T581" s="47"/>
      <c r="U581" s="47"/>
      <c r="V581" s="47"/>
    </row>
    <row r="582" spans="1:22" x14ac:dyDescent="0.3">
      <c r="A582" s="47"/>
      <c r="B582" s="47"/>
      <c r="C582" s="47"/>
      <c r="D582" s="47"/>
      <c r="E582" s="47"/>
      <c r="F582" s="47"/>
      <c r="G582" s="47"/>
      <c r="H582" s="47"/>
      <c r="I582" s="47"/>
      <c r="J582" s="47"/>
      <c r="K582" s="47"/>
      <c r="L582" s="47"/>
      <c r="M582" s="47"/>
      <c r="N582" s="91"/>
      <c r="O582" s="47"/>
      <c r="P582" s="47"/>
      <c r="Q582" s="47"/>
      <c r="R582" s="47"/>
      <c r="S582" s="47"/>
      <c r="T582" s="47"/>
      <c r="U582" s="47"/>
      <c r="V582" s="47"/>
    </row>
    <row r="583" spans="1:22" x14ac:dyDescent="0.3">
      <c r="A583" s="47"/>
      <c r="B583" s="47"/>
      <c r="C583" s="47"/>
      <c r="D583" s="47"/>
      <c r="E583" s="47"/>
      <c r="F583" s="47"/>
      <c r="G583" s="47"/>
      <c r="H583" s="47"/>
      <c r="I583" s="47"/>
      <c r="J583" s="47"/>
      <c r="K583" s="47"/>
      <c r="L583" s="47"/>
      <c r="M583" s="47"/>
      <c r="N583" s="91"/>
      <c r="O583" s="47"/>
      <c r="P583" s="47"/>
      <c r="Q583" s="47"/>
      <c r="R583" s="47"/>
      <c r="S583" s="47"/>
      <c r="T583" s="47"/>
      <c r="U583" s="47"/>
      <c r="V583" s="47"/>
    </row>
    <row r="584" spans="1:22" x14ac:dyDescent="0.3">
      <c r="A584" s="47"/>
      <c r="B584" s="47"/>
      <c r="C584" s="47"/>
      <c r="D584" s="47"/>
      <c r="E584" s="47"/>
      <c r="F584" s="47"/>
      <c r="G584" s="47"/>
      <c r="H584" s="47"/>
      <c r="I584" s="47"/>
      <c r="J584" s="47"/>
      <c r="K584" s="47"/>
      <c r="L584" s="47"/>
      <c r="M584" s="47"/>
      <c r="N584" s="91"/>
      <c r="O584" s="47"/>
      <c r="P584" s="47"/>
      <c r="Q584" s="47"/>
      <c r="R584" s="47"/>
      <c r="S584" s="47"/>
      <c r="T584" s="47"/>
      <c r="U584" s="47"/>
      <c r="V584" s="47"/>
    </row>
    <row r="585" spans="1:22" x14ac:dyDescent="0.3">
      <c r="A585" s="47"/>
      <c r="B585" s="47"/>
      <c r="C585" s="47"/>
      <c r="D585" s="47"/>
      <c r="E585" s="47"/>
      <c r="F585" s="47"/>
      <c r="G585" s="47"/>
      <c r="H585" s="47"/>
      <c r="I585" s="47"/>
      <c r="J585" s="47"/>
      <c r="K585" s="47"/>
      <c r="L585" s="47"/>
      <c r="M585" s="47"/>
      <c r="N585" s="91"/>
      <c r="O585" s="47"/>
      <c r="P585" s="47"/>
      <c r="Q585" s="47"/>
      <c r="R585" s="47"/>
      <c r="S585" s="47"/>
      <c r="T585" s="47"/>
      <c r="U585" s="47"/>
      <c r="V585" s="47"/>
    </row>
    <row r="586" spans="1:22" x14ac:dyDescent="0.3">
      <c r="A586" s="47"/>
      <c r="B586" s="47"/>
      <c r="C586" s="47"/>
      <c r="D586" s="47"/>
      <c r="E586" s="47"/>
      <c r="F586" s="47"/>
      <c r="G586" s="47"/>
      <c r="H586" s="47"/>
      <c r="I586" s="47"/>
      <c r="J586" s="47"/>
      <c r="K586" s="47"/>
      <c r="L586" s="47"/>
      <c r="M586" s="47"/>
      <c r="N586" s="91"/>
      <c r="O586" s="47"/>
      <c r="P586" s="47"/>
      <c r="Q586" s="47"/>
      <c r="R586" s="47"/>
      <c r="S586" s="47"/>
      <c r="T586" s="47"/>
      <c r="U586" s="47"/>
      <c r="V586" s="47"/>
    </row>
    <row r="587" spans="1:22" x14ac:dyDescent="0.3">
      <c r="A587" s="47"/>
      <c r="B587" s="47"/>
      <c r="C587" s="47"/>
      <c r="D587" s="47"/>
      <c r="E587" s="47"/>
      <c r="F587" s="47"/>
      <c r="G587" s="47"/>
      <c r="H587" s="47"/>
      <c r="I587" s="47"/>
      <c r="J587" s="47"/>
      <c r="K587" s="47"/>
      <c r="L587" s="47"/>
      <c r="M587" s="47"/>
      <c r="N587" s="91"/>
      <c r="O587" s="47"/>
      <c r="P587" s="47"/>
      <c r="Q587" s="47"/>
      <c r="R587" s="47"/>
      <c r="S587" s="47"/>
      <c r="T587" s="47"/>
      <c r="U587" s="47"/>
      <c r="V587" s="47"/>
    </row>
    <row r="588" spans="1:22" x14ac:dyDescent="0.3">
      <c r="A588" s="47"/>
      <c r="B588" s="47"/>
      <c r="C588" s="47"/>
      <c r="D588" s="47"/>
      <c r="E588" s="47"/>
      <c r="F588" s="47"/>
      <c r="G588" s="47"/>
      <c r="H588" s="47"/>
      <c r="I588" s="47"/>
      <c r="J588" s="47"/>
      <c r="K588" s="47"/>
      <c r="L588" s="47"/>
      <c r="M588" s="47"/>
      <c r="N588" s="91"/>
      <c r="O588" s="47"/>
      <c r="P588" s="47"/>
      <c r="Q588" s="47"/>
      <c r="R588" s="47"/>
      <c r="S588" s="47"/>
      <c r="T588" s="47"/>
      <c r="U588" s="47"/>
      <c r="V588" s="47"/>
    </row>
    <row r="589" spans="1:22" x14ac:dyDescent="0.3">
      <c r="A589" s="47"/>
      <c r="B589" s="47"/>
      <c r="C589" s="47"/>
      <c r="D589" s="47"/>
      <c r="E589" s="47"/>
      <c r="F589" s="47"/>
      <c r="G589" s="47"/>
      <c r="H589" s="47"/>
      <c r="I589" s="47"/>
      <c r="J589" s="47"/>
      <c r="K589" s="47"/>
      <c r="L589" s="47"/>
      <c r="M589" s="47"/>
      <c r="N589" s="91"/>
      <c r="O589" s="47"/>
      <c r="P589" s="47"/>
      <c r="Q589" s="47"/>
      <c r="R589" s="47"/>
      <c r="S589" s="47"/>
      <c r="T589" s="47"/>
      <c r="U589" s="47"/>
      <c r="V589" s="47"/>
    </row>
    <row r="590" spans="1:22" x14ac:dyDescent="0.3">
      <c r="A590" s="47"/>
      <c r="B590" s="47"/>
      <c r="C590" s="47"/>
      <c r="D590" s="47"/>
      <c r="E590" s="47"/>
      <c r="F590" s="47"/>
      <c r="G590" s="47"/>
      <c r="H590" s="47"/>
      <c r="I590" s="47"/>
      <c r="J590" s="47"/>
      <c r="K590" s="47"/>
      <c r="L590" s="47"/>
      <c r="M590" s="47"/>
      <c r="N590" s="91"/>
      <c r="O590" s="47"/>
      <c r="P590" s="47"/>
      <c r="Q590" s="47"/>
      <c r="R590" s="47"/>
      <c r="S590" s="47"/>
      <c r="T590" s="47"/>
      <c r="U590" s="47"/>
      <c r="V590" s="47"/>
    </row>
    <row r="591" spans="1:22" x14ac:dyDescent="0.3">
      <c r="A591" s="47"/>
      <c r="B591" s="47"/>
      <c r="C591" s="47"/>
      <c r="D591" s="47"/>
      <c r="E591" s="47"/>
      <c r="F591" s="47"/>
      <c r="G591" s="47"/>
      <c r="H591" s="47"/>
      <c r="I591" s="47"/>
      <c r="J591" s="47"/>
      <c r="K591" s="47"/>
      <c r="L591" s="47"/>
      <c r="M591" s="47"/>
      <c r="N591" s="91"/>
      <c r="O591" s="47"/>
      <c r="P591" s="47"/>
      <c r="Q591" s="47"/>
      <c r="R591" s="47"/>
      <c r="S591" s="47"/>
      <c r="T591" s="47"/>
      <c r="U591" s="47"/>
      <c r="V591" s="47"/>
    </row>
    <row r="592" spans="1:22" x14ac:dyDescent="0.3">
      <c r="A592" s="47"/>
      <c r="B592" s="47"/>
      <c r="C592" s="47"/>
      <c r="D592" s="47"/>
      <c r="E592" s="47"/>
      <c r="F592" s="47"/>
      <c r="G592" s="47"/>
      <c r="H592" s="47"/>
      <c r="I592" s="47"/>
      <c r="J592" s="47"/>
      <c r="K592" s="47"/>
      <c r="L592" s="47"/>
      <c r="M592" s="47"/>
      <c r="N592" s="91"/>
      <c r="O592" s="47"/>
      <c r="P592" s="47"/>
      <c r="Q592" s="47"/>
      <c r="R592" s="47"/>
      <c r="S592" s="47"/>
      <c r="T592" s="47"/>
      <c r="U592" s="47"/>
      <c r="V592" s="47"/>
    </row>
    <row r="593" spans="1:22" x14ac:dyDescent="0.3">
      <c r="A593" s="47"/>
      <c r="B593" s="47"/>
      <c r="C593" s="47"/>
      <c r="D593" s="47"/>
      <c r="E593" s="47"/>
      <c r="F593" s="47"/>
      <c r="G593" s="47"/>
      <c r="H593" s="47"/>
      <c r="I593" s="47"/>
      <c r="J593" s="47"/>
      <c r="K593" s="47"/>
      <c r="L593" s="47"/>
      <c r="M593" s="47"/>
      <c r="N593" s="91"/>
      <c r="O593" s="47"/>
      <c r="P593" s="47"/>
      <c r="Q593" s="47"/>
      <c r="R593" s="47"/>
      <c r="S593" s="47"/>
      <c r="T593" s="47"/>
      <c r="U593" s="47"/>
      <c r="V593" s="47"/>
    </row>
    <row r="594" spans="1:22" x14ac:dyDescent="0.3">
      <c r="A594" s="47"/>
      <c r="B594" s="47"/>
      <c r="C594" s="47"/>
      <c r="D594" s="47"/>
      <c r="E594" s="47"/>
      <c r="F594" s="47"/>
      <c r="G594" s="47"/>
      <c r="H594" s="47"/>
      <c r="I594" s="47"/>
      <c r="J594" s="47"/>
      <c r="K594" s="47"/>
      <c r="L594" s="47"/>
      <c r="M594" s="47"/>
      <c r="N594" s="91"/>
      <c r="O594" s="47"/>
      <c r="P594" s="47"/>
      <c r="Q594" s="47"/>
      <c r="R594" s="47"/>
      <c r="S594" s="47"/>
      <c r="T594" s="47"/>
      <c r="U594" s="47"/>
      <c r="V594" s="47"/>
    </row>
    <row r="595" spans="1:22" x14ac:dyDescent="0.3">
      <c r="A595" s="47"/>
      <c r="B595" s="47"/>
      <c r="C595" s="47"/>
      <c r="D595" s="47"/>
      <c r="E595" s="47"/>
      <c r="F595" s="47"/>
      <c r="G595" s="47"/>
      <c r="H595" s="47"/>
      <c r="I595" s="47"/>
      <c r="J595" s="47"/>
      <c r="K595" s="47"/>
      <c r="L595" s="47"/>
      <c r="M595" s="47"/>
      <c r="N595" s="91"/>
      <c r="O595" s="47"/>
      <c r="P595" s="47"/>
      <c r="Q595" s="47"/>
      <c r="R595" s="47"/>
      <c r="S595" s="47"/>
      <c r="T595" s="47"/>
      <c r="U595" s="47"/>
      <c r="V595" s="47"/>
    </row>
    <row r="596" spans="1:22" x14ac:dyDescent="0.3">
      <c r="A596" s="47"/>
      <c r="B596" s="47"/>
      <c r="C596" s="47"/>
      <c r="D596" s="47"/>
      <c r="E596" s="47"/>
      <c r="F596" s="47"/>
      <c r="G596" s="47"/>
      <c r="H596" s="47"/>
      <c r="I596" s="47"/>
      <c r="J596" s="47"/>
      <c r="K596" s="47"/>
      <c r="L596" s="47"/>
      <c r="M596" s="47"/>
      <c r="N596" s="91"/>
      <c r="O596" s="47"/>
      <c r="P596" s="47"/>
      <c r="Q596" s="47"/>
      <c r="R596" s="47"/>
      <c r="S596" s="47"/>
      <c r="T596" s="47"/>
      <c r="U596" s="47"/>
      <c r="V596" s="47"/>
    </row>
    <row r="597" spans="1:22" x14ac:dyDescent="0.3">
      <c r="A597" s="47"/>
      <c r="B597" s="47"/>
      <c r="C597" s="47"/>
      <c r="D597" s="47"/>
      <c r="E597" s="47"/>
      <c r="F597" s="47"/>
      <c r="G597" s="47"/>
      <c r="H597" s="47"/>
      <c r="I597" s="47"/>
      <c r="J597" s="47"/>
      <c r="K597" s="47"/>
      <c r="L597" s="47"/>
      <c r="M597" s="47"/>
      <c r="N597" s="91"/>
      <c r="O597" s="47"/>
      <c r="P597" s="47"/>
      <c r="Q597" s="47"/>
      <c r="R597" s="47"/>
      <c r="S597" s="47"/>
      <c r="T597" s="47"/>
      <c r="U597" s="47"/>
      <c r="V597" s="47"/>
    </row>
    <row r="598" spans="1:22" x14ac:dyDescent="0.3">
      <c r="A598" s="47"/>
      <c r="B598" s="47"/>
      <c r="C598" s="47"/>
      <c r="D598" s="47"/>
      <c r="E598" s="47"/>
      <c r="F598" s="47"/>
      <c r="G598" s="47"/>
      <c r="H598" s="47"/>
      <c r="I598" s="47"/>
      <c r="J598" s="47"/>
      <c r="K598" s="47"/>
      <c r="L598" s="47"/>
      <c r="M598" s="47"/>
      <c r="N598" s="91"/>
      <c r="O598" s="47"/>
      <c r="P598" s="47"/>
      <c r="Q598" s="47"/>
      <c r="R598" s="47"/>
      <c r="S598" s="47"/>
      <c r="T598" s="47"/>
      <c r="U598" s="47"/>
      <c r="V598" s="47"/>
    </row>
    <row r="599" spans="1:22" x14ac:dyDescent="0.3">
      <c r="A599" s="47"/>
      <c r="B599" s="47"/>
      <c r="C599" s="47"/>
      <c r="D599" s="47"/>
      <c r="E599" s="47"/>
      <c r="F599" s="47"/>
      <c r="G599" s="47"/>
      <c r="H599" s="47"/>
      <c r="I599" s="47"/>
      <c r="J599" s="47"/>
      <c r="K599" s="47"/>
      <c r="L599" s="47"/>
      <c r="M599" s="47"/>
      <c r="N599" s="91"/>
      <c r="O599" s="47"/>
      <c r="P599" s="47"/>
      <c r="Q599" s="47"/>
      <c r="R599" s="47"/>
      <c r="S599" s="47"/>
      <c r="T599" s="47"/>
      <c r="U599" s="47"/>
      <c r="V599" s="47"/>
    </row>
    <row r="600" spans="1:22" x14ac:dyDescent="0.3">
      <c r="A600" s="47"/>
      <c r="B600" s="47"/>
      <c r="C600" s="47"/>
      <c r="D600" s="47"/>
      <c r="E600" s="47"/>
      <c r="F600" s="47"/>
      <c r="G600" s="47"/>
      <c r="H600" s="47"/>
      <c r="I600" s="47"/>
      <c r="J600" s="47"/>
      <c r="K600" s="47"/>
      <c r="L600" s="47"/>
      <c r="M600" s="47"/>
      <c r="N600" s="91"/>
      <c r="O600" s="47"/>
      <c r="P600" s="47"/>
      <c r="Q600" s="47"/>
      <c r="R600" s="47"/>
      <c r="S600" s="47"/>
      <c r="T600" s="47"/>
      <c r="U600" s="47"/>
      <c r="V600" s="47"/>
    </row>
    <row r="601" spans="1:22" x14ac:dyDescent="0.3">
      <c r="A601" s="47"/>
      <c r="B601" s="47"/>
      <c r="C601" s="47"/>
      <c r="D601" s="47"/>
      <c r="E601" s="47"/>
      <c r="F601" s="47"/>
      <c r="G601" s="47"/>
      <c r="H601" s="47"/>
      <c r="I601" s="47"/>
      <c r="J601" s="47"/>
      <c r="K601" s="47"/>
      <c r="L601" s="47"/>
      <c r="M601" s="47"/>
      <c r="N601" s="91"/>
      <c r="O601" s="47"/>
      <c r="P601" s="47"/>
      <c r="Q601" s="47"/>
      <c r="R601" s="47"/>
      <c r="S601" s="47"/>
      <c r="T601" s="47"/>
      <c r="U601" s="47"/>
      <c r="V601" s="47"/>
    </row>
    <row r="602" spans="1:22" x14ac:dyDescent="0.3">
      <c r="A602" s="47"/>
      <c r="B602" s="47"/>
      <c r="C602" s="47"/>
      <c r="D602" s="47"/>
      <c r="E602" s="47"/>
      <c r="F602" s="47"/>
      <c r="G602" s="47"/>
      <c r="H602" s="47"/>
      <c r="I602" s="47"/>
      <c r="J602" s="47"/>
      <c r="K602" s="47"/>
      <c r="L602" s="47"/>
      <c r="M602" s="47"/>
      <c r="N602" s="91"/>
      <c r="O602" s="47"/>
      <c r="P602" s="47"/>
      <c r="Q602" s="47"/>
      <c r="R602" s="47"/>
      <c r="S602" s="47"/>
      <c r="T602" s="47"/>
      <c r="U602" s="47"/>
      <c r="V602" s="47"/>
    </row>
    <row r="603" spans="1:22" x14ac:dyDescent="0.3">
      <c r="A603" s="47"/>
      <c r="B603" s="47"/>
      <c r="C603" s="47"/>
      <c r="D603" s="47"/>
      <c r="E603" s="47"/>
      <c r="F603" s="47"/>
      <c r="G603" s="47"/>
      <c r="H603" s="47"/>
      <c r="I603" s="47"/>
      <c r="J603" s="47"/>
      <c r="K603" s="47"/>
      <c r="L603" s="47"/>
      <c r="M603" s="47"/>
      <c r="N603" s="91"/>
      <c r="O603" s="47"/>
      <c r="P603" s="47"/>
      <c r="Q603" s="47"/>
      <c r="R603" s="47"/>
      <c r="S603" s="47"/>
      <c r="T603" s="47"/>
      <c r="U603" s="47"/>
      <c r="V603" s="47"/>
    </row>
    <row r="604" spans="1:22" x14ac:dyDescent="0.3">
      <c r="A604" s="47"/>
      <c r="B604" s="47"/>
      <c r="C604" s="47"/>
      <c r="D604" s="47"/>
      <c r="E604" s="47"/>
      <c r="F604" s="47"/>
      <c r="G604" s="47"/>
      <c r="H604" s="47"/>
      <c r="I604" s="47"/>
      <c r="J604" s="47"/>
      <c r="K604" s="47"/>
      <c r="L604" s="47"/>
      <c r="M604" s="47"/>
      <c r="N604" s="91"/>
      <c r="O604" s="47"/>
      <c r="P604" s="47"/>
      <c r="Q604" s="47"/>
      <c r="R604" s="47"/>
      <c r="S604" s="47"/>
      <c r="T604" s="47"/>
      <c r="U604" s="47"/>
      <c r="V604" s="47"/>
    </row>
    <row r="605" spans="1:22" x14ac:dyDescent="0.3">
      <c r="A605" s="47"/>
      <c r="B605" s="47"/>
      <c r="C605" s="47"/>
      <c r="D605" s="47"/>
      <c r="E605" s="47"/>
      <c r="F605" s="47"/>
      <c r="G605" s="47"/>
      <c r="H605" s="47"/>
      <c r="I605" s="47"/>
      <c r="J605" s="47"/>
      <c r="K605" s="47"/>
      <c r="L605" s="47"/>
      <c r="M605" s="47"/>
      <c r="N605" s="91"/>
      <c r="O605" s="47"/>
      <c r="P605" s="47"/>
      <c r="Q605" s="47"/>
      <c r="R605" s="47"/>
      <c r="S605" s="47"/>
      <c r="T605" s="47"/>
      <c r="U605" s="47"/>
      <c r="V605" s="47"/>
    </row>
    <row r="606" spans="1:22" x14ac:dyDescent="0.3">
      <c r="A606" s="47"/>
      <c r="B606" s="47"/>
      <c r="C606" s="47"/>
      <c r="D606" s="47"/>
      <c r="E606" s="47"/>
      <c r="F606" s="47"/>
      <c r="G606" s="47"/>
      <c r="H606" s="47"/>
      <c r="I606" s="47"/>
      <c r="J606" s="47"/>
      <c r="K606" s="47"/>
      <c r="L606" s="47"/>
      <c r="M606" s="47"/>
      <c r="N606" s="91"/>
      <c r="O606" s="47"/>
      <c r="P606" s="47"/>
      <c r="Q606" s="47"/>
      <c r="R606" s="47"/>
      <c r="S606" s="47"/>
      <c r="T606" s="47"/>
      <c r="U606" s="47"/>
      <c r="V606" s="47"/>
    </row>
    <row r="607" spans="1:22" x14ac:dyDescent="0.3">
      <c r="A607" s="47"/>
      <c r="B607" s="47"/>
      <c r="C607" s="47"/>
      <c r="D607" s="47"/>
      <c r="E607" s="47"/>
      <c r="F607" s="47"/>
      <c r="G607" s="47"/>
      <c r="H607" s="47"/>
      <c r="I607" s="47"/>
      <c r="J607" s="47"/>
      <c r="K607" s="47"/>
      <c r="L607" s="47"/>
      <c r="M607" s="47"/>
      <c r="N607" s="91"/>
      <c r="O607" s="47"/>
      <c r="P607" s="47"/>
      <c r="Q607" s="47"/>
      <c r="R607" s="47"/>
      <c r="S607" s="47"/>
      <c r="T607" s="47"/>
      <c r="U607" s="47"/>
      <c r="V607" s="47"/>
    </row>
    <row r="608" spans="1:22" x14ac:dyDescent="0.3">
      <c r="A608" s="47"/>
      <c r="B608" s="47"/>
      <c r="C608" s="47"/>
      <c r="D608" s="47"/>
      <c r="E608" s="47"/>
      <c r="F608" s="47"/>
      <c r="G608" s="47"/>
      <c r="H608" s="47"/>
      <c r="I608" s="47"/>
      <c r="J608" s="47"/>
      <c r="K608" s="47"/>
      <c r="L608" s="47"/>
      <c r="M608" s="47"/>
      <c r="N608" s="91"/>
      <c r="O608" s="47"/>
      <c r="P608" s="47"/>
      <c r="Q608" s="47"/>
      <c r="R608" s="47"/>
      <c r="S608" s="47"/>
      <c r="T608" s="47"/>
      <c r="U608" s="47"/>
      <c r="V608" s="47"/>
    </row>
    <row r="609" spans="1:22" x14ac:dyDescent="0.3">
      <c r="A609" s="47"/>
      <c r="B609" s="47"/>
      <c r="C609" s="47"/>
      <c r="D609" s="47"/>
      <c r="E609" s="47"/>
      <c r="F609" s="47"/>
      <c r="G609" s="47"/>
      <c r="H609" s="47"/>
      <c r="I609" s="47"/>
      <c r="J609" s="47"/>
      <c r="K609" s="47"/>
      <c r="L609" s="47"/>
      <c r="M609" s="47"/>
      <c r="N609" s="91"/>
      <c r="O609" s="47"/>
      <c r="P609" s="47"/>
      <c r="Q609" s="47"/>
      <c r="R609" s="47"/>
      <c r="S609" s="47"/>
      <c r="T609" s="47"/>
      <c r="U609" s="47"/>
      <c r="V609" s="47"/>
    </row>
    <row r="610" spans="1:22" x14ac:dyDescent="0.3">
      <c r="A610" s="47"/>
      <c r="B610" s="47"/>
      <c r="C610" s="47"/>
      <c r="D610" s="47"/>
      <c r="E610" s="47"/>
      <c r="F610" s="47"/>
      <c r="G610" s="47"/>
      <c r="H610" s="47"/>
      <c r="I610" s="47"/>
      <c r="J610" s="47"/>
      <c r="K610" s="47"/>
      <c r="L610" s="47"/>
      <c r="M610" s="47"/>
      <c r="N610" s="91"/>
      <c r="O610" s="47"/>
      <c r="P610" s="47"/>
      <c r="Q610" s="47"/>
      <c r="R610" s="47"/>
      <c r="S610" s="47"/>
      <c r="T610" s="47"/>
      <c r="U610" s="47"/>
      <c r="V610" s="47"/>
    </row>
    <row r="611" spans="1:22" x14ac:dyDescent="0.3">
      <c r="A611" s="47"/>
      <c r="B611" s="47"/>
      <c r="C611" s="47"/>
      <c r="D611" s="47"/>
      <c r="E611" s="47"/>
      <c r="F611" s="47"/>
      <c r="G611" s="47"/>
      <c r="H611" s="47"/>
      <c r="I611" s="47"/>
      <c r="J611" s="47"/>
      <c r="K611" s="47"/>
      <c r="L611" s="47"/>
      <c r="M611" s="47"/>
      <c r="N611" s="91"/>
      <c r="O611" s="47"/>
      <c r="P611" s="47"/>
      <c r="Q611" s="47"/>
      <c r="R611" s="47"/>
      <c r="S611" s="47"/>
      <c r="T611" s="47"/>
      <c r="U611" s="47"/>
      <c r="V611" s="47"/>
    </row>
    <row r="612" spans="1:22" x14ac:dyDescent="0.3">
      <c r="A612" s="47"/>
      <c r="B612" s="47"/>
      <c r="C612" s="47"/>
      <c r="D612" s="47"/>
      <c r="E612" s="47"/>
      <c r="F612" s="47"/>
      <c r="G612" s="47"/>
      <c r="H612" s="47"/>
      <c r="I612" s="47"/>
      <c r="J612" s="47"/>
      <c r="K612" s="47"/>
      <c r="L612" s="47"/>
      <c r="M612" s="47"/>
      <c r="N612" s="91"/>
      <c r="O612" s="47"/>
      <c r="P612" s="47"/>
      <c r="Q612" s="47"/>
      <c r="R612" s="47"/>
      <c r="S612" s="47"/>
      <c r="T612" s="47"/>
      <c r="U612" s="47"/>
      <c r="V612" s="47"/>
    </row>
    <row r="613" spans="1:22" x14ac:dyDescent="0.3">
      <c r="A613" s="47"/>
      <c r="B613" s="47"/>
      <c r="C613" s="47"/>
      <c r="D613" s="47"/>
      <c r="E613" s="47"/>
      <c r="F613" s="47"/>
      <c r="G613" s="47"/>
      <c r="H613" s="47"/>
      <c r="I613" s="47"/>
      <c r="J613" s="47"/>
      <c r="K613" s="47"/>
      <c r="L613" s="47"/>
      <c r="M613" s="47"/>
      <c r="N613" s="91"/>
      <c r="O613" s="47"/>
      <c r="P613" s="47"/>
      <c r="Q613" s="47"/>
      <c r="R613" s="47"/>
      <c r="S613" s="47"/>
      <c r="T613" s="47"/>
      <c r="U613" s="47"/>
      <c r="V613" s="47"/>
    </row>
    <row r="614" spans="1:22" x14ac:dyDescent="0.3">
      <c r="A614" s="47"/>
      <c r="B614" s="47"/>
      <c r="C614" s="47"/>
      <c r="D614" s="47"/>
      <c r="E614" s="47"/>
      <c r="F614" s="47"/>
      <c r="G614" s="47"/>
      <c r="H614" s="47"/>
      <c r="I614" s="47"/>
      <c r="J614" s="47"/>
      <c r="K614" s="47"/>
      <c r="L614" s="47"/>
      <c r="M614" s="47"/>
      <c r="N614" s="91"/>
      <c r="O614" s="47"/>
      <c r="P614" s="47"/>
      <c r="Q614" s="47"/>
      <c r="R614" s="47"/>
      <c r="S614" s="47"/>
      <c r="T614" s="47"/>
      <c r="U614" s="47"/>
      <c r="V614" s="47"/>
    </row>
    <row r="615" spans="1:22" x14ac:dyDescent="0.3">
      <c r="A615" s="47"/>
      <c r="B615" s="47"/>
      <c r="C615" s="47"/>
      <c r="D615" s="47"/>
      <c r="E615" s="47"/>
      <c r="F615" s="47"/>
      <c r="G615" s="47"/>
      <c r="H615" s="47"/>
      <c r="I615" s="47"/>
      <c r="J615" s="47"/>
      <c r="K615" s="47"/>
      <c r="L615" s="47"/>
      <c r="M615" s="47"/>
      <c r="N615" s="91"/>
      <c r="O615" s="47"/>
      <c r="P615" s="47"/>
      <c r="Q615" s="47"/>
      <c r="R615" s="47"/>
      <c r="S615" s="47"/>
      <c r="T615" s="47"/>
      <c r="U615" s="47"/>
      <c r="V615" s="47"/>
    </row>
    <row r="616" spans="1:22" x14ac:dyDescent="0.3">
      <c r="A616" s="47"/>
      <c r="B616" s="47"/>
      <c r="C616" s="47"/>
      <c r="D616" s="47"/>
      <c r="E616" s="47"/>
      <c r="F616" s="47"/>
      <c r="G616" s="47"/>
      <c r="H616" s="47"/>
      <c r="I616" s="47"/>
      <c r="J616" s="47"/>
      <c r="K616" s="47"/>
      <c r="L616" s="47"/>
      <c r="M616" s="47"/>
      <c r="N616" s="91"/>
      <c r="O616" s="47"/>
      <c r="P616" s="47"/>
      <c r="Q616" s="47"/>
      <c r="R616" s="47"/>
      <c r="S616" s="47"/>
      <c r="T616" s="47"/>
      <c r="U616" s="47"/>
      <c r="V616" s="47"/>
    </row>
    <row r="617" spans="1:22" x14ac:dyDescent="0.3">
      <c r="A617" s="47"/>
      <c r="B617" s="47"/>
      <c r="C617" s="47"/>
      <c r="D617" s="47"/>
      <c r="E617" s="47"/>
      <c r="F617" s="47"/>
      <c r="G617" s="47"/>
      <c r="H617" s="47"/>
      <c r="I617" s="47"/>
      <c r="J617" s="47"/>
      <c r="K617" s="47"/>
      <c r="L617" s="47"/>
      <c r="M617" s="47"/>
      <c r="N617" s="91"/>
      <c r="O617" s="47"/>
      <c r="P617" s="47"/>
      <c r="Q617" s="47"/>
      <c r="R617" s="47"/>
      <c r="S617" s="47"/>
      <c r="T617" s="47"/>
      <c r="U617" s="47"/>
      <c r="V617" s="47"/>
    </row>
    <row r="618" spans="1:22" x14ac:dyDescent="0.3">
      <c r="A618" s="47"/>
      <c r="B618" s="47"/>
      <c r="C618" s="47"/>
      <c r="D618" s="47"/>
      <c r="E618" s="47"/>
      <c r="F618" s="47"/>
      <c r="G618" s="47"/>
      <c r="H618" s="47"/>
      <c r="I618" s="47"/>
      <c r="J618" s="47"/>
      <c r="K618" s="47"/>
      <c r="L618" s="47"/>
      <c r="M618" s="47"/>
      <c r="N618" s="91"/>
      <c r="O618" s="47"/>
      <c r="P618" s="47"/>
      <c r="Q618" s="47"/>
      <c r="R618" s="47"/>
      <c r="S618" s="47"/>
      <c r="T618" s="47"/>
      <c r="U618" s="47"/>
      <c r="V618" s="47"/>
    </row>
    <row r="619" spans="1:22" x14ac:dyDescent="0.3">
      <c r="A619" s="47"/>
      <c r="B619" s="47"/>
      <c r="C619" s="47"/>
      <c r="D619" s="47"/>
      <c r="E619" s="47"/>
      <c r="F619" s="47"/>
      <c r="G619" s="47"/>
      <c r="H619" s="47"/>
      <c r="I619" s="47"/>
      <c r="J619" s="47"/>
      <c r="K619" s="47"/>
      <c r="L619" s="47"/>
      <c r="M619" s="47"/>
      <c r="N619" s="91"/>
      <c r="O619" s="47"/>
      <c r="P619" s="47"/>
      <c r="Q619" s="47"/>
      <c r="R619" s="47"/>
      <c r="S619" s="47"/>
      <c r="T619" s="47"/>
      <c r="U619" s="47"/>
      <c r="V619" s="47"/>
    </row>
    <row r="620" spans="1:22" x14ac:dyDescent="0.3">
      <c r="A620" s="47"/>
      <c r="B620" s="47"/>
      <c r="C620" s="47"/>
      <c r="D620" s="47"/>
      <c r="E620" s="47"/>
      <c r="F620" s="47"/>
      <c r="G620" s="47"/>
      <c r="H620" s="47"/>
      <c r="I620" s="47"/>
      <c r="J620" s="47"/>
      <c r="K620" s="47"/>
      <c r="L620" s="47"/>
      <c r="M620" s="47"/>
      <c r="N620" s="91"/>
      <c r="O620" s="47"/>
      <c r="P620" s="47"/>
      <c r="Q620" s="47"/>
      <c r="R620" s="47"/>
      <c r="S620" s="47"/>
      <c r="T620" s="47"/>
      <c r="U620" s="47"/>
      <c r="V620" s="47"/>
    </row>
    <row r="621" spans="1:22" x14ac:dyDescent="0.3">
      <c r="A621" s="47"/>
      <c r="B621" s="47"/>
      <c r="C621" s="47"/>
      <c r="D621" s="47"/>
      <c r="E621" s="47"/>
      <c r="F621" s="47"/>
      <c r="G621" s="47"/>
      <c r="H621" s="47"/>
      <c r="I621" s="47"/>
      <c r="J621" s="47"/>
      <c r="K621" s="47"/>
      <c r="L621" s="47"/>
      <c r="M621" s="47"/>
      <c r="N621" s="91"/>
      <c r="O621" s="47"/>
      <c r="P621" s="47"/>
      <c r="Q621" s="47"/>
      <c r="R621" s="47"/>
      <c r="S621" s="47"/>
      <c r="T621" s="47"/>
      <c r="U621" s="47"/>
      <c r="V621" s="47"/>
    </row>
    <row r="622" spans="1:22" x14ac:dyDescent="0.3">
      <c r="A622" s="47"/>
      <c r="B622" s="47"/>
      <c r="C622" s="47"/>
      <c r="D622" s="47"/>
      <c r="E622" s="47"/>
      <c r="F622" s="47"/>
      <c r="G622" s="47"/>
      <c r="H622" s="47"/>
      <c r="I622" s="47"/>
      <c r="J622" s="47"/>
      <c r="K622" s="47"/>
      <c r="L622" s="47"/>
      <c r="M622" s="47"/>
      <c r="N622" s="91"/>
      <c r="O622" s="47"/>
      <c r="P622" s="47"/>
      <c r="Q622" s="47"/>
      <c r="R622" s="47"/>
      <c r="S622" s="47"/>
      <c r="T622" s="47"/>
      <c r="U622" s="47"/>
      <c r="V622" s="47"/>
    </row>
    <row r="623" spans="1:22" x14ac:dyDescent="0.3">
      <c r="A623" s="47"/>
      <c r="B623" s="47"/>
      <c r="C623" s="47"/>
      <c r="D623" s="47"/>
      <c r="E623" s="47"/>
      <c r="F623" s="47"/>
      <c r="G623" s="47"/>
      <c r="H623" s="47"/>
      <c r="I623" s="47"/>
      <c r="J623" s="47"/>
      <c r="K623" s="47"/>
      <c r="L623" s="47"/>
      <c r="M623" s="47"/>
      <c r="N623" s="91"/>
      <c r="O623" s="47"/>
      <c r="P623" s="47"/>
      <c r="Q623" s="47"/>
      <c r="R623" s="47"/>
      <c r="S623" s="47"/>
      <c r="T623" s="47"/>
      <c r="U623" s="47"/>
      <c r="V623" s="47"/>
    </row>
    <row r="624" spans="1:22" x14ac:dyDescent="0.3">
      <c r="A624" s="47"/>
      <c r="B624" s="47"/>
      <c r="C624" s="47"/>
      <c r="D624" s="47"/>
      <c r="E624" s="47"/>
      <c r="F624" s="47"/>
      <c r="G624" s="47"/>
      <c r="H624" s="47"/>
      <c r="I624" s="47"/>
      <c r="J624" s="47"/>
      <c r="K624" s="47"/>
      <c r="L624" s="47"/>
      <c r="M624" s="47"/>
      <c r="N624" s="91"/>
      <c r="O624" s="47"/>
      <c r="P624" s="47"/>
      <c r="Q624" s="47"/>
      <c r="R624" s="47"/>
      <c r="S624" s="47"/>
      <c r="T624" s="47"/>
      <c r="U624" s="47"/>
      <c r="V624" s="47"/>
    </row>
    <row r="625" spans="1:22" x14ac:dyDescent="0.3">
      <c r="A625" s="47"/>
      <c r="B625" s="47"/>
      <c r="C625" s="47"/>
      <c r="D625" s="47"/>
      <c r="E625" s="47"/>
      <c r="F625" s="47"/>
      <c r="G625" s="47"/>
      <c r="H625" s="47"/>
      <c r="I625" s="47"/>
      <c r="J625" s="47"/>
      <c r="K625" s="47"/>
      <c r="L625" s="47"/>
      <c r="M625" s="47"/>
      <c r="N625" s="91"/>
      <c r="O625" s="47"/>
      <c r="P625" s="47"/>
      <c r="Q625" s="47"/>
      <c r="R625" s="47"/>
      <c r="S625" s="47"/>
      <c r="T625" s="47"/>
      <c r="U625" s="47"/>
      <c r="V625" s="47"/>
    </row>
    <row r="626" spans="1:22" x14ac:dyDescent="0.3">
      <c r="A626" s="47"/>
      <c r="B626" s="47"/>
      <c r="C626" s="47"/>
      <c r="D626" s="47"/>
      <c r="E626" s="47"/>
      <c r="F626" s="47"/>
      <c r="G626" s="47"/>
      <c r="H626" s="47"/>
      <c r="I626" s="47"/>
      <c r="J626" s="47"/>
      <c r="K626" s="47"/>
      <c r="L626" s="47"/>
      <c r="M626" s="47"/>
      <c r="N626" s="91"/>
      <c r="O626" s="47"/>
      <c r="P626" s="47"/>
      <c r="Q626" s="47"/>
      <c r="R626" s="47"/>
      <c r="S626" s="47"/>
      <c r="T626" s="47"/>
      <c r="U626" s="47"/>
      <c r="V626" s="47"/>
    </row>
    <row r="627" spans="1:22" x14ac:dyDescent="0.3">
      <c r="A627" s="47"/>
      <c r="B627" s="47"/>
      <c r="C627" s="47"/>
      <c r="D627" s="47"/>
      <c r="E627" s="47"/>
      <c r="F627" s="47"/>
      <c r="G627" s="47"/>
      <c r="H627" s="47"/>
      <c r="I627" s="47"/>
      <c r="J627" s="47"/>
      <c r="K627" s="47"/>
      <c r="L627" s="47"/>
      <c r="M627" s="47"/>
      <c r="N627" s="91"/>
      <c r="O627" s="47"/>
      <c r="P627" s="47"/>
      <c r="Q627" s="47"/>
      <c r="R627" s="47"/>
      <c r="S627" s="47"/>
      <c r="T627" s="47"/>
      <c r="U627" s="47"/>
      <c r="V627" s="47"/>
    </row>
    <row r="628" spans="1:22" x14ac:dyDescent="0.3">
      <c r="A628" s="47"/>
      <c r="B628" s="47"/>
      <c r="C628" s="47"/>
      <c r="D628" s="47"/>
      <c r="E628" s="47"/>
      <c r="F628" s="47"/>
      <c r="G628" s="47"/>
      <c r="H628" s="47"/>
      <c r="I628" s="47"/>
      <c r="J628" s="47"/>
      <c r="K628" s="47"/>
      <c r="L628" s="47"/>
      <c r="M628" s="47"/>
      <c r="N628" s="91"/>
      <c r="O628" s="47"/>
      <c r="P628" s="47"/>
      <c r="Q628" s="47"/>
      <c r="R628" s="47"/>
      <c r="S628" s="47"/>
      <c r="T628" s="47"/>
      <c r="U628" s="47"/>
      <c r="V628" s="47"/>
    </row>
    <row r="629" spans="1:22" x14ac:dyDescent="0.3">
      <c r="A629" s="47"/>
      <c r="B629" s="47"/>
      <c r="C629" s="47"/>
      <c r="D629" s="47"/>
      <c r="E629" s="47"/>
      <c r="F629" s="47"/>
      <c r="G629" s="47"/>
      <c r="H629" s="47"/>
      <c r="I629" s="47"/>
      <c r="J629" s="47"/>
      <c r="K629" s="47"/>
      <c r="L629" s="47"/>
      <c r="M629" s="47"/>
      <c r="N629" s="91"/>
      <c r="O629" s="47"/>
      <c r="P629" s="47"/>
      <c r="Q629" s="47"/>
      <c r="R629" s="47"/>
      <c r="S629" s="47"/>
      <c r="T629" s="47"/>
      <c r="U629" s="47"/>
      <c r="V629" s="47"/>
    </row>
    <row r="630" spans="1:22" x14ac:dyDescent="0.3">
      <c r="A630" s="47"/>
      <c r="B630" s="47"/>
      <c r="C630" s="47"/>
      <c r="D630" s="47"/>
      <c r="E630" s="47"/>
      <c r="F630" s="47"/>
      <c r="G630" s="47"/>
      <c r="H630" s="47"/>
      <c r="I630" s="47"/>
      <c r="J630" s="47"/>
      <c r="K630" s="47"/>
      <c r="L630" s="47"/>
      <c r="M630" s="47"/>
      <c r="N630" s="91"/>
      <c r="O630" s="47"/>
      <c r="P630" s="47"/>
      <c r="Q630" s="47"/>
      <c r="R630" s="47"/>
      <c r="S630" s="47"/>
      <c r="T630" s="47"/>
      <c r="U630" s="47"/>
      <c r="V630" s="47"/>
    </row>
    <row r="631" spans="1:22" x14ac:dyDescent="0.3">
      <c r="A631" s="47"/>
      <c r="B631" s="47"/>
      <c r="C631" s="47"/>
      <c r="D631" s="47"/>
      <c r="E631" s="47"/>
      <c r="F631" s="47"/>
      <c r="G631" s="47"/>
      <c r="H631" s="47"/>
      <c r="I631" s="47"/>
      <c r="J631" s="47"/>
      <c r="K631" s="47"/>
      <c r="L631" s="47"/>
      <c r="M631" s="47"/>
      <c r="N631" s="91"/>
      <c r="O631" s="47"/>
      <c r="P631" s="47"/>
      <c r="Q631" s="47"/>
      <c r="R631" s="47"/>
      <c r="S631" s="47"/>
      <c r="T631" s="47"/>
      <c r="U631" s="47"/>
      <c r="V631" s="47"/>
    </row>
    <row r="632" spans="1:22" x14ac:dyDescent="0.3">
      <c r="A632" s="47"/>
      <c r="B632" s="47"/>
      <c r="C632" s="47"/>
      <c r="D632" s="47"/>
      <c r="E632" s="47"/>
      <c r="F632" s="47"/>
      <c r="G632" s="47"/>
      <c r="H632" s="47"/>
      <c r="I632" s="47"/>
      <c r="J632" s="47"/>
      <c r="K632" s="47"/>
      <c r="L632" s="47"/>
      <c r="M632" s="47"/>
      <c r="N632" s="91"/>
      <c r="O632" s="47"/>
      <c r="P632" s="47"/>
      <c r="Q632" s="47"/>
      <c r="R632" s="47"/>
      <c r="S632" s="47"/>
      <c r="T632" s="47"/>
      <c r="U632" s="47"/>
      <c r="V632" s="47"/>
    </row>
    <row r="633" spans="1:22" x14ac:dyDescent="0.3">
      <c r="A633" s="47"/>
      <c r="B633" s="47"/>
      <c r="C633" s="47"/>
      <c r="D633" s="47"/>
      <c r="E633" s="47"/>
      <c r="F633" s="47"/>
      <c r="G633" s="47"/>
      <c r="H633" s="47"/>
      <c r="I633" s="47"/>
      <c r="J633" s="47"/>
      <c r="K633" s="47"/>
      <c r="L633" s="47"/>
      <c r="M633" s="47"/>
      <c r="N633" s="91"/>
      <c r="O633" s="47"/>
      <c r="P633" s="47"/>
      <c r="Q633" s="47"/>
      <c r="R633" s="47"/>
      <c r="S633" s="47"/>
      <c r="T633" s="47"/>
      <c r="U633" s="47"/>
      <c r="V633" s="47"/>
    </row>
    <row r="634" spans="1:22" x14ac:dyDescent="0.3">
      <c r="A634" s="47"/>
      <c r="B634" s="47"/>
      <c r="C634" s="47"/>
      <c r="D634" s="47"/>
      <c r="E634" s="47"/>
      <c r="F634" s="47"/>
      <c r="G634" s="47"/>
      <c r="H634" s="47"/>
      <c r="I634" s="47"/>
      <c r="J634" s="47"/>
      <c r="K634" s="47"/>
      <c r="L634" s="47"/>
      <c r="M634" s="47"/>
      <c r="N634" s="91"/>
      <c r="O634" s="47"/>
      <c r="P634" s="47"/>
      <c r="Q634" s="47"/>
      <c r="R634" s="47"/>
      <c r="S634" s="47"/>
      <c r="T634" s="47"/>
      <c r="U634" s="47"/>
      <c r="V634" s="47"/>
    </row>
    <row r="635" spans="1:22" x14ac:dyDescent="0.3">
      <c r="A635" s="47"/>
      <c r="B635" s="47"/>
      <c r="C635" s="47"/>
      <c r="D635" s="47"/>
      <c r="E635" s="47"/>
      <c r="F635" s="47"/>
      <c r="G635" s="47"/>
      <c r="H635" s="47"/>
      <c r="I635" s="47"/>
      <c r="J635" s="47"/>
      <c r="K635" s="47"/>
      <c r="L635" s="47"/>
      <c r="M635" s="47"/>
      <c r="N635" s="91"/>
      <c r="O635" s="47"/>
      <c r="P635" s="47"/>
      <c r="Q635" s="47"/>
      <c r="R635" s="47"/>
      <c r="S635" s="47"/>
      <c r="T635" s="47"/>
      <c r="U635" s="47"/>
      <c r="V635" s="47"/>
    </row>
    <row r="636" spans="1:22" x14ac:dyDescent="0.3">
      <c r="A636" s="47"/>
      <c r="B636" s="47"/>
      <c r="C636" s="47"/>
      <c r="D636" s="47"/>
      <c r="E636" s="47"/>
      <c r="F636" s="47"/>
      <c r="G636" s="47"/>
      <c r="H636" s="47"/>
      <c r="I636" s="47"/>
      <c r="J636" s="47"/>
      <c r="K636" s="47"/>
      <c r="L636" s="47"/>
      <c r="M636" s="47"/>
      <c r="N636" s="91"/>
      <c r="O636" s="47"/>
      <c r="P636" s="47"/>
      <c r="Q636" s="47"/>
      <c r="R636" s="47"/>
      <c r="S636" s="47"/>
      <c r="T636" s="47"/>
      <c r="U636" s="47"/>
      <c r="V636" s="47"/>
    </row>
    <row r="637" spans="1:22" x14ac:dyDescent="0.3">
      <c r="A637" s="47"/>
      <c r="B637" s="47"/>
      <c r="C637" s="47"/>
      <c r="D637" s="47"/>
      <c r="E637" s="47"/>
      <c r="F637" s="47"/>
      <c r="G637" s="47"/>
      <c r="H637" s="47"/>
      <c r="I637" s="47"/>
      <c r="J637" s="47"/>
      <c r="K637" s="47"/>
      <c r="L637" s="47"/>
      <c r="M637" s="47"/>
      <c r="N637" s="91"/>
      <c r="O637" s="47"/>
      <c r="P637" s="47"/>
      <c r="Q637" s="47"/>
      <c r="R637" s="47"/>
      <c r="S637" s="47"/>
      <c r="T637" s="47"/>
      <c r="U637" s="47"/>
      <c r="V637" s="47"/>
    </row>
    <row r="638" spans="1:22" x14ac:dyDescent="0.3">
      <c r="A638" s="47"/>
      <c r="B638" s="47"/>
      <c r="C638" s="47"/>
      <c r="D638" s="47"/>
      <c r="E638" s="47"/>
      <c r="F638" s="47"/>
      <c r="G638" s="47"/>
      <c r="H638" s="47"/>
      <c r="I638" s="47"/>
      <c r="J638" s="47"/>
      <c r="K638" s="47"/>
      <c r="L638" s="47"/>
      <c r="M638" s="47"/>
      <c r="N638" s="91"/>
      <c r="O638" s="47"/>
      <c r="P638" s="47"/>
      <c r="Q638" s="47"/>
      <c r="R638" s="47"/>
      <c r="S638" s="47"/>
      <c r="T638" s="47"/>
      <c r="U638" s="47"/>
      <c r="V638" s="47"/>
    </row>
    <row r="639" spans="1:22" x14ac:dyDescent="0.3">
      <c r="A639" s="47"/>
      <c r="B639" s="47"/>
      <c r="C639" s="47"/>
      <c r="D639" s="47"/>
      <c r="E639" s="47"/>
      <c r="F639" s="47"/>
      <c r="G639" s="47"/>
      <c r="H639" s="47"/>
      <c r="I639" s="47"/>
      <c r="J639" s="47"/>
      <c r="K639" s="47"/>
      <c r="L639" s="47"/>
      <c r="M639" s="47"/>
      <c r="N639" s="91"/>
      <c r="O639" s="47"/>
      <c r="P639" s="47"/>
      <c r="Q639" s="47"/>
      <c r="R639" s="47"/>
      <c r="S639" s="47"/>
      <c r="T639" s="47"/>
      <c r="U639" s="47"/>
      <c r="V639" s="47"/>
    </row>
    <row r="640" spans="1:22" x14ac:dyDescent="0.3">
      <c r="A640" s="47"/>
      <c r="B640" s="47"/>
      <c r="C640" s="47"/>
      <c r="D640" s="47"/>
      <c r="E640" s="47"/>
      <c r="F640" s="47"/>
      <c r="G640" s="47"/>
      <c r="H640" s="47"/>
      <c r="I640" s="47"/>
      <c r="J640" s="47"/>
      <c r="K640" s="47"/>
      <c r="L640" s="47"/>
      <c r="M640" s="47"/>
      <c r="N640" s="91"/>
      <c r="O640" s="47"/>
      <c r="P640" s="47"/>
      <c r="Q640" s="47"/>
      <c r="R640" s="47"/>
      <c r="S640" s="47"/>
      <c r="T640" s="47"/>
      <c r="U640" s="47"/>
      <c r="V640" s="47"/>
    </row>
    <row r="641" spans="1:22" x14ac:dyDescent="0.3">
      <c r="A641" s="47"/>
      <c r="B641" s="47"/>
      <c r="C641" s="47"/>
      <c r="D641" s="47"/>
      <c r="E641" s="47"/>
      <c r="F641" s="47"/>
      <c r="G641" s="47"/>
      <c r="H641" s="47"/>
      <c r="I641" s="47"/>
      <c r="J641" s="47"/>
      <c r="K641" s="47"/>
      <c r="L641" s="47"/>
      <c r="M641" s="47"/>
      <c r="N641" s="91"/>
      <c r="O641" s="47"/>
      <c r="P641" s="47"/>
      <c r="Q641" s="47"/>
      <c r="R641" s="47"/>
      <c r="S641" s="47"/>
      <c r="T641" s="47"/>
      <c r="U641" s="47"/>
      <c r="V641" s="47"/>
    </row>
    <row r="642" spans="1:22" x14ac:dyDescent="0.3">
      <c r="A642" s="47"/>
      <c r="B642" s="47"/>
      <c r="C642" s="47"/>
      <c r="D642" s="47"/>
      <c r="E642" s="47"/>
      <c r="F642" s="47"/>
      <c r="G642" s="47"/>
      <c r="H642" s="47"/>
      <c r="I642" s="47"/>
      <c r="J642" s="47"/>
      <c r="K642" s="47"/>
      <c r="L642" s="47"/>
      <c r="M642" s="47"/>
      <c r="N642" s="91"/>
      <c r="O642" s="47"/>
      <c r="P642" s="47"/>
      <c r="Q642" s="47"/>
      <c r="R642" s="47"/>
      <c r="S642" s="47"/>
      <c r="T642" s="47"/>
      <c r="U642" s="47"/>
      <c r="V642" s="47"/>
    </row>
    <row r="643" spans="1:22" x14ac:dyDescent="0.3">
      <c r="A643" s="47"/>
      <c r="B643" s="47"/>
      <c r="C643" s="47"/>
      <c r="D643" s="47"/>
      <c r="E643" s="47"/>
      <c r="F643" s="47"/>
      <c r="G643" s="47"/>
      <c r="H643" s="47"/>
      <c r="I643" s="47"/>
      <c r="J643" s="47"/>
      <c r="K643" s="47"/>
      <c r="L643" s="47"/>
      <c r="M643" s="47"/>
      <c r="N643" s="91"/>
      <c r="O643" s="47"/>
      <c r="P643" s="47"/>
      <c r="Q643" s="47"/>
      <c r="R643" s="47"/>
      <c r="S643" s="47"/>
      <c r="T643" s="47"/>
      <c r="U643" s="47"/>
      <c r="V643" s="47"/>
    </row>
    <row r="644" spans="1:22" x14ac:dyDescent="0.3">
      <c r="A644" s="47"/>
      <c r="B644" s="47"/>
      <c r="C644" s="47"/>
      <c r="D644" s="47"/>
      <c r="E644" s="47"/>
      <c r="F644" s="47"/>
      <c r="G644" s="47"/>
      <c r="H644" s="47"/>
      <c r="I644" s="47"/>
      <c r="J644" s="47"/>
      <c r="K644" s="47"/>
      <c r="L644" s="47"/>
      <c r="M644" s="47"/>
      <c r="N644" s="91"/>
      <c r="O644" s="47"/>
      <c r="P644" s="47"/>
      <c r="Q644" s="47"/>
      <c r="R644" s="47"/>
      <c r="S644" s="47"/>
      <c r="T644" s="47"/>
      <c r="U644" s="47"/>
      <c r="V644" s="47"/>
    </row>
    <row r="645" spans="1:22" x14ac:dyDescent="0.3">
      <c r="A645" s="47"/>
      <c r="B645" s="47"/>
      <c r="C645" s="47"/>
      <c r="D645" s="47"/>
      <c r="E645" s="47"/>
      <c r="F645" s="47"/>
      <c r="G645" s="47"/>
      <c r="H645" s="47"/>
      <c r="I645" s="47"/>
      <c r="J645" s="47"/>
      <c r="K645" s="47"/>
      <c r="L645" s="47"/>
      <c r="M645" s="47"/>
      <c r="N645" s="91"/>
      <c r="O645" s="47"/>
      <c r="P645" s="47"/>
      <c r="Q645" s="47"/>
      <c r="R645" s="47"/>
      <c r="S645" s="47"/>
      <c r="T645" s="47"/>
      <c r="U645" s="47"/>
      <c r="V645" s="47"/>
    </row>
    <row r="646" spans="1:22" x14ac:dyDescent="0.3">
      <c r="A646" s="47"/>
      <c r="B646" s="47"/>
      <c r="C646" s="47"/>
      <c r="D646" s="47"/>
      <c r="E646" s="47"/>
      <c r="F646" s="47"/>
      <c r="G646" s="47"/>
      <c r="H646" s="47"/>
      <c r="I646" s="47"/>
      <c r="J646" s="47"/>
      <c r="K646" s="47"/>
      <c r="L646" s="47"/>
      <c r="M646" s="47"/>
      <c r="N646" s="91"/>
      <c r="O646" s="47"/>
      <c r="P646" s="47"/>
      <c r="Q646" s="47"/>
      <c r="R646" s="47"/>
      <c r="S646" s="47"/>
      <c r="T646" s="47"/>
      <c r="U646" s="47"/>
      <c r="V646" s="47"/>
    </row>
    <row r="647" spans="1:22" x14ac:dyDescent="0.3">
      <c r="A647" s="47"/>
      <c r="B647" s="47"/>
      <c r="C647" s="47"/>
      <c r="D647" s="47"/>
      <c r="E647" s="47"/>
      <c r="F647" s="47"/>
      <c r="G647" s="47"/>
      <c r="H647" s="47"/>
      <c r="I647" s="47"/>
      <c r="J647" s="47"/>
      <c r="K647" s="47"/>
      <c r="L647" s="47"/>
      <c r="M647" s="47"/>
      <c r="N647" s="91"/>
      <c r="O647" s="47"/>
      <c r="P647" s="47"/>
      <c r="Q647" s="47"/>
      <c r="R647" s="47"/>
      <c r="S647" s="47"/>
      <c r="T647" s="47"/>
      <c r="U647" s="47"/>
      <c r="V647" s="47"/>
    </row>
    <row r="648" spans="1:22" x14ac:dyDescent="0.3">
      <c r="A648" s="47"/>
      <c r="B648" s="47"/>
      <c r="C648" s="47"/>
      <c r="D648" s="47"/>
      <c r="E648" s="47"/>
      <c r="F648" s="47"/>
      <c r="G648" s="47"/>
      <c r="H648" s="47"/>
      <c r="I648" s="47"/>
      <c r="J648" s="47"/>
      <c r="K648" s="47"/>
      <c r="L648" s="47"/>
      <c r="M648" s="47"/>
      <c r="N648" s="91"/>
      <c r="O648" s="47"/>
      <c r="P648" s="47"/>
      <c r="Q648" s="47"/>
      <c r="R648" s="47"/>
      <c r="S648" s="47"/>
      <c r="T648" s="47"/>
      <c r="U648" s="47"/>
      <c r="V648" s="47"/>
    </row>
    <row r="649" spans="1:22" x14ac:dyDescent="0.3">
      <c r="A649" s="47"/>
      <c r="B649" s="47"/>
      <c r="C649" s="47"/>
      <c r="D649" s="47"/>
      <c r="E649" s="47"/>
      <c r="F649" s="47"/>
      <c r="G649" s="47"/>
      <c r="H649" s="47"/>
      <c r="I649" s="47"/>
      <c r="J649" s="47"/>
      <c r="K649" s="47"/>
      <c r="L649" s="47"/>
      <c r="M649" s="47"/>
      <c r="N649" s="91"/>
      <c r="O649" s="47"/>
      <c r="P649" s="47"/>
      <c r="Q649" s="47"/>
      <c r="R649" s="47"/>
      <c r="S649" s="47"/>
      <c r="T649" s="47"/>
      <c r="U649" s="47"/>
      <c r="V649" s="47"/>
    </row>
    <row r="650" spans="1:22" x14ac:dyDescent="0.3">
      <c r="A650" s="47"/>
      <c r="B650" s="47"/>
      <c r="C650" s="47"/>
      <c r="D650" s="47"/>
      <c r="E650" s="47"/>
      <c r="F650" s="47"/>
      <c r="G650" s="47"/>
      <c r="H650" s="47"/>
      <c r="I650" s="47"/>
      <c r="J650" s="47"/>
      <c r="K650" s="47"/>
      <c r="L650" s="47"/>
      <c r="M650" s="47"/>
      <c r="N650" s="91"/>
      <c r="O650" s="47"/>
      <c r="P650" s="47"/>
      <c r="Q650" s="47"/>
      <c r="R650" s="47"/>
      <c r="S650" s="47"/>
      <c r="T650" s="47"/>
      <c r="U650" s="47"/>
      <c r="V650" s="47"/>
    </row>
    <row r="651" spans="1:22" x14ac:dyDescent="0.3">
      <c r="A651" s="47"/>
      <c r="B651" s="47"/>
      <c r="C651" s="47"/>
      <c r="D651" s="47"/>
      <c r="E651" s="47"/>
      <c r="F651" s="47"/>
      <c r="G651" s="47"/>
      <c r="H651" s="47"/>
      <c r="I651" s="47"/>
      <c r="J651" s="47"/>
      <c r="K651" s="47"/>
      <c r="L651" s="47"/>
      <c r="M651" s="47"/>
      <c r="N651" s="91"/>
      <c r="O651" s="47"/>
      <c r="P651" s="47"/>
      <c r="Q651" s="47"/>
      <c r="R651" s="47"/>
      <c r="S651" s="47"/>
      <c r="T651" s="47"/>
      <c r="U651" s="47"/>
      <c r="V651" s="47"/>
    </row>
    <row r="652" spans="1:22" x14ac:dyDescent="0.3">
      <c r="A652" s="47"/>
      <c r="B652" s="47"/>
      <c r="C652" s="47"/>
      <c r="D652" s="47"/>
      <c r="E652" s="47"/>
      <c r="F652" s="47"/>
      <c r="G652" s="47"/>
      <c r="H652" s="47"/>
      <c r="I652" s="47"/>
      <c r="J652" s="47"/>
      <c r="K652" s="47"/>
      <c r="L652" s="47"/>
      <c r="M652" s="47"/>
      <c r="N652" s="91"/>
      <c r="O652" s="47"/>
      <c r="P652" s="47"/>
      <c r="Q652" s="47"/>
      <c r="R652" s="47"/>
      <c r="S652" s="47"/>
      <c r="T652" s="47"/>
      <c r="U652" s="47"/>
      <c r="V652" s="47"/>
    </row>
    <row r="653" spans="1:22" x14ac:dyDescent="0.3">
      <c r="A653" s="47"/>
      <c r="B653" s="47"/>
      <c r="C653" s="47"/>
      <c r="D653" s="47"/>
      <c r="E653" s="47"/>
      <c r="F653" s="47"/>
      <c r="G653" s="47"/>
      <c r="H653" s="47"/>
      <c r="I653" s="47"/>
      <c r="J653" s="47"/>
      <c r="K653" s="47"/>
      <c r="L653" s="47"/>
      <c r="M653" s="47"/>
      <c r="N653" s="91"/>
      <c r="O653" s="47"/>
      <c r="P653" s="47"/>
      <c r="Q653" s="47"/>
      <c r="R653" s="47"/>
      <c r="S653" s="47"/>
      <c r="T653" s="47"/>
      <c r="U653" s="47"/>
      <c r="V653" s="47"/>
    </row>
    <row r="654" spans="1:22" x14ac:dyDescent="0.3">
      <c r="A654" s="47"/>
      <c r="B654" s="47"/>
      <c r="C654" s="47"/>
      <c r="D654" s="47"/>
      <c r="E654" s="47"/>
      <c r="F654" s="47"/>
      <c r="G654" s="47"/>
      <c r="H654" s="47"/>
      <c r="I654" s="47"/>
      <c r="J654" s="47"/>
      <c r="K654" s="47"/>
      <c r="L654" s="47"/>
      <c r="M654" s="47"/>
      <c r="N654" s="91"/>
      <c r="O654" s="47"/>
      <c r="P654" s="47"/>
      <c r="Q654" s="47"/>
      <c r="R654" s="47"/>
      <c r="S654" s="47"/>
      <c r="T654" s="47"/>
      <c r="U654" s="47"/>
      <c r="V654" s="47"/>
    </row>
    <row r="655" spans="1:22" x14ac:dyDescent="0.3">
      <c r="A655" s="47"/>
      <c r="B655" s="47"/>
      <c r="C655" s="47"/>
      <c r="D655" s="47"/>
      <c r="E655" s="47"/>
      <c r="F655" s="47"/>
      <c r="G655" s="47"/>
      <c r="H655" s="47"/>
      <c r="I655" s="47"/>
      <c r="J655" s="47"/>
      <c r="K655" s="47"/>
      <c r="L655" s="47"/>
      <c r="M655" s="47"/>
      <c r="N655" s="91"/>
      <c r="O655" s="47"/>
      <c r="P655" s="47"/>
      <c r="Q655" s="47"/>
      <c r="R655" s="47"/>
      <c r="S655" s="47"/>
      <c r="T655" s="47"/>
      <c r="U655" s="47"/>
      <c r="V655" s="47"/>
    </row>
    <row r="656" spans="1:22" x14ac:dyDescent="0.3">
      <c r="A656" s="47"/>
      <c r="B656" s="47"/>
      <c r="C656" s="47"/>
      <c r="D656" s="47"/>
      <c r="E656" s="47"/>
      <c r="F656" s="47"/>
      <c r="G656" s="47"/>
      <c r="H656" s="47"/>
      <c r="I656" s="47"/>
      <c r="J656" s="47"/>
      <c r="K656" s="47"/>
      <c r="L656" s="47"/>
      <c r="M656" s="47"/>
      <c r="N656" s="91"/>
      <c r="O656" s="47"/>
      <c r="P656" s="47"/>
      <c r="Q656" s="47"/>
      <c r="R656" s="47"/>
      <c r="S656" s="47"/>
      <c r="T656" s="47"/>
      <c r="U656" s="47"/>
      <c r="V656" s="47"/>
    </row>
    <row r="657" spans="1:22" x14ac:dyDescent="0.3">
      <c r="A657" s="47"/>
      <c r="B657" s="47"/>
      <c r="C657" s="47"/>
      <c r="D657" s="47"/>
      <c r="E657" s="47"/>
      <c r="F657" s="47"/>
      <c r="G657" s="47"/>
      <c r="H657" s="47"/>
      <c r="I657" s="47"/>
      <c r="J657" s="47"/>
      <c r="K657" s="47"/>
      <c r="L657" s="47"/>
      <c r="M657" s="47"/>
      <c r="N657" s="91"/>
      <c r="O657" s="47"/>
      <c r="P657" s="47"/>
      <c r="Q657" s="47"/>
      <c r="R657" s="47"/>
      <c r="S657" s="47"/>
      <c r="T657" s="47"/>
      <c r="U657" s="47"/>
      <c r="V657" s="47"/>
    </row>
    <row r="658" spans="1:22" x14ac:dyDescent="0.3">
      <c r="A658" s="47"/>
      <c r="B658" s="47"/>
      <c r="C658" s="47"/>
      <c r="D658" s="47"/>
      <c r="E658" s="47"/>
      <c r="F658" s="47"/>
      <c r="G658" s="47"/>
      <c r="H658" s="47"/>
      <c r="I658" s="47"/>
      <c r="J658" s="47"/>
      <c r="K658" s="47"/>
      <c r="L658" s="47"/>
      <c r="M658" s="47"/>
      <c r="N658" s="91"/>
      <c r="O658" s="47"/>
      <c r="P658" s="47"/>
      <c r="Q658" s="47"/>
      <c r="R658" s="47"/>
      <c r="S658" s="47"/>
      <c r="T658" s="47"/>
      <c r="U658" s="47"/>
      <c r="V658" s="47"/>
    </row>
    <row r="659" spans="1:22" x14ac:dyDescent="0.3">
      <c r="A659" s="47"/>
      <c r="B659" s="47"/>
      <c r="C659" s="47"/>
      <c r="D659" s="47"/>
      <c r="E659" s="47"/>
      <c r="F659" s="47"/>
      <c r="G659" s="47"/>
      <c r="H659" s="47"/>
      <c r="I659" s="47"/>
      <c r="J659" s="47"/>
      <c r="K659" s="47"/>
      <c r="L659" s="47"/>
      <c r="M659" s="47"/>
      <c r="N659" s="91"/>
      <c r="O659" s="47"/>
      <c r="P659" s="47"/>
      <c r="Q659" s="47"/>
      <c r="R659" s="47"/>
      <c r="S659" s="47"/>
      <c r="T659" s="47"/>
      <c r="U659" s="47"/>
      <c r="V659" s="47"/>
    </row>
    <row r="660" spans="1:22" x14ac:dyDescent="0.3">
      <c r="A660" s="47"/>
      <c r="B660" s="47"/>
      <c r="C660" s="47"/>
      <c r="D660" s="47"/>
      <c r="E660" s="47"/>
      <c r="F660" s="47"/>
      <c r="G660" s="47"/>
      <c r="H660" s="47"/>
      <c r="I660" s="47"/>
      <c r="J660" s="47"/>
      <c r="K660" s="47"/>
      <c r="L660" s="47"/>
      <c r="M660" s="47"/>
      <c r="N660" s="91"/>
      <c r="O660" s="47"/>
      <c r="P660" s="47"/>
      <c r="Q660" s="47"/>
      <c r="R660" s="47"/>
      <c r="S660" s="47"/>
      <c r="T660" s="47"/>
      <c r="U660" s="47"/>
      <c r="V660" s="47"/>
    </row>
    <row r="661" spans="1:22" x14ac:dyDescent="0.3">
      <c r="A661" s="47"/>
      <c r="B661" s="47"/>
      <c r="C661" s="47"/>
      <c r="D661" s="47"/>
      <c r="E661" s="47"/>
      <c r="F661" s="47"/>
      <c r="G661" s="47"/>
      <c r="H661" s="47"/>
      <c r="I661" s="47"/>
      <c r="J661" s="47"/>
      <c r="K661" s="47"/>
      <c r="L661" s="47"/>
      <c r="M661" s="47"/>
      <c r="N661" s="91"/>
      <c r="O661" s="47"/>
      <c r="P661" s="47"/>
      <c r="Q661" s="47"/>
      <c r="R661" s="47"/>
      <c r="S661" s="47"/>
      <c r="T661" s="47"/>
      <c r="U661" s="47"/>
      <c r="V661" s="47"/>
    </row>
    <row r="662" spans="1:22" x14ac:dyDescent="0.3">
      <c r="A662" s="47"/>
      <c r="B662" s="47"/>
      <c r="C662" s="47"/>
      <c r="D662" s="47"/>
      <c r="E662" s="47"/>
      <c r="F662" s="47"/>
      <c r="G662" s="47"/>
      <c r="H662" s="47"/>
      <c r="I662" s="47"/>
      <c r="J662" s="47"/>
      <c r="K662" s="47"/>
      <c r="L662" s="47"/>
      <c r="M662" s="47"/>
      <c r="N662" s="91"/>
      <c r="O662" s="47"/>
      <c r="P662" s="47"/>
      <c r="Q662" s="47"/>
      <c r="R662" s="47"/>
      <c r="S662" s="47"/>
      <c r="T662" s="47"/>
      <c r="U662" s="47"/>
      <c r="V662" s="47"/>
    </row>
  </sheetData>
  <autoFilter ref="A1:P57"/>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Summary</vt:lpstr>
      <vt:lpstr>지원OS</vt:lpstr>
      <vt:lpstr>Checklist</vt:lpstr>
      <vt:lpstr>등급체계</vt:lpstr>
      <vt:lpstr>REPLACETEXT</vt:lpstr>
      <vt:lpstr>HPUX</vt:lpstr>
      <vt:lpstr>AIX</vt:lpstr>
      <vt:lpstr>Solaris</vt:lpstr>
      <vt:lpstr>Linux</vt:lpstr>
      <vt:lpstr>Windows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davideom</dc:creator>
  <cp:lastModifiedBy>Lsware-Jeon Chanyoung</cp:lastModifiedBy>
  <dcterms:created xsi:type="dcterms:W3CDTF">2015-07-29T01:01:02Z</dcterms:created>
  <dcterms:modified xsi:type="dcterms:W3CDTF">2025-08-28T08:02:49Z</dcterms:modified>
</cp:coreProperties>
</file>